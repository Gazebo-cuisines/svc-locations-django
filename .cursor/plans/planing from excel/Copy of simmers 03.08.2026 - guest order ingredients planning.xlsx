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un\Desktop\Planning\"/>
    </mc:Choice>
  </mc:AlternateContent>
  <xr:revisionPtr revIDLastSave="0" documentId="8_{BD5B3632-091D-4C05-8C7C-855F495E1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21" i="1"/>
  <c r="K21" i="1"/>
  <c r="L21" i="1"/>
  <c r="M21" i="1"/>
  <c r="N21" i="1"/>
  <c r="H22" i="1"/>
  <c r="I22" i="1"/>
  <c r="J22" i="1"/>
  <c r="K22" i="1"/>
  <c r="L22" i="1"/>
  <c r="M22" i="1"/>
  <c r="N22" i="1" s="1"/>
  <c r="J51" i="1"/>
  <c r="K51" i="1" s="1"/>
  <c r="J52" i="1"/>
  <c r="K52" i="1" s="1"/>
  <c r="J50" i="1"/>
  <c r="K50" i="1" s="1"/>
  <c r="H41" i="1"/>
  <c r="H40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3" i="1"/>
  <c r="L24" i="1"/>
  <c r="L25" i="1"/>
  <c r="L26" i="1"/>
  <c r="L27" i="1"/>
  <c r="L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3" i="1"/>
  <c r="M24" i="1"/>
  <c r="M25" i="1"/>
  <c r="M26" i="1"/>
  <c r="M27" i="1"/>
  <c r="M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3" i="1"/>
  <c r="K24" i="1"/>
  <c r="K25" i="1"/>
  <c r="K26" i="1"/>
  <c r="K27" i="1"/>
  <c r="K2" i="1"/>
  <c r="J3" i="1" l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3" i="1"/>
  <c r="N23" i="1" s="1"/>
  <c r="J24" i="1"/>
  <c r="N24" i="1" s="1"/>
  <c r="J25" i="1"/>
  <c r="N25" i="1" s="1"/>
  <c r="J26" i="1"/>
  <c r="N26" i="1" s="1"/>
  <c r="J27" i="1"/>
  <c r="N27" i="1" s="1"/>
  <c r="J2" i="1"/>
  <c r="N2" i="1" s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3" i="1"/>
  <c r="I24" i="1"/>
  <c r="I25" i="1"/>
  <c r="I26" i="1"/>
  <c r="I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3" i="1"/>
  <c r="H24" i="1"/>
  <c r="H25" i="1"/>
  <c r="H26" i="1"/>
  <c r="H27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Lakshman Dabhi</author>
  </authors>
  <commentList>
    <comment ref="O23" authorId="0" shapeId="0" xr:uid="{48432C3F-B494-4912-9D7D-69DD3BB2A6F1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28 july order will come
</t>
        </r>
      </text>
    </comment>
    <comment ref="O24" authorId="0" shapeId="0" xr:uid="{1F2A5C4F-EC61-479B-8559-8FC872C19746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40 qty will caming 27/07</t>
        </r>
      </text>
    </comment>
    <comment ref="O25" authorId="0" shapeId="0" xr:uid="{CAD37B53-A7D0-46F9-AF36-26A34774106B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5 aug 80 QTY will came</t>
        </r>
      </text>
    </comment>
    <comment ref="B27" authorId="0" shapeId="0" xr:uid="{FDDB1083-88D8-4E36-AF2C-27C75E27C2DB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Before RMEAS001-06</t>
        </r>
      </text>
    </comment>
    <comment ref="M33" authorId="0" shapeId="0" xr:uid="{A4A6C1A0-8E39-4E91-8463-9162CF8F130E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We need order for this wednesday</t>
        </r>
      </text>
    </comment>
    <comment ref="I40" authorId="0" shapeId="0" xr:uid="{418D8D95-F1E3-4821-B330-EB96413F7B9C}">
      <text>
        <r>
          <rPr>
            <b/>
            <sz val="9"/>
            <color indexed="81"/>
            <rFont val="Tahoma"/>
            <family val="2"/>
          </rPr>
          <t>Lakshman Dabhi:</t>
        </r>
        <r>
          <rPr>
            <sz val="9"/>
            <color indexed="81"/>
            <rFont val="Tahoma"/>
            <family val="2"/>
          </rPr>
          <t xml:space="preserve">
We need order
</t>
        </r>
      </text>
    </comment>
  </commentList>
</comments>
</file>

<file path=xl/sharedStrings.xml><?xml version="1.0" encoding="utf-8"?>
<sst xmlns="http://schemas.openxmlformats.org/spreadsheetml/2006/main" count="3034" uniqueCount="1598">
  <si>
    <t>Supplier</t>
  </si>
  <si>
    <t>Purchase Code</t>
  </si>
  <si>
    <t>Purchase Ingredient Name</t>
  </si>
  <si>
    <t>Pack Size (Kg)</t>
  </si>
  <si>
    <t>Ingredients (G)</t>
  </si>
  <si>
    <t>Ingredients (KG)</t>
  </si>
  <si>
    <t>Bags/Qty  Required</t>
  </si>
  <si>
    <t>DAREGAL GOURMET UK LTD</t>
  </si>
  <si>
    <t>RMDAR001-01</t>
  </si>
  <si>
    <t>Coriander</t>
  </si>
  <si>
    <t>RMDAR001-20</t>
  </si>
  <si>
    <t>Garlic Diced 4mm China (1x10kg)</t>
  </si>
  <si>
    <t>KTC (EDIBLES) LTD</t>
  </si>
  <si>
    <t>RMKTC001-13</t>
  </si>
  <si>
    <t>Pomace Olive Oil</t>
  </si>
  <si>
    <t>Eurocebollas</t>
  </si>
  <si>
    <t>RMEUR002-01</t>
  </si>
  <si>
    <t>ONION PUREE</t>
  </si>
  <si>
    <t>Ellsey &amp; Co Lancs Ltd</t>
  </si>
  <si>
    <t>RMELL001-01</t>
  </si>
  <si>
    <t>5% Rice Vinegar 25 litres</t>
  </si>
  <si>
    <t>P&amp;B FOODS LIMITED</t>
  </si>
  <si>
    <t>RMP&amp;B001-14</t>
  </si>
  <si>
    <t>HEERA XXL 1121 SELLA RICE(1x10kg) (MOQ:121)</t>
  </si>
  <si>
    <t>KENT FOODS LIMITED</t>
  </si>
  <si>
    <t>RMKEN003-01</t>
  </si>
  <si>
    <t>SUCRANNA GRANULATED SUGAR ( Order 40 Bags)</t>
  </si>
  <si>
    <t>RMKEN003-02</t>
  </si>
  <si>
    <t>PDV SALT ( Order 49 Bags)</t>
  </si>
  <si>
    <t>BELFIELD FARMS ( YEARSLEY FOOD LTD)</t>
  </si>
  <si>
    <t>RMHAR002-09</t>
  </si>
  <si>
    <t>DICED RED PEPPER 20MM</t>
  </si>
  <si>
    <t>RMHAR002-13</t>
  </si>
  <si>
    <t>Cut green beans frozen IQF</t>
  </si>
  <si>
    <t>RMHAR002-32</t>
  </si>
  <si>
    <t>RMHAR002-34</t>
  </si>
  <si>
    <t>IQF Red Chilli Puree</t>
  </si>
  <si>
    <t>RMHAR002-35</t>
  </si>
  <si>
    <t>IQF Pineapple Tidbits (1x10kg)</t>
  </si>
  <si>
    <t>RMHAR002-36</t>
  </si>
  <si>
    <t>10mm Diced White Onion</t>
  </si>
  <si>
    <t>RMHAR002-37</t>
  </si>
  <si>
    <t>IQF Ginger Puree (1x10kg)</t>
  </si>
  <si>
    <t>AZELIS UK  LTD</t>
  </si>
  <si>
    <t>RMAZE001-01</t>
  </si>
  <si>
    <t>CLARIA PLUS STARCH</t>
  </si>
  <si>
    <t>UNIVAR LIMITED</t>
  </si>
  <si>
    <t>RMUNI001-05</t>
  </si>
  <si>
    <t>Corn Flour</t>
  </si>
  <si>
    <t>KIRIL MISCHEFF LTD</t>
  </si>
  <si>
    <t>RMKIR001-03</t>
  </si>
  <si>
    <t>Lemon Juice NFC (Vegan) (1 x 20KG) (MOQ:48)</t>
  </si>
  <si>
    <t>FOODNET LIMITED</t>
  </si>
  <si>
    <t>RMFOO001-06</t>
  </si>
  <si>
    <t>IQF Sliced Spring Onion 4-6mm (1 X 10KG)</t>
  </si>
  <si>
    <t>RMFOO001-15</t>
  </si>
  <si>
    <t>Garlic Puree Tablet IQF (1x10kg)</t>
  </si>
  <si>
    <t>RMFOO001-16</t>
  </si>
  <si>
    <t>Cauliflower minced IQF</t>
  </si>
  <si>
    <t>SOP International Ltd</t>
  </si>
  <si>
    <t>RMSOP001-04</t>
  </si>
  <si>
    <t>PRB LIGHT SOY SAUCE SUPERIOR 2x10kg</t>
  </si>
  <si>
    <t>NOBBLE EGG INNOVATION LTD</t>
  </si>
  <si>
    <t>RMNOB001-01</t>
  </si>
  <si>
    <t>FREE RANGE WHOLE EGG TETRA CARTON (12 x 1kg)</t>
  </si>
  <si>
    <t>HUSSAIN MEATS LTD</t>
  </si>
  <si>
    <t>RMHUS001-06</t>
  </si>
  <si>
    <t>EU - Chicken Breast Diced 10-14g</t>
  </si>
  <si>
    <t>EASTLAND INGREDIENTS LTD</t>
  </si>
  <si>
    <t>RMEAS001-06</t>
  </si>
  <si>
    <t>Paprika Ground (1X25kg)</t>
  </si>
  <si>
    <t>our stock</t>
  </si>
  <si>
    <t>pack size</t>
  </si>
  <si>
    <t>Stock Code</t>
  </si>
  <si>
    <t>Products</t>
  </si>
  <si>
    <t>Suppliers</t>
  </si>
  <si>
    <t>CASE SIZE</t>
  </si>
  <si>
    <t>Fraction</t>
  </si>
  <si>
    <t>Opening Stock</t>
  </si>
  <si>
    <t>IN</t>
  </si>
  <si>
    <t>OUT</t>
  </si>
  <si>
    <t>Closing stock</t>
  </si>
  <si>
    <t>RMF00003-01</t>
  </si>
  <si>
    <t>NATURAL SOYA MINCE</t>
  </si>
  <si>
    <t>AZELIS UK LIFE SCIENCE LTD</t>
  </si>
  <si>
    <t>1 x 15kg</t>
  </si>
  <si>
    <t>1 X 25KG</t>
  </si>
  <si>
    <t>RMBAC001-01</t>
  </si>
  <si>
    <t>NATIVE POTATO STARCH 25KG</t>
  </si>
  <si>
    <t>BACAREL &amp; CO LIMITED</t>
  </si>
  <si>
    <t>1X 25KG</t>
  </si>
  <si>
    <t>RMBAC001-04</t>
  </si>
  <si>
    <t>Preservative Free Potato Flake (1 x 20KG)</t>
  </si>
  <si>
    <t>1 x 20kg</t>
  </si>
  <si>
    <t>RMBAK001-02</t>
  </si>
  <si>
    <t>Tate and Lyle soft light brown sugar 1 x 25kg</t>
  </si>
  <si>
    <t>Bako London &amp; S E Ltd</t>
  </si>
  <si>
    <t>RMBAK001-03</t>
  </si>
  <si>
    <t>Heat Treated Pumpkin Seeds</t>
  </si>
  <si>
    <t>RMBAK001-07</t>
  </si>
  <si>
    <t>Light Brown Soft Sugar 1 x 25kg (MOQ 40 bags)</t>
  </si>
  <si>
    <t>1x25kg</t>
  </si>
  <si>
    <t>RMHAR002-01</t>
  </si>
  <si>
    <t>FROZEN PEAS</t>
  </si>
  <si>
    <t>BELFIELD FARMS (HARRY YEARSLEY LTD)</t>
  </si>
  <si>
    <t>1 X10KG</t>
  </si>
  <si>
    <t>RMHAR001-02</t>
  </si>
  <si>
    <t>leaf spinach portions (4x2.5 KG)</t>
  </si>
  <si>
    <t>(4x2.5 KG)</t>
  </si>
  <si>
    <t>RMHAR002-02</t>
  </si>
  <si>
    <t>FROZEN CHOPPED SPINACH</t>
  </si>
  <si>
    <t>4 x 2.5</t>
  </si>
  <si>
    <t>RMHAR002-03</t>
  </si>
  <si>
    <t>FROZEN MIX VEGETABLES</t>
  </si>
  <si>
    <t>RMHAR002-04</t>
  </si>
  <si>
    <t>Broad Bean</t>
  </si>
  <si>
    <t>1 x 10kg</t>
  </si>
  <si>
    <t>RMHAR002-07</t>
  </si>
  <si>
    <t>10MM GREEN PEPPER DICED</t>
  </si>
  <si>
    <t>1 X 10KG</t>
  </si>
  <si>
    <t>20MM D RED PEPPERS</t>
  </si>
  <si>
    <t>RMHAR002-12</t>
  </si>
  <si>
    <t xml:space="preserve">SWEET CORN </t>
  </si>
  <si>
    <t>RMHAR002-14</t>
  </si>
  <si>
    <t>Cauliflower florets 15/30 frozen IQF</t>
  </si>
  <si>
    <t>RMHAR002-15</t>
  </si>
  <si>
    <t>CUT BABY CORN frozen IQF</t>
  </si>
  <si>
    <t>RMHAR002-17</t>
  </si>
  <si>
    <t>SOYA BEANS</t>
  </si>
  <si>
    <t>1 x 10 KG</t>
  </si>
  <si>
    <t>RMHAR002-19</t>
  </si>
  <si>
    <t>HALF CHERRY TOMATOES</t>
  </si>
  <si>
    <t>RMHAR002-20</t>
  </si>
  <si>
    <t>20/40MM BROCOLLI</t>
  </si>
  <si>
    <t>RMHAR002-21</t>
  </si>
  <si>
    <t>FINE GREEN BEANS WHOLE</t>
  </si>
  <si>
    <t>4 X 2.5 KG</t>
  </si>
  <si>
    <t>RMHAR002-22</t>
  </si>
  <si>
    <t>DICED YELLOW PEPPER 20MM</t>
  </si>
  <si>
    <t>RMHAR002-23</t>
  </si>
  <si>
    <t>10MM DICED SWEET POTATO</t>
  </si>
  <si>
    <t>1 x 10KG</t>
  </si>
  <si>
    <t>RMHAR002-24</t>
  </si>
  <si>
    <t>BUTTERNUT DICED 20MM (1X10KG)</t>
  </si>
  <si>
    <t>RMHAR002-25</t>
  </si>
  <si>
    <t>AUBERGINE DICED 20MM (1X10KG)</t>
  </si>
  <si>
    <t>RMHAR002-26</t>
  </si>
  <si>
    <t>COURGETTE DICED 20MM (1X10KG)</t>
  </si>
  <si>
    <t>RMHAR002-27</t>
  </si>
  <si>
    <t>Sliced Chestnut Mushrooms (1 x 10KG)</t>
  </si>
  <si>
    <t>RMHAR002-29</t>
  </si>
  <si>
    <t>CHOPPED SPRING ONION 4MM (1 X 10KG)</t>
  </si>
  <si>
    <t>RMHAR002-30</t>
  </si>
  <si>
    <t>10mm Diced Leeks ( 1 x 10KG )</t>
  </si>
  <si>
    <t>BELFIELD FARMS (YEARSLEY FOOD LTD)</t>
  </si>
  <si>
    <t>RMHAR002-31</t>
  </si>
  <si>
    <t>10mm Diced Carrots</t>
  </si>
  <si>
    <t>IQF Garlic Pure (1 x 10kg)</t>
  </si>
  <si>
    <t>RMHAR002-33</t>
  </si>
  <si>
    <t>IQF Green Chilli Puree (1x10kg)</t>
  </si>
  <si>
    <t>IQF Red Chilli Puree (1x10kg)</t>
  </si>
  <si>
    <t>10mm Diced White Onion (1x10kg)</t>
  </si>
  <si>
    <t>RMHAR002-40</t>
  </si>
  <si>
    <t>IQF Cooked Dark Speckled Lentils (1x12kg)</t>
  </si>
  <si>
    <t>1x12kg</t>
  </si>
  <si>
    <t>RMHAR002-41</t>
  </si>
  <si>
    <t>IQF Cooked Cannellini Beans (1x12kg)</t>
  </si>
  <si>
    <t>RMHAR002-42</t>
  </si>
  <si>
    <t>IQF Cooked Black Turtle Beans(1x12kg)</t>
  </si>
  <si>
    <t>RMHAR002-43</t>
  </si>
  <si>
    <t>10mm Diced Potato (1x10kg)</t>
  </si>
  <si>
    <t>RMHAR002-44</t>
  </si>
  <si>
    <t>IQF Cooked Butter Beans (1x12kg)</t>
  </si>
  <si>
    <t>1X12KG</t>
  </si>
  <si>
    <t>RMHAR002-45</t>
  </si>
  <si>
    <t>Mango Irregular Cut 6-12mm IQF (1x10KG)</t>
  </si>
  <si>
    <t>1X10KG</t>
  </si>
  <si>
    <t>RMHAR002-46</t>
  </si>
  <si>
    <t>IQF Cooked Chickpeas (1x12kg)</t>
  </si>
  <si>
    <t>RMHAR002-47</t>
  </si>
  <si>
    <t>IQF Cooked Red Kidney Beans (1x12kg)</t>
  </si>
  <si>
    <t>RMHAR002-48</t>
  </si>
  <si>
    <t>20MM DICED  GREEN PEPPER</t>
  </si>
  <si>
    <t>RMHAR002-49</t>
  </si>
  <si>
    <t>Carrot Baton 6 x 6 x 45mm</t>
  </si>
  <si>
    <t>RM366001-15</t>
  </si>
  <si>
    <t>SANTA MARIA CHIPOTLE CHILLI PASTE(MINDFUL)</t>
  </si>
  <si>
    <t>BIDVEST FOOD SERVICE 3663 LTD</t>
  </si>
  <si>
    <t>6 x 750G</t>
  </si>
  <si>
    <t>RMBRI006-01</t>
  </si>
  <si>
    <t>BLACK RICE</t>
  </si>
  <si>
    <t>THE BRITISH QUINOA COMPANY</t>
  </si>
  <si>
    <t>RMBRI006-06</t>
  </si>
  <si>
    <t>EASY COOK BROWN RICE</t>
  </si>
  <si>
    <t>RMCAM003-01</t>
  </si>
  <si>
    <t>Salsa Dip V3 (1 X 10KG) (MOQ: 250KG)</t>
  </si>
  <si>
    <t>Camstar Ingredients Ltd</t>
  </si>
  <si>
    <t>RMCAM004-01</t>
  </si>
  <si>
    <t>Curry Leaves Crushed (12.5kg)</t>
  </si>
  <si>
    <t>1x12.5kg</t>
  </si>
  <si>
    <t>RMDAR001-04</t>
  </si>
  <si>
    <t>IQF CURLY PARSLEY MEDIUM STD</t>
  </si>
  <si>
    <t>RMDAR001-07</t>
  </si>
  <si>
    <t>IQF BASIL LARGE PREMIUM</t>
  </si>
  <si>
    <t xml:space="preserve">1 X 12KG </t>
  </si>
  <si>
    <t>RMDAR001-08</t>
  </si>
  <si>
    <t>IQF Spearmint medium premium (6mm) (1x12kg)</t>
  </si>
  <si>
    <t>1 x 12KG</t>
  </si>
  <si>
    <t>RMDAR001-09</t>
  </si>
  <si>
    <t>IQF Whole curry leaves (1 X 8KG)</t>
  </si>
  <si>
    <t>1 x 8KG</t>
  </si>
  <si>
    <t>RMDAR001-10</t>
  </si>
  <si>
    <t>IQF Milled lime leaves (1 X 15KG)</t>
  </si>
  <si>
    <t>1 X 15KG</t>
  </si>
  <si>
    <t>RMDAR001-14</t>
  </si>
  <si>
    <t>Lemon Grass Milled ( 1 x 15 KG)</t>
  </si>
  <si>
    <t>RMDAR001-15</t>
  </si>
  <si>
    <t>Galangal Milled ( 1 x 15KG)</t>
  </si>
  <si>
    <t>RMDAR001-16</t>
  </si>
  <si>
    <t>IQF Rosemary (1 X 15KG)</t>
  </si>
  <si>
    <t>RMDAR001-17</t>
  </si>
  <si>
    <t>IQF Thyme (1 X 15KG)</t>
  </si>
  <si>
    <t>RMDAR002-04</t>
  </si>
  <si>
    <t>Cooked Aromatic Shredded Duck (POLISH) (1x5kg)</t>
  </si>
  <si>
    <t>DARTMOUTH FOODS LTD</t>
  </si>
  <si>
    <t>1X5KG</t>
  </si>
  <si>
    <t>RMDCI001-01</t>
  </si>
  <si>
    <t>Tyj 8 x 8 Spring Roll Pastry (20x40)</t>
  </si>
  <si>
    <t>DC I &amp; E Food LTD</t>
  </si>
  <si>
    <t>20 x 40</t>
  </si>
  <si>
    <t>RMDIN001-01</t>
  </si>
  <si>
    <t>Lebanese homous long life</t>
  </si>
  <si>
    <t>Dina Foods Ltd</t>
  </si>
  <si>
    <t>1 x 2KG</t>
  </si>
  <si>
    <t>RMDOV001-01</t>
  </si>
  <si>
    <t xml:space="preserve">Gluten Free Baking Powder </t>
  </si>
  <si>
    <t>DOVES FARM FOODS LTD</t>
  </si>
  <si>
    <t>3 x 1KG</t>
  </si>
  <si>
    <t>RMDOV001-02</t>
  </si>
  <si>
    <t>Bicarbonate of Soda (5x200g)</t>
  </si>
  <si>
    <t>5x200g</t>
  </si>
  <si>
    <t>RMEAS001-01</t>
  </si>
  <si>
    <t>CUMMIN POWDER (1X25KG)</t>
  </si>
  <si>
    <t>Eastland Ingredients Ltd</t>
  </si>
  <si>
    <t>1 X 25</t>
  </si>
  <si>
    <t>RMEAS001-02</t>
  </si>
  <si>
    <t>Cumin Seed Whole (1x25kg)</t>
  </si>
  <si>
    <t>RMEAS001-03</t>
  </si>
  <si>
    <t>Turmeric Ground (1x25kg)</t>
  </si>
  <si>
    <t>RMEAS001-04</t>
  </si>
  <si>
    <t>GROUND CORIANDER (1X25KG)</t>
  </si>
  <si>
    <t>RMEAS001-05</t>
  </si>
  <si>
    <t>Pepper Black Ground (1 X 25KG)</t>
  </si>
  <si>
    <t>1 X 25L</t>
  </si>
  <si>
    <t>RMELL001-02</t>
  </si>
  <si>
    <t>5% Malt Vinegar with Malt Extract (1 x 25 ltr)</t>
  </si>
  <si>
    <t>Eurocebollas  (60 packets x 20kg)</t>
  </si>
  <si>
    <t>1 X 20 kg</t>
  </si>
  <si>
    <t>RMEUR002-02</t>
  </si>
  <si>
    <t>RTU 10MM (READY TO USE ONIONS) (MIN ORD 60 BAGS)</t>
  </si>
  <si>
    <t>EUROCEBOLLAS (60 packets x 20kg)</t>
  </si>
  <si>
    <t>RMFOO001-01</t>
  </si>
  <si>
    <t>10MM RED PEPPER DICE</t>
  </si>
  <si>
    <t>1x10kg</t>
  </si>
  <si>
    <t>RMFOO001-05</t>
  </si>
  <si>
    <t>Spinach Chopped Leaf Portions 30g IQF(1 x 15kg)</t>
  </si>
  <si>
    <t>1x15kg</t>
  </si>
  <si>
    <t>RMFOO001-07</t>
  </si>
  <si>
    <t>Diced Red Pepper 20MM (1 x 10KG)</t>
  </si>
  <si>
    <t>RMFOO001-09</t>
  </si>
  <si>
    <t>Spinach Leaf Portions 50g (1 x 15KG)</t>
  </si>
  <si>
    <t>RMFOO001-10</t>
  </si>
  <si>
    <t>Broccoli Floret 20-40mm (1 x 10kg)</t>
  </si>
  <si>
    <t>RMFOO001-11</t>
  </si>
  <si>
    <t>IQF Sliced Water Chestnuts (x 10kg)(MOQ:80)</t>
  </si>
  <si>
    <t>RMFOO001-12</t>
  </si>
  <si>
    <t>Whole Cherry Tomatoes 15-25mm IQF(MOQ:50)</t>
  </si>
  <si>
    <t>RMFOO001-14</t>
  </si>
  <si>
    <t>Bamboo Shoots Julienne IQF(1x10kg)</t>
  </si>
  <si>
    <t>1x10Kg</t>
  </si>
  <si>
    <t>Cauliflower Rice IQF (1x10kg)</t>
  </si>
  <si>
    <t>RMFOO001-17</t>
  </si>
  <si>
    <t xml:space="preserve">Daisy Cut Babycorn 2-7mm IQF (1x10kg) </t>
  </si>
  <si>
    <t>RMFOO001-18</t>
  </si>
  <si>
    <t>Pineapple Tidbits (1x10kg)</t>
  </si>
  <si>
    <t>RMFOO001-19</t>
  </si>
  <si>
    <t>20mm Diced Red Pepper (1x10kg)</t>
  </si>
  <si>
    <t>RMFOO001-20</t>
  </si>
  <si>
    <t>30MM Cut Green Beans IQF (1x15kg)</t>
  </si>
  <si>
    <t>1x15Kg</t>
  </si>
  <si>
    <t>RMFOO002-03</t>
  </si>
  <si>
    <t>Steam cooked CBC chicken breast diced 25mm (66x10kg)- SAHA TH99</t>
  </si>
  <si>
    <t>Food Bridge GB Ltd</t>
  </si>
  <si>
    <t>RMFRE005-01</t>
  </si>
  <si>
    <t>WHOLE MILK POLY WATSONS (1X2LTR)(CAT B)</t>
  </si>
  <si>
    <t>FRESHWAYS (A/C 41150)</t>
  </si>
  <si>
    <t>1 x 2LTR</t>
  </si>
  <si>
    <t>RMFRE005-02</t>
  </si>
  <si>
    <t>SEMI MILK POLY WATSONS (1x2LTR)(CAT B)</t>
  </si>
  <si>
    <t>RMFRE005-05</t>
  </si>
  <si>
    <t>SINGLE CREAM POLY WATSON (1 x 4PT)(CAT B)</t>
  </si>
  <si>
    <t>1 x 4 PINT</t>
  </si>
  <si>
    <t>RMFRE005-06</t>
  </si>
  <si>
    <t>NATURAL YOGHURT VERY LOW FAT FRESHWAYS (1X10KG)(CAT B)</t>
  </si>
  <si>
    <t>RMFRE005-10</t>
  </si>
  <si>
    <t>Pergel (13.6L) WHOLE MILK</t>
  </si>
  <si>
    <t>1X13.6LTR</t>
  </si>
  <si>
    <t>RMFUN001-19</t>
  </si>
  <si>
    <t>W/I HOT SAUCE 5 LT</t>
  </si>
  <si>
    <t>FUNNYBONES FOODSERVICE LIMITED</t>
  </si>
  <si>
    <t>1 x 5LTR</t>
  </si>
  <si>
    <t>RMFUN001-23</t>
  </si>
  <si>
    <t>La Mex Nacho Sliced Jalapenos</t>
  </si>
  <si>
    <t>6x2.75KG</t>
  </si>
  <si>
    <t>RMGER002-01</t>
  </si>
  <si>
    <t>Pineapple Conc 60Bx Cloudy Unpreserved (1X25KG)</t>
  </si>
  <si>
    <t>GERALD MCDONALD &amp; COMPANY LIMITED</t>
  </si>
  <si>
    <t>RMGRI001-01</t>
  </si>
  <si>
    <t>Spicy Tomato Dip (Standard Film) 80g</t>
  </si>
  <si>
    <t>GRIFFITH FOODS LIMITED</t>
  </si>
  <si>
    <t>1x240</t>
  </si>
  <si>
    <t>RMHSM001-03</t>
  </si>
  <si>
    <t>10-12mm Diced Chicken Breast(Laemthong) (4x2.5kg)</t>
  </si>
  <si>
    <t>H SMITH FOOD GROUP PLC,</t>
  </si>
  <si>
    <t>4x2.5kg</t>
  </si>
  <si>
    <t>RMHSM001-06</t>
  </si>
  <si>
    <t>Crispy Coated Poppin Chicken (10x1kg)</t>
  </si>
  <si>
    <t>10x1 kg</t>
  </si>
  <si>
    <t>RMHSM001-07</t>
  </si>
  <si>
    <t>Panko Chicken Pieces (6-14g)4x2.5kgs</t>
  </si>
  <si>
    <t>RMHAB001-11</t>
  </si>
  <si>
    <t>U/S BUTTER 40 X 250G CROXTON MANOR</t>
  </si>
  <si>
    <t>H &amp; B FOODS LTD</t>
  </si>
  <si>
    <t>40 X 250G</t>
  </si>
  <si>
    <t>RMHAB001-25</t>
  </si>
  <si>
    <t>IT962 Ricotta 1.5kg (veg)</t>
  </si>
  <si>
    <t>1x1.5kg</t>
  </si>
  <si>
    <t>RMHAR006-03</t>
  </si>
  <si>
    <t>Cooked Minced lamb frozen (1 X 2kg)</t>
  </si>
  <si>
    <t>Hartley's Farm Foods Ltd</t>
  </si>
  <si>
    <t>RMHAW001-02</t>
  </si>
  <si>
    <t xml:space="preserve">Gazebo Plum Chutney 4.75kg </t>
  </si>
  <si>
    <t xml:space="preserve">HAWKSHEAD RELISH COMPANY LTD </t>
  </si>
  <si>
    <t>1 X 4.75KG</t>
  </si>
  <si>
    <t>RMHUN001-02</t>
  </si>
  <si>
    <t>EASY COOK LONG GRAIN BROWN RICE (1 x 20KG)</t>
  </si>
  <si>
    <t>Hunts Food Group LTD</t>
  </si>
  <si>
    <t>1x20KG</t>
  </si>
  <si>
    <t>RMHUS001-01</t>
  </si>
  <si>
    <t>Chicken Breast Diced 10-14g RTA</t>
  </si>
  <si>
    <t>Hussain Meats Ltd</t>
  </si>
  <si>
    <t>1x1kg</t>
  </si>
  <si>
    <t>RMHUS001-02</t>
  </si>
  <si>
    <t>Chicken Breast Diced 18-23g RTA</t>
  </si>
  <si>
    <t>RMHUS001-03</t>
  </si>
  <si>
    <t>Chicken Breast Diced 17-22g HWF</t>
  </si>
  <si>
    <t>RMHUS001-04</t>
  </si>
  <si>
    <t>Chicken Inner Fillet 30-50g  RTA</t>
  </si>
  <si>
    <t>RMHUS001-05</t>
  </si>
  <si>
    <t>Diced CHICKEN THIGH FILLET 18-22mm</t>
  </si>
  <si>
    <t>EU Chicken Breast Diced 12-15g</t>
  </si>
  <si>
    <t>RMING001-01</t>
  </si>
  <si>
    <t>Caramel Colour E150a (SLB16000) (1x25kg) MOQ 50kg</t>
  </si>
  <si>
    <t>Ingredients Uk Limited</t>
  </si>
  <si>
    <t>RMIMS001-05</t>
  </si>
  <si>
    <t>BRITISH HALAL CHICKEN THIGH MINCED</t>
  </si>
  <si>
    <t>IMS of Smithfield</t>
  </si>
  <si>
    <t>1 X 1KG</t>
  </si>
  <si>
    <t>RMIMS001-06</t>
  </si>
  <si>
    <t>BRITISH HALAL CHICKEN INNER FILLETS 35G</t>
  </si>
  <si>
    <t>RMIMS001-10</t>
  </si>
  <si>
    <t>BRITISH HALAL MINCE BEEF 85VL</t>
  </si>
  <si>
    <t>RMIMS001-11</t>
  </si>
  <si>
    <t>BRITISH HALAL MINCED LAMB 80VL</t>
  </si>
  <si>
    <t>1X1KG</t>
  </si>
  <si>
    <t>RMJAN001-02</t>
  </si>
  <si>
    <t>Cooked Chicken Fines (1x10kg) (550 kg/ pallet)</t>
  </si>
  <si>
    <t>Jan Zandbergen UK ltd</t>
  </si>
  <si>
    <t>RMJAN001-03</t>
  </si>
  <si>
    <t>25mm Steam Cooked Chicken Diced CBC (Thai)</t>
  </si>
  <si>
    <t>RMJFC001-01</t>
  </si>
  <si>
    <t>PANCO BREAD CRUMBS (CAT B)</t>
  </si>
  <si>
    <t>JFC (UK) LTD</t>
  </si>
  <si>
    <t>1x7kg</t>
  </si>
  <si>
    <t>RMJFC001-05</t>
  </si>
  <si>
    <t xml:space="preserve">KIKKOMAN TAMARI GLUTEN FREE SHOYU 1/20L              </t>
  </si>
  <si>
    <t>1x20 L</t>
  </si>
  <si>
    <t>RMJFC001-06</t>
  </si>
  <si>
    <t>KIKKOMAN SOY SAUCE (S) 20L</t>
  </si>
  <si>
    <t>RMKEE001-01</t>
  </si>
  <si>
    <t>GOLDFISH PLUM SAUCE (2 X 2L)(MOQ:165)</t>
  </si>
  <si>
    <t xml:space="preserve">KEEJAYS LTD </t>
  </si>
  <si>
    <t>2 X 2L</t>
  </si>
  <si>
    <t>SUCRANNA GRANULATED SUGAR</t>
  </si>
  <si>
    <t>PDV SALT</t>
  </si>
  <si>
    <t>RMKEN003-03</t>
  </si>
  <si>
    <t>SUCRANNA LIGHT BROWN SUGAR 1 X 25KG</t>
  </si>
  <si>
    <t>RMKEN003-04</t>
  </si>
  <si>
    <t>CORN FLOUR MERITENA 100 25K Bag</t>
  </si>
  <si>
    <t>RMKIM001-01</t>
  </si>
  <si>
    <t>8" Spring Roll Pastry</t>
  </si>
  <si>
    <t>KIM'S FOOD LTD</t>
  </si>
  <si>
    <t>11 X 675G</t>
  </si>
  <si>
    <t>1 x 20KG</t>
  </si>
  <si>
    <t>RMKIR001-05</t>
  </si>
  <si>
    <t>IQF Sliced Water Chestnuts (1 x 10kg)(MOQ:70)</t>
  </si>
  <si>
    <t>RMKIR001-06</t>
  </si>
  <si>
    <t>Coconut milk CM-04D (17-19% fat no additives)(MOQ:48)</t>
  </si>
  <si>
    <t>1x20kg</t>
  </si>
  <si>
    <t>RMKIR001-07</t>
  </si>
  <si>
    <t>Tomato Paste 28/30(1 X 20KG)</t>
  </si>
  <si>
    <t>RMKIR001-08</t>
  </si>
  <si>
    <t>Diced Tomatoes 15mm (1x20kg)</t>
  </si>
  <si>
    <t>RMKLU001-05</t>
  </si>
  <si>
    <t>Raw coconut chips</t>
  </si>
  <si>
    <t>KLUMAN AND BALTER LIMITED</t>
  </si>
  <si>
    <t>RMKLU001-07</t>
  </si>
  <si>
    <t>SO2 Free Chop Apricots (73.58)</t>
  </si>
  <si>
    <t>1 X 12.5KG</t>
  </si>
  <si>
    <t>RMKLU001-08</t>
  </si>
  <si>
    <t>Ground Almond (1X12.5KG)</t>
  </si>
  <si>
    <t>RMKLU001-10</t>
  </si>
  <si>
    <t>Diced Apricots with s02 (1x12.5kg)</t>
  </si>
  <si>
    <t>1x12.5KG</t>
  </si>
  <si>
    <t>RMKLU001-11</t>
  </si>
  <si>
    <t>Sultanas- Chinese (1x12.5kg)</t>
  </si>
  <si>
    <t>RMKLU001-12</t>
  </si>
  <si>
    <t>Cranberries, Dried Sweetened</t>
  </si>
  <si>
    <t>1x11.34KG</t>
  </si>
  <si>
    <t>RMKTC001-01</t>
  </si>
  <si>
    <t>RAPESEED OIL 1000LT</t>
  </si>
  <si>
    <t>1x1000L</t>
  </si>
  <si>
    <t>RMKTC001-04</t>
  </si>
  <si>
    <t xml:space="preserve">CHICK PEAS </t>
  </si>
  <si>
    <t>6 X 2.55KG</t>
  </si>
  <si>
    <t>RMKTC001-10</t>
  </si>
  <si>
    <t>Alphonso Mango pupl 6x850g</t>
  </si>
  <si>
    <t>6X850G</t>
  </si>
  <si>
    <t>RMKTC001-12</t>
  </si>
  <si>
    <t>TOASTED SESAME SEED OIL (1 x 20L)</t>
  </si>
  <si>
    <t>1 X 20L</t>
  </si>
  <si>
    <t>Pomace Olive Oil 3x5L</t>
  </si>
  <si>
    <t>3 X 5L</t>
  </si>
  <si>
    <t>RMMAR001-04</t>
  </si>
  <si>
    <t>BALLERINA SLICED MUSHROOMS IN WATER</t>
  </si>
  <si>
    <t>MARTIN MATHEW &amp; CO. LTD</t>
  </si>
  <si>
    <t>6 X 2.5KG</t>
  </si>
  <si>
    <t>Noble Egg Innovations Ltd</t>
  </si>
  <si>
    <t>12x1kg</t>
  </si>
  <si>
    <t>RMNOR001-01</t>
  </si>
  <si>
    <t>LAMB DICED LEAN (MOQ 20)</t>
  </si>
  <si>
    <t>Northamptonshire Food Services Ltd</t>
  </si>
  <si>
    <t>2x10kg</t>
  </si>
  <si>
    <t>RMNOR001-02</t>
  </si>
  <si>
    <t>BEEF DICED LEAN (MOQ 20)</t>
  </si>
  <si>
    <t>RMNOR001-03</t>
  </si>
  <si>
    <t>CHICKEN THIGH MINCE (MOQ 20)</t>
  </si>
  <si>
    <t>RMNOR001-04</t>
  </si>
  <si>
    <t>CHICKEN THIGH DICED (MOQ 20)</t>
  </si>
  <si>
    <t>RMNOR001-05</t>
  </si>
  <si>
    <t>HALAL LAMB MINCE 85VL</t>
  </si>
  <si>
    <t>RMNOR001-06</t>
  </si>
  <si>
    <t>CHICKEN THIGH FILLET SKINLESS / BONLESS 180-230g</t>
  </si>
  <si>
    <t>RMP&amp;B001-04</t>
  </si>
  <si>
    <t>Heera Tamarind Sauce</t>
  </si>
  <si>
    <t>10 X 1L</t>
  </si>
  <si>
    <t>RMP&amp;B001-05</t>
  </si>
  <si>
    <t>BROKEN CASHEW (LP) ( 1 x 22.7 kg )</t>
  </si>
  <si>
    <t>1X22.7KG</t>
  </si>
  <si>
    <t>RMP&amp;B001-11</t>
  </si>
  <si>
    <t>HEERA BLACK PEPPER WHOLE (20X100G)</t>
  </si>
  <si>
    <t>20X100G</t>
  </si>
  <si>
    <t>RMP&amp;B001-12</t>
  </si>
  <si>
    <t>HEERA BLACK CARDAMOM POWDER (1X20KG)</t>
  </si>
  <si>
    <t>RMP&amp;B001-15</t>
  </si>
  <si>
    <t>HEERA CAYENNE PEPPER (10X400G)</t>
  </si>
  <si>
    <t>10X400G</t>
  </si>
  <si>
    <t>RMP&amp;B001-16</t>
  </si>
  <si>
    <t>HEERA 1121 PREMIUM RICE (50) (1x20KG)</t>
  </si>
  <si>
    <t>1x20 kg</t>
  </si>
  <si>
    <t>RMP&amp;B001-17</t>
  </si>
  <si>
    <t>SOYA MINCE(3/30) (1 x 20kg)</t>
  </si>
  <si>
    <t>RMPIQ001-01</t>
  </si>
  <si>
    <t>30% YOGHURT &amp; MINT (1 X 10L)(MOQ:72)</t>
  </si>
  <si>
    <t>PIQUANT LIMITED</t>
  </si>
  <si>
    <t>1 X 10L</t>
  </si>
  <si>
    <t>RMPIL001-01</t>
  </si>
  <si>
    <t>Cranberry Sauce (4x2.5kg)</t>
  </si>
  <si>
    <t>PILGRIM FOODSERVICE LIMITED</t>
  </si>
  <si>
    <t>4x2.5KG</t>
  </si>
  <si>
    <t>RMREA002-08</t>
  </si>
  <si>
    <t>31/40 PD VN IQF AQUA REACH 1Kg(900G NET)( FOR READY MEALS)</t>
  </si>
  <si>
    <t>Reach Food Service Ltd</t>
  </si>
  <si>
    <t>10X1KG</t>
  </si>
  <si>
    <t>RMVAL001-01</t>
  </si>
  <si>
    <t>Rowse Bulk Blossom Honey 14kg</t>
  </si>
  <si>
    <t xml:space="preserve">Rowse Honey Limited </t>
  </si>
  <si>
    <t>1 X 14KG</t>
  </si>
  <si>
    <t>RMSRI001-01</t>
  </si>
  <si>
    <t>Onion Bhaji 40g - Repack</t>
  </si>
  <si>
    <t>Shri Bajrang Alliance Ltd</t>
  </si>
  <si>
    <t>1 x 6 KG</t>
  </si>
  <si>
    <t>RMSRI001-02</t>
  </si>
  <si>
    <t>Onion Bhaji 30g - Repack</t>
  </si>
  <si>
    <t>RMSRI001-03</t>
  </si>
  <si>
    <t>Veg Samosa 40gm - Repack</t>
  </si>
  <si>
    <t>RMSRI001-04</t>
  </si>
  <si>
    <t>Veg Samosa 25gm - Repack</t>
  </si>
  <si>
    <t>RMSRI001-07</t>
  </si>
  <si>
    <t>Onion Bhaji 30gm - Resale</t>
  </si>
  <si>
    <t>1 x 1.5 KG</t>
  </si>
  <si>
    <t>RMSRI001-08</t>
  </si>
  <si>
    <t>Veg Samosa 25gm - Resale</t>
  </si>
  <si>
    <t>1 x 1.25 KG</t>
  </si>
  <si>
    <t>RMSOL001-01</t>
  </si>
  <si>
    <t>Gluten free Bread Crumbs (1X12.5KG)(MOQ:1000KG)</t>
  </si>
  <si>
    <t>Solina Coatings UK Ltd.</t>
  </si>
  <si>
    <t>RMSOP001-01</t>
  </si>
  <si>
    <t>GS BAMBOO SHOOT STRIPS</t>
  </si>
  <si>
    <t>6x3kg</t>
  </si>
  <si>
    <t>RMSOP001-02</t>
  </si>
  <si>
    <t>MP PANANG CURRY PASTE 12x1kg</t>
  </si>
  <si>
    <t>12 x 1kg</t>
  </si>
  <si>
    <t>RMSOP001-03</t>
  </si>
  <si>
    <t>SQUID FISH SAUCE (pet) 3x4500ml/16.47kg</t>
  </si>
  <si>
    <t>3x4500ml</t>
  </si>
  <si>
    <t>2x10 kg</t>
  </si>
  <si>
    <t>RMSOP001-05</t>
  </si>
  <si>
    <t>MP GREEN CURRY PASTE (VEGETARIAN) 12x1kg</t>
  </si>
  <si>
    <t>12x1 kg</t>
  </si>
  <si>
    <t>RMSOP001-06</t>
  </si>
  <si>
    <t>MP RED CURRY PASTE (VEGETARIAN) 12x1kg</t>
  </si>
  <si>
    <t>RMSOP001-07</t>
  </si>
  <si>
    <t>KHANUM MANGO CHUTNEY 4x5kg</t>
  </si>
  <si>
    <t>4x5kg</t>
  </si>
  <si>
    <t>RMSOU0011-03</t>
  </si>
  <si>
    <t>Mini Naan Bread ( Meal box ) 140g 125</t>
  </si>
  <si>
    <t>SOUNAS LTD</t>
  </si>
  <si>
    <t>1 x 2</t>
  </si>
  <si>
    <t>RMSTJ001-02</t>
  </si>
  <si>
    <t>SAMOSA PASTRY CUT MEDIUM</t>
  </si>
  <si>
    <t>ST.JAMES PASTRY LTD</t>
  </si>
  <si>
    <t>RMSTJ001-06</t>
  </si>
  <si>
    <t>SAMOSA PASTRY CUT- SMALL</t>
  </si>
  <si>
    <t>RMSTJ001-07</t>
  </si>
  <si>
    <t>FILO PASTRY</t>
  </si>
  <si>
    <t>RMSTJ001-10</t>
  </si>
  <si>
    <t>SAMOSA PASTRY SEEDED - CUT TO SIZE - 310MM X 105MM</t>
  </si>
  <si>
    <t>1 X 10kg</t>
  </si>
  <si>
    <t>RMSTJ001-11</t>
  </si>
  <si>
    <t>THICK PASTRY - CUT TO SIZE 310MM X 125MM</t>
  </si>
  <si>
    <t>RMSTJ001-12</t>
  </si>
  <si>
    <t xml:space="preserve">SAMOSA PASTRY SEEDED CUT 25G FOR CHRISTMAS </t>
  </si>
  <si>
    <t>RMSTJ001-16</t>
  </si>
  <si>
    <t>FILO PASTRY (CAT B) SIZE 80MM X 80MM</t>
  </si>
  <si>
    <t>RMSTJ001-17</t>
  </si>
  <si>
    <t>Yellow Pastry 160mm x 115mm</t>
  </si>
  <si>
    <t>RMSTJ001-18</t>
  </si>
  <si>
    <t>Basil &amp; Oregano 165mm x 115mm</t>
  </si>
  <si>
    <t>RMSTJ001-19</t>
  </si>
  <si>
    <t>SAMOSA PASTRY CUT LARGE (310mmx110mm) (CAT B)</t>
  </si>
  <si>
    <t>RMSTJ001-20</t>
  </si>
  <si>
    <t>MEDIUM SEEDED SAMOSA PASTRY - CUT TO SIZE- (1 x 10kg)</t>
  </si>
  <si>
    <t>RMSTJ001-23</t>
  </si>
  <si>
    <t>Basil and oregano small Pastry 200x65mm (1x10kg)</t>
  </si>
  <si>
    <t>RMSTJ001-24</t>
  </si>
  <si>
    <t>Yellow Pastry XL - 310mm X 125MM</t>
  </si>
  <si>
    <t>RMSTJ001-25</t>
  </si>
  <si>
    <t>PLAIN SAMOSA PASTRY 85MM x 235MM(ALDI)</t>
  </si>
  <si>
    <t>RMSTJ001-26</t>
  </si>
  <si>
    <t>Yellow Pastry Large - 310mm X 110MM</t>
  </si>
  <si>
    <t>RMTCK001-01</t>
  </si>
  <si>
    <t>10MM DICED ONIONS</t>
  </si>
  <si>
    <t>TCK Fresh Produce LTD</t>
  </si>
  <si>
    <t>RMTCK001-02</t>
  </si>
  <si>
    <t>10MM DICED POTATOES</t>
  </si>
  <si>
    <t>RMTCK001-03</t>
  </si>
  <si>
    <t>3 X 3 X20MM SHREDDED CARROTS</t>
  </si>
  <si>
    <t>RMTCK001-04</t>
  </si>
  <si>
    <t>3MM SHREDDED CABBAGE</t>
  </si>
  <si>
    <t>RMTCK001-05</t>
  </si>
  <si>
    <t>1x5kg</t>
  </si>
  <si>
    <t>RMTCK001-06</t>
  </si>
  <si>
    <t>DICED ONIONS 25MM</t>
  </si>
  <si>
    <t>RMTCK001-07</t>
  </si>
  <si>
    <t>DICED GREEN PEPPER 20MM</t>
  </si>
  <si>
    <t>RMTCK001-08</t>
  </si>
  <si>
    <t>CHOPPED ONION 2-6 MM</t>
  </si>
  <si>
    <t>RMTCK001-09</t>
  </si>
  <si>
    <t>FRESH CORIANDER CHOPPED</t>
  </si>
  <si>
    <t>RMTCK001-10</t>
  </si>
  <si>
    <t>Potato Diced 20MM</t>
  </si>
  <si>
    <t>RMTCK001-11</t>
  </si>
  <si>
    <t>GRATED POTATOES</t>
  </si>
  <si>
    <t>RMTCK001-12</t>
  </si>
  <si>
    <t>Chopped Spring Onions 20mm</t>
  </si>
  <si>
    <t>RMTCK001-13</t>
  </si>
  <si>
    <t>Chopped Spring Oninos 10mm</t>
  </si>
  <si>
    <t>RMTCK001-14</t>
  </si>
  <si>
    <t>Green Beans 10mm Fs</t>
  </si>
  <si>
    <t>RMTCK001-15</t>
  </si>
  <si>
    <t>Green Beans Baton 30mm (+-5)</t>
  </si>
  <si>
    <t>RMTCK001-16</t>
  </si>
  <si>
    <t>Carrots Half Baton 30mm Fs</t>
  </si>
  <si>
    <t>RMTCK001-17</t>
  </si>
  <si>
    <t>SHREDDED Baby Spinach</t>
  </si>
  <si>
    <t>RMTCK001-18</t>
  </si>
  <si>
    <t>Fresh Bean Sprouts Whole - Washed</t>
  </si>
  <si>
    <t>RMTCK001-19</t>
  </si>
  <si>
    <t>2mm sliced onions</t>
  </si>
  <si>
    <t>RMTCK001-20</t>
  </si>
  <si>
    <t>Pepper Red - CP cut</t>
  </si>
  <si>
    <t>RMTCK001-21</t>
  </si>
  <si>
    <t>Pepper Green - CP cut</t>
  </si>
  <si>
    <t>RMTCK001-22</t>
  </si>
  <si>
    <t>CP-CUT ONION</t>
  </si>
  <si>
    <t>RMTCK001-23</t>
  </si>
  <si>
    <t>Grated Sweet Potato 3MM</t>
  </si>
  <si>
    <t>RMTRA003-19</t>
  </si>
  <si>
    <t>10 Indian Prawn Selection 188g (1 X 15)</t>
  </si>
  <si>
    <t>TRANGS UK LTD</t>
  </si>
  <si>
    <t>1 x 15</t>
  </si>
  <si>
    <t>RMTRA003-20</t>
  </si>
  <si>
    <t>8 Prawn Baguette Toasts with soy &amp; ginger dip 254g (1 X 15)</t>
  </si>
  <si>
    <t>RMTRA003-21</t>
  </si>
  <si>
    <t>12 Piece Oriental Selection 220g (1 X 15)</t>
  </si>
  <si>
    <t>RMTRA003-22</t>
  </si>
  <si>
    <t>8 Bubble Tempura Prawns with Sweet Chilli Dip 190g (1 X 15)</t>
  </si>
  <si>
    <t>RMTRA003-23</t>
  </si>
  <si>
    <t>8 Fish, chip and pea rostis 224g (1 X 15)</t>
  </si>
  <si>
    <t>RMTRE001-01</t>
  </si>
  <si>
    <t>Polish Chicken Fillet 200-230g Vac Packed (2X5Kg)</t>
  </si>
  <si>
    <t>TRENTHAM FOODS LTD</t>
  </si>
  <si>
    <t>2 x 5KG</t>
  </si>
  <si>
    <t>RMTHG001-01</t>
  </si>
  <si>
    <t>PINEAPPLE CONCENTRATE 60 BX CLOUDY</t>
  </si>
  <si>
    <t>Th. Geyer Ingredients UK Ltd</t>
  </si>
  <si>
    <t>1 X 20KG</t>
  </si>
  <si>
    <t>RMTOP001-10</t>
  </si>
  <si>
    <t>CITRIC ACID</t>
  </si>
  <si>
    <t>TOP-OP (FOODS) LTD</t>
  </si>
  <si>
    <t>1X25KG</t>
  </si>
  <si>
    <t>RMTOP001-11</t>
  </si>
  <si>
    <t>TAMARIND CONCENTRATE</t>
  </si>
  <si>
    <t>6 X 1KG</t>
  </si>
  <si>
    <t>RMTOP001-16</t>
  </si>
  <si>
    <t>RICE FLOUR</t>
  </si>
  <si>
    <t>RMTOP001-26</t>
  </si>
  <si>
    <t>CHICK PEAS</t>
  </si>
  <si>
    <t>RMTOP001-27</t>
  </si>
  <si>
    <t>GROUND ALMONDS (CAT A)</t>
  </si>
  <si>
    <t>RMTOP001-29</t>
  </si>
  <si>
    <t>CURRY LEAVES</t>
  </si>
  <si>
    <t>6X500G</t>
  </si>
  <si>
    <t>RMTOP001-30</t>
  </si>
  <si>
    <t>TOPOP DESI COCONUT MED 1 X 25KG</t>
  </si>
  <si>
    <t>RMTOP001-33</t>
  </si>
  <si>
    <t>DRIED BAY LEAF</t>
  </si>
  <si>
    <t>1 X 1 KG</t>
  </si>
  <si>
    <t>RMTOP001-35</t>
  </si>
  <si>
    <t>TOP-OP FENNEL POWDER</t>
  </si>
  <si>
    <t>20 X 100G</t>
  </si>
  <si>
    <t>RMTOP001-36</t>
  </si>
  <si>
    <t>WHOLE GREEN CARDMOM</t>
  </si>
  <si>
    <t>10 X 200G</t>
  </si>
  <si>
    <t>RMTOP001-39</t>
  </si>
  <si>
    <t>TOPOP VALIARY GREEN (WHOLE FENNEL)</t>
  </si>
  <si>
    <t>RMTOP001-40</t>
  </si>
  <si>
    <t>TOPOP CLOVES (WHOLE)</t>
  </si>
  <si>
    <t>RMTOP001-51</t>
  </si>
  <si>
    <t>NEW: CLOVE POWDER</t>
  </si>
  <si>
    <t>20 X 50G</t>
  </si>
  <si>
    <t>RMTOP001-52</t>
  </si>
  <si>
    <t>MIXED HERBS (6 x 300)</t>
  </si>
  <si>
    <t>6 x 300G</t>
  </si>
  <si>
    <t>RMTOP001-56</t>
  </si>
  <si>
    <t>DRIED OREGANO</t>
  </si>
  <si>
    <t>RMTOP001-58</t>
  </si>
  <si>
    <t>Cinnamon Powder (10x300g )</t>
  </si>
  <si>
    <t>10x300g</t>
  </si>
  <si>
    <t>RMTOP001-59</t>
  </si>
  <si>
    <t>Elaichi Powder (10x300g)</t>
  </si>
  <si>
    <t>RMTOP001-61</t>
  </si>
  <si>
    <t>CASHEW NUT BROKEN/LP 1x50lbs</t>
  </si>
  <si>
    <t>1x50lbs</t>
  </si>
  <si>
    <t>RMTOP001-64</t>
  </si>
  <si>
    <t>CHINESE FIVE SPICE POWDER (1 x 20KG)</t>
  </si>
  <si>
    <t>RMTOP001-67</t>
  </si>
  <si>
    <t>Cinnamon Powder (6x1 kg )</t>
  </si>
  <si>
    <t>6x1 kg</t>
  </si>
  <si>
    <t>RMTOP001-68</t>
  </si>
  <si>
    <t>TOP-OP AMCHOOR POWDER (10 X 400g)</t>
  </si>
  <si>
    <t>10x400g</t>
  </si>
  <si>
    <t>RMTOP001-69</t>
  </si>
  <si>
    <t>TOP-OP caraway seeds (20 X 100g)</t>
  </si>
  <si>
    <t>20x100g</t>
  </si>
  <si>
    <t>RMTOP001-70</t>
  </si>
  <si>
    <t>SOYA MINCE (6x1 kg)</t>
  </si>
  <si>
    <t>RMTOP001-71</t>
  </si>
  <si>
    <t>Ginger Powder(10x400g)</t>
  </si>
  <si>
    <t>RMTOP001-72</t>
  </si>
  <si>
    <t>Chinese Five Spice Powder (20*100g)</t>
  </si>
  <si>
    <t>RMTOP001-74</t>
  </si>
  <si>
    <t>Moong Dal Yellow 4 X5 kg</t>
  </si>
  <si>
    <t>4X5 Kg</t>
  </si>
  <si>
    <t>RMTOP001-75</t>
  </si>
  <si>
    <t>Red Lentils (1 X 25KG)</t>
  </si>
  <si>
    <t>1 X 25 Kg</t>
  </si>
  <si>
    <t>RMUKM001-01</t>
  </si>
  <si>
    <t>DICED PANEER 16mm</t>
  </si>
  <si>
    <t>UKAY KHOA MANUFACTURING LTD</t>
  </si>
  <si>
    <t>1 X 5kg</t>
  </si>
  <si>
    <t>CORN FLOUR MERITENA 100 -  25K BG</t>
  </si>
  <si>
    <t>UNIVAR SOLUTIONS BV</t>
  </si>
  <si>
    <t>RMUPB001-02</t>
  </si>
  <si>
    <t>Vegetable Samosa 15g  (50pcs x 6pkt)</t>
  </si>
  <si>
    <t>U.P.B. PRODUCTS LTD</t>
  </si>
  <si>
    <t>50 X 6</t>
  </si>
  <si>
    <t>RMVIR001-04</t>
  </si>
  <si>
    <t>AJWAIN SEEDS</t>
  </si>
  <si>
    <t>VIRANI FOOD PRODUCTS LTD</t>
  </si>
  <si>
    <t>1X20KG</t>
  </si>
  <si>
    <t>RMVIR001-05</t>
  </si>
  <si>
    <t>CUMMIN POWDER</t>
  </si>
  <si>
    <t>RMVIR001-11</t>
  </si>
  <si>
    <t>MUSTARD SEED WHOLE</t>
  </si>
  <si>
    <t>RMVIR001-12</t>
  </si>
  <si>
    <t>GARAM MASALA</t>
  </si>
  <si>
    <t>RMVIR001-13</t>
  </si>
  <si>
    <t>GROUND CORIANDER</t>
  </si>
  <si>
    <t>RMVIR001-23</t>
  </si>
  <si>
    <t>CRUSHED CORRIANDER</t>
  </si>
  <si>
    <t>RMVIR001-24</t>
  </si>
  <si>
    <t>Tikka Seasoning (reduced salt)</t>
  </si>
  <si>
    <t>RMVIR001-25</t>
  </si>
  <si>
    <t>Paprika Oleoresin BI00616</t>
  </si>
  <si>
    <t>1x 3.4kg</t>
  </si>
  <si>
    <t>RMVIR001-27</t>
  </si>
  <si>
    <t>Veg Buillion</t>
  </si>
  <si>
    <t>1 x 25KG</t>
  </si>
  <si>
    <t>RMVIR001-29</t>
  </si>
  <si>
    <t>KALONGI -ONION SEEDS</t>
  </si>
  <si>
    <t>RMVIR001-33</t>
  </si>
  <si>
    <t>KOHINOOR GRAM FLOUR (8 X 2KG)</t>
  </si>
  <si>
    <t>8 X 2KG</t>
  </si>
  <si>
    <t>RMVIR001-38</t>
  </si>
  <si>
    <t>Ginger powder</t>
  </si>
  <si>
    <t>RMVIR001-49</t>
  </si>
  <si>
    <t>Mace powder</t>
  </si>
  <si>
    <t>RMVIR001-51</t>
  </si>
  <si>
    <t>CRUSHED CHILLIES</t>
  </si>
  <si>
    <t>1X12.5KG</t>
  </si>
  <si>
    <t>RMVIR001-54</t>
  </si>
  <si>
    <t>Fenugreek leaf Kibbled</t>
  </si>
  <si>
    <t>1 x 6kg</t>
  </si>
  <si>
    <t>RMVIR001-55</t>
  </si>
  <si>
    <t>MADRAS CURRY POWDER - (Triton)</t>
  </si>
  <si>
    <t>RMVIR001-56</t>
  </si>
  <si>
    <t>Tandoori Masala Seasoning</t>
  </si>
  <si>
    <t>RMVIR001-59</t>
  </si>
  <si>
    <t>FRIED ONIONS</t>
  </si>
  <si>
    <t>RMVIR001-60</t>
  </si>
  <si>
    <t>JAGGERY BROWN</t>
  </si>
  <si>
    <t>1 X 16KG</t>
  </si>
  <si>
    <t>RMVIR001-65</t>
  </si>
  <si>
    <t>Ground Smoked Paprika Heat Treated</t>
  </si>
  <si>
    <t>RMVIR001-66</t>
  </si>
  <si>
    <t>Asofoetida</t>
  </si>
  <si>
    <t>1 X 5KG</t>
  </si>
  <si>
    <t>RMVIR001-67</t>
  </si>
  <si>
    <t>Red Lentils</t>
  </si>
  <si>
    <t>RMVIR001-68</t>
  </si>
  <si>
    <t>Channa Dall</t>
  </si>
  <si>
    <t>RMVIR001-69</t>
  </si>
  <si>
    <t>Ground Nutmeg (1 x 10KG)</t>
  </si>
  <si>
    <t>RMVIR001-70</t>
  </si>
  <si>
    <t>Roasted Garam Masala (1x 25KG)</t>
  </si>
  <si>
    <t>RMVIR001-71</t>
  </si>
  <si>
    <t>Channa Masala Seasoning (1X25KG)</t>
  </si>
  <si>
    <t>RMVIR001-72</t>
  </si>
  <si>
    <t>Toor Dall (1 x 25KG)</t>
  </si>
  <si>
    <t>RMVIR001-73</t>
  </si>
  <si>
    <t>Moong Dall (1 X 25KG)</t>
  </si>
  <si>
    <t>RMVIR001-74</t>
  </si>
  <si>
    <t>Ground Pepper White Heat Treated (1 x 25KG)</t>
  </si>
  <si>
    <t>RMVIR001-76</t>
  </si>
  <si>
    <t>Pepper Black Ground HT (1 X 25KG)</t>
  </si>
  <si>
    <t>RMVIR001-78</t>
  </si>
  <si>
    <t>Tikka Masala Seasoning (No Sugar) (for mindful)(1x 10kg)</t>
  </si>
  <si>
    <t>RMVIR001-79</t>
  </si>
  <si>
    <t>Chilli Powder 25 Scoville (1x25kg)</t>
  </si>
  <si>
    <t>RMVIR001-80</t>
  </si>
  <si>
    <t>RMVIR001-81</t>
  </si>
  <si>
    <t>RMVIR001-82</t>
  </si>
  <si>
    <t>Paprika Ground Heat Treated (1X25kg)</t>
  </si>
  <si>
    <t>RMVIR001-83</t>
  </si>
  <si>
    <t>Pepper Black Coarse HT (1X25 kg)</t>
  </si>
  <si>
    <t>RMVIR001-84</t>
  </si>
  <si>
    <t>Garlic Powder (1x25kg)</t>
  </si>
  <si>
    <t>RMVIR001-85</t>
  </si>
  <si>
    <t>GARLIC MINCED 1-2.5MM (1x10kg)</t>
  </si>
  <si>
    <t>RMVIR001-86</t>
  </si>
  <si>
    <t>Mustard Powder (1x25kg)</t>
  </si>
  <si>
    <t>RMVIR001-87</t>
  </si>
  <si>
    <t>Tamarind Paste (1X25 KG)</t>
  </si>
  <si>
    <t>RMVIR001-89</t>
  </si>
  <si>
    <t>Pul Biber HT (1X10KG)</t>
  </si>
  <si>
    <t>RMVIR001-90</t>
  </si>
  <si>
    <t>KOHINOOR GRAM FLOUR (1X20KG)</t>
  </si>
  <si>
    <t>RMVIR001-91</t>
  </si>
  <si>
    <t>Balti Spice Mix (1x10kg)</t>
  </si>
  <si>
    <t>RMWEI001-01</t>
  </si>
  <si>
    <t>Chicken Samosa 40g - 50pcs*4 bags- 8kg</t>
  </si>
  <si>
    <t>WEIFANG BIONH FOOD TECH CO. LTD</t>
  </si>
  <si>
    <t>50x4</t>
  </si>
  <si>
    <t>RMWEI001-02</t>
  </si>
  <si>
    <t>Chicken Spring Roll 35g - 60pcs*4bags-8.4kg</t>
  </si>
  <si>
    <t>60x4</t>
  </si>
  <si>
    <t>RMWEI002-01</t>
  </si>
  <si>
    <t>Chicken Samosa 40g - 60pcs*4 bags- 9.6kg</t>
  </si>
  <si>
    <t>RMWEI002-02</t>
  </si>
  <si>
    <t>Chicken Springroll 30g - 70pcs*4 bags- 8.4kg</t>
  </si>
  <si>
    <t>RMWEI002-03</t>
  </si>
  <si>
    <t>Veg Springroll 30g - 70pcs*4 bags- 8.4kg</t>
  </si>
  <si>
    <t>RMWEI002-04</t>
  </si>
  <si>
    <t>Veg Springroll 20g - 100pcs*4 bags- 8kg&gt;</t>
  </si>
  <si>
    <t>RMWES001-01</t>
  </si>
  <si>
    <t xml:space="preserve">NEW: BALTI PASTE </t>
  </si>
  <si>
    <t>WEST MILL</t>
  </si>
  <si>
    <t>RMWES001-02</t>
  </si>
  <si>
    <t>G/DRAGN THAI FRAG RCE 1 X 20KG</t>
  </si>
  <si>
    <t>RMWES001-05</t>
  </si>
  <si>
    <t>AMOY HOISIN BBQ SCE 6X2.3KG</t>
  </si>
  <si>
    <t>6x2.3 kg</t>
  </si>
  <si>
    <t>RMWES001-06</t>
  </si>
  <si>
    <t>Thick Free-Range Egg Noodles (1x9kg)</t>
  </si>
  <si>
    <t>1x9kg</t>
  </si>
  <si>
    <t>RMWHI001-03</t>
  </si>
  <si>
    <t xml:space="preserve">Quality Plain Flour  </t>
  </si>
  <si>
    <t>WHITWORTH BROS.LTD</t>
  </si>
  <si>
    <t>1 x 16kg</t>
  </si>
  <si>
    <t>simmers 27/07</t>
  </si>
  <si>
    <t>cooks 28/07</t>
  </si>
  <si>
    <t>Mindfull 30/07</t>
  </si>
  <si>
    <t>Oakhhouse 29/07</t>
  </si>
  <si>
    <t>Total 03-Aug Simmers+J+K+L+M</t>
  </si>
  <si>
    <t>status</t>
  </si>
  <si>
    <t>okay</t>
  </si>
  <si>
    <t>Case Order Code</t>
  </si>
  <si>
    <t>Case Name</t>
  </si>
  <si>
    <t>Cases Required</t>
  </si>
  <si>
    <t>Total Cases Issued</t>
  </si>
  <si>
    <t>Trace Number</t>
  </si>
  <si>
    <t>Signature (Despatch Supervisor)</t>
  </si>
  <si>
    <t>Signature (Packing Supervisor)</t>
  </si>
  <si>
    <t>PKCON001-53</t>
  </si>
  <si>
    <t>B187 TRAY BOX</t>
  </si>
  <si>
    <t/>
  </si>
  <si>
    <t>Boxes</t>
  </si>
  <si>
    <t>out stock</t>
  </si>
  <si>
    <t>Total 03-Aug+27 Aug</t>
  </si>
  <si>
    <t>Not Okay</t>
  </si>
  <si>
    <t>Tray</t>
  </si>
  <si>
    <t>Tray Order Code</t>
  </si>
  <si>
    <t>Tray Supplier</t>
  </si>
  <si>
    <t>Tray Inventory Code</t>
  </si>
  <si>
    <t>Name Of Tray</t>
  </si>
  <si>
    <t>Tray Qty</t>
  </si>
  <si>
    <t>PKNOV001-02</t>
  </si>
  <si>
    <t>Novato Packaging BV</t>
  </si>
  <si>
    <t>B187/45 Cuisine Kraft Tray</t>
  </si>
  <si>
    <t>B187/45</t>
  </si>
  <si>
    <t>PKNOV001-01</t>
  </si>
  <si>
    <t>B187/60 Cuisine Kraft Tray</t>
  </si>
  <si>
    <t>B187/60</t>
  </si>
  <si>
    <t>PKCON001-03</t>
  </si>
  <si>
    <t xml:space="preserve">596 X 2  -  320 X 254 X 124				</t>
  </si>
  <si>
    <t>CONNECT PACKAGING</t>
  </si>
  <si>
    <t>box</t>
  </si>
  <si>
    <t>1 X 640</t>
  </si>
  <si>
    <t>PKCON001-07</t>
  </si>
  <si>
    <t xml:space="preserve">SK4-  288 X 195 X 132				</t>
  </si>
  <si>
    <t>1 X 960</t>
  </si>
  <si>
    <t>PKCON001-08</t>
  </si>
  <si>
    <t xml:space="preserve">SK45 X 6  -  345 X 218 X 145				</t>
  </si>
  <si>
    <t>PKCON001-16</t>
  </si>
  <si>
    <t>NEW MULTIPACK - 150K/150T 'B' FLUTE (450 X 350 X 165) - freezer</t>
  </si>
  <si>
    <t>1 x 600</t>
  </si>
  <si>
    <t>PKCON001-19</t>
  </si>
  <si>
    <t>GMB2 323 x 210 x 195mm</t>
  </si>
  <si>
    <t>1 x 700</t>
  </si>
  <si>
    <t>PKCON001-20</t>
  </si>
  <si>
    <t>NEW COSTCO 2 X 4 : 480 X 246 X 308(1 x 320) V1/12/24</t>
  </si>
  <si>
    <t>1 x 320</t>
  </si>
  <si>
    <t>PKCON001-23</t>
  </si>
  <si>
    <t>NEW Duo Pot  - ORANGE - 300 x 90 x 148  (1 x 2100)</t>
  </si>
  <si>
    <t>1 x 2100</t>
  </si>
  <si>
    <t>PKCON001-24</t>
  </si>
  <si>
    <t>NEW Retail Pack - RED (300 x 148 x 189)(1X1200)</t>
  </si>
  <si>
    <t>1 x 1200</t>
  </si>
  <si>
    <t>PKCON001-27</t>
  </si>
  <si>
    <t>DUO POT - PLAIN 300 X 90 X 148 (1x2100)</t>
  </si>
  <si>
    <t>PKCON001-29</t>
  </si>
  <si>
    <t>2200- (310 x 210 x 95) (1 X 1050)</t>
  </si>
  <si>
    <t>1 X 1050</t>
  </si>
  <si>
    <t>PKCON001-30</t>
  </si>
  <si>
    <t>2200-2C (320 X 210 X 70) (1 x 525)</t>
  </si>
  <si>
    <t>PKCON001-31</t>
  </si>
  <si>
    <t>2171 - 1F ( 352 x 260 x 106) ( 1 x 640)</t>
  </si>
  <si>
    <t>1 x 640</t>
  </si>
  <si>
    <t>PKCON001-33</t>
  </si>
  <si>
    <t>TAKUL SNACK SRP (300 x 148 x 189) (1 x 1200)</t>
  </si>
  <si>
    <t>PKCON001-35</t>
  </si>
  <si>
    <t>NEW GRAB AND GO x 6 TUBS (280 x 148 x 134)(1 x 1400)</t>
  </si>
  <si>
    <t>1 x 1400</t>
  </si>
  <si>
    <t>PKCON001-36</t>
  </si>
  <si>
    <t>Plain - NEW GRAB AND GO x 6 TUBS (280 x 148 x 134)(1 x 1280)</t>
  </si>
  <si>
    <t>1 x 1280</t>
  </si>
  <si>
    <t>PKCON001-37</t>
  </si>
  <si>
    <t>GF -  4 x  HW 308/60 (334 x 258 x 265) (1 x 640)</t>
  </si>
  <si>
    <t>PKCON001-39</t>
  </si>
  <si>
    <t>Flat Tray Box - 320x205x180 (1x1200)</t>
  </si>
  <si>
    <t>Box</t>
  </si>
  <si>
    <t>1X1200</t>
  </si>
  <si>
    <t>PKCON001-40</t>
  </si>
  <si>
    <t>LIDL SRP BOX - 294 x 175 x 144 - NEW SIZE</t>
  </si>
  <si>
    <t>1x1600</t>
  </si>
  <si>
    <t>PKCON001-41</t>
  </si>
  <si>
    <t>LIDL SRP LIDS - NEW SIZE</t>
  </si>
  <si>
    <t>1x3200</t>
  </si>
  <si>
    <t>PKCON001-42</t>
  </si>
  <si>
    <t>Takul Grab &amp; Go x 6 tubs</t>
  </si>
  <si>
    <t>1x1280</t>
  </si>
  <si>
    <t>B187 Tray box (382x283x248) (1x320)</t>
  </si>
  <si>
    <t>1x320</t>
  </si>
  <si>
    <t>Trays</t>
  </si>
  <si>
    <t>PKESS001-06</t>
  </si>
  <si>
    <t>SK4 - SPLITCL1</t>
  </si>
  <si>
    <t>ENVIROPAX LTD (ESSEX EXTRUSION)</t>
  </si>
  <si>
    <t>PKESS001-07</t>
  </si>
  <si>
    <t>SK4-40CL1</t>
  </si>
  <si>
    <t>1 x 500</t>
  </si>
  <si>
    <t>PKESS001-08</t>
  </si>
  <si>
    <t>Wrap Tray - 180 x 100 x 47 - 1 X 1050</t>
  </si>
  <si>
    <t>PKESS001-09</t>
  </si>
  <si>
    <t>Grab &amp; Go SQ Tray (141 X 141X40)(1x900)</t>
  </si>
  <si>
    <t xml:space="preserve">1 X 900 </t>
  </si>
  <si>
    <t>PKESS001-10</t>
  </si>
  <si>
    <t>HW308/60 - 3 CAVITY TRANS - 352X246X60</t>
  </si>
  <si>
    <t>1 X 160</t>
  </si>
  <si>
    <t>PKESS001-12</t>
  </si>
  <si>
    <t>HW 308/60 TRANS OPEN ECO - 352X246X60</t>
  </si>
  <si>
    <t>1 X160</t>
  </si>
  <si>
    <t>PKESS001-13</t>
  </si>
  <si>
    <t>SK5-SPLITCL1 - 219x168x45(1x400)</t>
  </si>
  <si>
    <t>1x400</t>
  </si>
  <si>
    <t>PKPAC001-01</t>
  </si>
  <si>
    <t>Flat Tray - 200x155x39</t>
  </si>
  <si>
    <t>Pack Benefit</t>
  </si>
  <si>
    <t>1x5250</t>
  </si>
  <si>
    <t>PKHUH001-02</t>
  </si>
  <si>
    <t>Pie Tray - 170x120x49</t>
  </si>
  <si>
    <t xml:space="preserve">Huhtamaki Lurgan Ltd </t>
  </si>
  <si>
    <t>1 X12960</t>
  </si>
  <si>
    <t>PKLEE001-01</t>
  </si>
  <si>
    <t>2 X CAVITY DIP POT</t>
  </si>
  <si>
    <t>LEEWAYS PACKAGING SERVICES LTD</t>
  </si>
  <si>
    <t>1x 1050</t>
  </si>
  <si>
    <t>PKLEE001-05</t>
  </si>
  <si>
    <t>Single Cavity Tray 149mm x 85mm x 43mm</t>
  </si>
  <si>
    <t>PKLEE001-08</t>
  </si>
  <si>
    <t>HW308/60 3 x cavity ECO Transparent</t>
  </si>
  <si>
    <t>1 x 140</t>
  </si>
  <si>
    <t>PKLEE001-09</t>
  </si>
  <si>
    <t>HW308/60 - OPEN ECO</t>
  </si>
  <si>
    <t>1 x 144</t>
  </si>
  <si>
    <t>PKLEE001-10</t>
  </si>
  <si>
    <t xml:space="preserve">HW308/96 -  OPEN ECO       </t>
  </si>
  <si>
    <t>1 x 120</t>
  </si>
  <si>
    <t>PKLEE001-13</t>
  </si>
  <si>
    <t>Grab &amp; Go SQ Tray (141 X 141)  (1 X 792)</t>
  </si>
  <si>
    <t>1 X 792</t>
  </si>
  <si>
    <t>PKPRO001-19</t>
  </si>
  <si>
    <t>554 natural (320x245x115mm) Trays</t>
  </si>
  <si>
    <t>BERRY SUPERFOS</t>
  </si>
  <si>
    <t>1 X 110</t>
  </si>
  <si>
    <t>PKPRO001-20</t>
  </si>
  <si>
    <t xml:space="preserve">597 natural (320x245x50mm) </t>
  </si>
  <si>
    <t>1 X 170</t>
  </si>
  <si>
    <t>PKRHP001-08</t>
  </si>
  <si>
    <t>EVOLVE CPET 2200-1E</t>
  </si>
  <si>
    <t>RH PACKAGING LIMITED</t>
  </si>
  <si>
    <t>1 x 9000</t>
  </si>
  <si>
    <t>PKRHP001-09</t>
  </si>
  <si>
    <t>EVOLVE CPET 2200-1D</t>
  </si>
  <si>
    <t>1 x 11400</t>
  </si>
  <si>
    <t>PKRHP001-10</t>
  </si>
  <si>
    <t>EVOLVE CPET 2200-2F</t>
  </si>
  <si>
    <t>1 x 10400</t>
  </si>
  <si>
    <t>PKRHP001-11</t>
  </si>
  <si>
    <t>EVOLVE CPET 2200-2B</t>
  </si>
  <si>
    <t>1 x 10600</t>
  </si>
  <si>
    <t>PKRHP001-14</t>
  </si>
  <si>
    <t>EVOLVE CPET 2171-1F FROST</t>
  </si>
  <si>
    <t>1 x 13824</t>
  </si>
  <si>
    <t>PKRHP001-16</t>
  </si>
  <si>
    <t>EVOLVE CPET 2200-2C RED (1 x 8856)</t>
  </si>
  <si>
    <t>1 x 8856</t>
  </si>
  <si>
    <t>PKSYS002-02</t>
  </si>
  <si>
    <t>120ml Tamper Evident Container &amp; Lid (1X1174)</t>
  </si>
  <si>
    <t>systemPAK LTD</t>
  </si>
  <si>
    <t>1X1174</t>
  </si>
  <si>
    <t>PKSYS002-03</t>
  </si>
  <si>
    <t>80ml Pot &amp; Lid (1x1175)</t>
  </si>
  <si>
    <t>1X1175</t>
  </si>
  <si>
    <t>1 x 630</t>
  </si>
  <si>
    <t>1 x 750</t>
  </si>
  <si>
    <t>Film</t>
  </si>
  <si>
    <t>PKCLI001-01</t>
  </si>
  <si>
    <t>25mu Weld Seal Mono PET Film (300mm x 1000lm)</t>
  </si>
  <si>
    <t>Clifton Packaging</t>
  </si>
  <si>
    <t>film</t>
  </si>
  <si>
    <t>1x1000</t>
  </si>
  <si>
    <t>PKCLI001-02</t>
  </si>
  <si>
    <t>25mu Weld Seal Mono PET Film (240mm x 1000lm)</t>
  </si>
  <si>
    <t xml:space="preserve">Cliffton Packaging </t>
  </si>
  <si>
    <t>PKCLI001-04</t>
  </si>
  <si>
    <t>25mu Weld Seal Mono PET Film (340mm x 1000lm)</t>
  </si>
  <si>
    <t>PKKMP001-03</t>
  </si>
  <si>
    <t>K peel 7G+25A/f-275mm (275mmX1000) (MOQ:60)</t>
  </si>
  <si>
    <t>KM PACKAGING SERVICES LTD</t>
  </si>
  <si>
    <t>PKKMP001-04</t>
  </si>
  <si>
    <t>K Peel 3G 25µm (275mmX1000lm)(MOQ:60)</t>
  </si>
  <si>
    <t>1 x 1000</t>
  </si>
  <si>
    <t>PKKMP001-05</t>
  </si>
  <si>
    <t>K Peel RPSM 25µm (340mmX1000lm)(MOQ:60)</t>
  </si>
  <si>
    <t>1X1000</t>
  </si>
  <si>
    <t>PKKMP001-06</t>
  </si>
  <si>
    <t>AF Weld Film (270mmX1000lm)</t>
  </si>
  <si>
    <t>PKKMP001-07</t>
  </si>
  <si>
    <t>AF Weld Film (300mmX1000lm)</t>
  </si>
  <si>
    <t>PKKMP001-08</t>
  </si>
  <si>
    <t>K peel 7G+25A/f-240mm (240mmX1000)</t>
  </si>
  <si>
    <t>PKKMP001-09</t>
  </si>
  <si>
    <t>K-Peel EIPS N 45 (250mmX850lm)(MOQ40)</t>
  </si>
  <si>
    <t>1X850</t>
  </si>
  <si>
    <t>PKKIT001-01</t>
  </si>
  <si>
    <t>390mmX 600mm X 6 mu, Clear on Extended core (270 rolls/pallet)</t>
  </si>
  <si>
    <t>Kite Packaging Ltd</t>
  </si>
  <si>
    <t>1X240</t>
  </si>
  <si>
    <t>PKPRO001-17</t>
  </si>
  <si>
    <t>S340AF 340mmX510mm AF&amp;HB Weld</t>
  </si>
  <si>
    <t>Other items</t>
  </si>
  <si>
    <t>PKJEN001-03</t>
  </si>
  <si>
    <t>Satco 2oz Pots with Lids</t>
  </si>
  <si>
    <t>JENPAK LTD</t>
  </si>
  <si>
    <t>Others</t>
  </si>
  <si>
    <t>1 X 800</t>
  </si>
  <si>
    <t>PKTRI001-01</t>
  </si>
  <si>
    <t>390mm x 600m x 6mu,clear on extended core (270 rolls/pallet)</t>
  </si>
  <si>
    <t>Trioworld UK Ltd</t>
  </si>
  <si>
    <t>1 x 1</t>
  </si>
  <si>
    <t>PKPMC001-01</t>
  </si>
  <si>
    <t>29.5 x 35.5 Blue Tint 4021 2% LD Sheet for Food Use 500's K2</t>
  </si>
  <si>
    <t>PMC POLYTHENE LTD</t>
  </si>
  <si>
    <t>1 X 500</t>
  </si>
  <si>
    <t>PKPMC001-02</t>
  </si>
  <si>
    <t>13 X20 X20 BLUE TINT BAGS (1 X 500)(MOQ:140)</t>
  </si>
  <si>
    <t>PKPMC001-05</t>
  </si>
  <si>
    <t>13”Wx15”Lx45mu (2% Blue Tint(to be blast freeze) food Grade</t>
  </si>
  <si>
    <t>PKPMC001-06</t>
  </si>
  <si>
    <t>Blue tint food safe flat polybag (254 x 381mm)</t>
  </si>
  <si>
    <t>1 X 1000</t>
  </si>
  <si>
    <t>PKPRI001-01</t>
  </si>
  <si>
    <t>48MM X 66MM PRIMA CLEAR POLY TAPE</t>
  </si>
  <si>
    <t>PRIMA TAPES &amp; LABELS LTD</t>
  </si>
  <si>
    <t>1 X 36</t>
  </si>
  <si>
    <t>Labels</t>
  </si>
  <si>
    <t>PKADV001-35</t>
  </si>
  <si>
    <t>Spar - Sweet Potato Falafel W/Houmous Dip (60 mm x 300 mm) V2/04/21</t>
  </si>
  <si>
    <t>ADVANCE LABELS LTD</t>
  </si>
  <si>
    <t>PKADV001-44</t>
  </si>
  <si>
    <t>Spar - Spinach &amp; Feta Parcels 130g (100 mm x 263 mm)</t>
  </si>
  <si>
    <t>PKTHE006-01</t>
  </si>
  <si>
    <t>G&amp;G Chicken Tikka Samosa (95mm x 268mm)</t>
  </si>
  <si>
    <t>The Label Makers LTD</t>
  </si>
  <si>
    <t>PKTHE006-02</t>
  </si>
  <si>
    <t>G&amp;G Lamb Samosa (95mm x 268mm)</t>
  </si>
  <si>
    <t>PKTHE006-03</t>
  </si>
  <si>
    <t>G&amp;G Veg Samosa ( 95mm x 268mm)</t>
  </si>
  <si>
    <t>PKTHE006-04</t>
  </si>
  <si>
    <t>G&amp;G Mexican Chicken (95 x268mm)</t>
  </si>
  <si>
    <t>PKTHE006-05</t>
  </si>
  <si>
    <t>G&amp;G Peri Peri Chicken (95 x 268mm)</t>
  </si>
  <si>
    <t>PKTHE006-06</t>
  </si>
  <si>
    <t>LIDL - Chicken Tikka Samosa (95mm x 268mm)- 12.25</t>
  </si>
  <si>
    <t>PKTHE006-07</t>
  </si>
  <si>
    <t>LIDL - Veg Samosa ( 95mm x 268mm)- 12.25</t>
  </si>
  <si>
    <t>PKTHE006-08</t>
  </si>
  <si>
    <t>Indian Selection W/Dip  (60mm x 300 mm)</t>
  </si>
  <si>
    <t>PKTHE006-09</t>
  </si>
  <si>
    <t>Chicken Tikka Bites W/Mint Raita Dip (60 mm x 300 mm)</t>
  </si>
  <si>
    <t>PKTHE006-10</t>
  </si>
  <si>
    <t>Sweet Potato Falafel W/Houmous Dip (60 mm x 300 mm )</t>
  </si>
  <si>
    <t>PKTHE006-11</t>
  </si>
  <si>
    <t>Onion Bhaji | 80G X 6 (60mm x 300 mm)</t>
  </si>
  <si>
    <t>PKTHE006-12</t>
  </si>
  <si>
    <t>Spar - Sweet Potato Falafel W/Houmous Dip (60 mm x 300 mm)</t>
  </si>
  <si>
    <t>PKTHE006-13</t>
  </si>
  <si>
    <t>Gazebo Street Food (76x76mm)</t>
  </si>
  <si>
    <t>PKPRI001-04</t>
  </si>
  <si>
    <t>PLAIN THERMAL LABELS 75mmx125mm</t>
  </si>
  <si>
    <t>PKPRI001-27</t>
  </si>
  <si>
    <t>GREEN THERMAL LABELS 75mmx124mm</t>
  </si>
  <si>
    <t>PKPRI001-28</t>
  </si>
  <si>
    <t>RED THERMAL LABELS 75mmx125mm</t>
  </si>
  <si>
    <t>PKPRI001-29</t>
  </si>
  <si>
    <t>BLUE THERMAL LABELS 75mmx125mm</t>
  </si>
  <si>
    <t>PKPRI001-30</t>
  </si>
  <si>
    <t>YELLOW THERMAL LABELS 75mmx125mm</t>
  </si>
  <si>
    <t>PKPRI001-47</t>
  </si>
  <si>
    <t>OL - GZ GG Veg Samosa 1 x 6  - 75MMX124MM - 1 X 1000</t>
  </si>
  <si>
    <t>PKPRI001-48</t>
  </si>
  <si>
    <t>OL - GZ GG Chic Samosa 1 x 6 - 75MMX124MM - 1 X 1000</t>
  </si>
  <si>
    <t>PKPRI001-49</t>
  </si>
  <si>
    <t>OL - GZ GG Lamb Samosa 1 x 6 - 75MMX124MM - 1 X 1000</t>
  </si>
  <si>
    <t>PKPRI001-50</t>
  </si>
  <si>
    <t>OL - Booths Chick Tikka Rice 400G - 75MMX124MM - 1 X 1000</t>
  </si>
  <si>
    <t>PKPRI001-51</t>
  </si>
  <si>
    <t>OL - Booths Chick Korma Rice 400G - 75MMX124MM - 1 X 1000</t>
  </si>
  <si>
    <t>PKPRI001-52</t>
  </si>
  <si>
    <t>OL - Booths Butter Chick 350G - 75MMX124MM - 1 X 1000</t>
  </si>
  <si>
    <t>PKPRI001-53</t>
  </si>
  <si>
    <t>OL - Booths Saag Aloo Gobi 300G - 75MMX124MM - 1 X 1000</t>
  </si>
  <si>
    <t>PKPRI001-54</t>
  </si>
  <si>
    <t>OL - Booths Pilau Rice/Onion 300G - 75MMX124MM - 1 X 1000</t>
  </si>
  <si>
    <t>PKPRI001-55</t>
  </si>
  <si>
    <t>OL - Booths Chick Tikka Mas 350G - 75MMX124MM - 1 X 1000</t>
  </si>
  <si>
    <t>PKPRI001-56</t>
  </si>
  <si>
    <t>OL - Booths Chick Madras 350G - 75MMX124MM - 1 X 1000</t>
  </si>
  <si>
    <t>PKPRI001-79</t>
  </si>
  <si>
    <t>GZ NEW Blue Frozen Generic Label(95mm x 200mm)(1x1000)</t>
  </si>
  <si>
    <t>PKPRI001-80</t>
  </si>
  <si>
    <t>GZ NEW Orange Fresh Generic Label(95mm x 200mm)(1x1000)</t>
  </si>
  <si>
    <t>PKPRI001-81</t>
  </si>
  <si>
    <t>GZ NEW 20 Chicken Tikka Samosa Label(95mm x 200mm)(1x1000)</t>
  </si>
  <si>
    <t>PKPRI001-82</t>
  </si>
  <si>
    <t>GZ NEW 20 Lamb Samosas Label(95mm x 200mm)(1x1000)</t>
  </si>
  <si>
    <t>PKPRI001-83</t>
  </si>
  <si>
    <t>GZ NEW 20 Vegetable Samosas Label(95mm x 200mm)(1x1000)</t>
  </si>
  <si>
    <t>PKPRI001-84</t>
  </si>
  <si>
    <t>GZ NEW 20 Onion Bhajis Label(95mm x 200mm)(1x1000)</t>
  </si>
  <si>
    <t>PRPRI001-85</t>
  </si>
  <si>
    <t>OL - Costco Indian Selection -75MMX124MM - 1 X 1000</t>
  </si>
  <si>
    <t>PRPRI001-86</t>
  </si>
  <si>
    <t>OL - Spar Onion Bhaji - 75MMX124MM - 1 X 1000</t>
  </si>
  <si>
    <t>PRPRI001-87</t>
  </si>
  <si>
    <t>OL - Spar Veg Samosa - 75MMX124MM - 1 X 1000</t>
  </si>
  <si>
    <t>PRPRI001-88</t>
  </si>
  <si>
    <t>OL - Spar Veg Spring Roll - 75MMX124MM - 1 X 1000</t>
  </si>
  <si>
    <t>PRPRI001-89</t>
  </si>
  <si>
    <t>OL - GZ - Veg Spring Roll 200G - 75MMX124MM - 1 X 1000</t>
  </si>
  <si>
    <t>PRPRI001-90</t>
  </si>
  <si>
    <t>OL - GZ - Indian Selection 200G - 75MMX124MM - 1 X 1000</t>
  </si>
  <si>
    <t>PRPRI001-91</t>
  </si>
  <si>
    <t>OL - GZ - Chic Spring Roll 200G - 75MMX124MM - 1 X 1000</t>
  </si>
  <si>
    <t>PRPRI001-92</t>
  </si>
  <si>
    <t>OL - GZ - Veg Samosa 160G - 75MMX124MM - 1 X 1000</t>
  </si>
  <si>
    <t>PRPRI001-93</t>
  </si>
  <si>
    <t>OL - GZ FTG - Onion Bhaji 80G - 75MMX124MM - 1 X 1000</t>
  </si>
  <si>
    <t>PRPRI001-94</t>
  </si>
  <si>
    <t>OL - GZ FTG - Chick Samosa 100G - 75MMX124MM - 1 X 1000</t>
  </si>
  <si>
    <t>PRPRI001-95</t>
  </si>
  <si>
    <t>OL - GZ GG Chic Samosa 1 x 12 - 75MMX124MM - 1 X 1000</t>
  </si>
  <si>
    <t>PRPRI001-96</t>
  </si>
  <si>
    <t>OL - GZ GG Veg Samosa 1 x 12 - 75MMX124MM - 1 X 1000</t>
  </si>
  <si>
    <t>PRPRI001-97</t>
  </si>
  <si>
    <t>OL - Booths Lamb Samosa 160G - 75MMX124MM - 1 X 1000</t>
  </si>
  <si>
    <t>PRPRI001-98</t>
  </si>
  <si>
    <t>OL - Booths Onion Bhaji 160G - 75MMX124MM - 1 X 1000</t>
  </si>
  <si>
    <t>PRPRI001-99</t>
  </si>
  <si>
    <t>OL - Booths Veg Samosa 160G - 75MMX124MM - 1 X 1000</t>
  </si>
  <si>
    <t>PKPRI001-101</t>
  </si>
  <si>
    <t>Gc- 10 Lamb Samosa (Seeded) Label(95mm x 200mm)(1x1000) - 05.26</t>
  </si>
  <si>
    <t>PKPRI001-102</t>
  </si>
  <si>
    <t>Gc- 15 Vegetable Spring Roll (TYJ) 85G Label(95mm x 200mm)(1x1000) - 05.26</t>
  </si>
  <si>
    <t>PKPRI001-103</t>
  </si>
  <si>
    <t>Gc- 10 Onion Bhaji 100G Label(95mm x 200mm)(1x1000) - 05.26</t>
  </si>
  <si>
    <t>PKPRI001-104</t>
  </si>
  <si>
    <t>Gc- 10 Vegetable Samosa 100G Label(95mm x 200mm)(1x1000) - 05.26</t>
  </si>
  <si>
    <t>PKPRI001-105</t>
  </si>
  <si>
    <t>Gc- 10 Chicken Tikka Samosa (Yellow) 100G Label(95mm x 200mm)(1x1000) - 05.26</t>
  </si>
  <si>
    <t>PKPRI001-106</t>
  </si>
  <si>
    <t>OL- GC-10 Lamb Samosa (Seeded) Label (75mmX124mm)(1x1000)</t>
  </si>
  <si>
    <t>PKPRI001-107</t>
  </si>
  <si>
    <t>OL-GC- 15 Vegetable Spring Roll (TYJ) 85G (75mmX124mm)(1x1000)</t>
  </si>
  <si>
    <t>PKPRI001-108</t>
  </si>
  <si>
    <t>OL-GC- 10 Onion Bhaji 100G (75mmX124mm)(1x1000)</t>
  </si>
  <si>
    <t>PKPRI001-109</t>
  </si>
  <si>
    <t>OL-GC- 10 Vegetable Samosa 100G (75mmX124mm)(1x1000)</t>
  </si>
  <si>
    <t>PKPRI001-110</t>
  </si>
  <si>
    <t>OL-GC-10 Chicken Tikka Samosa (Yellow) 100G Label(95mm x 200mm)(1x1000)</t>
  </si>
  <si>
    <t>PKPRI001-113</t>
  </si>
  <si>
    <t>Plain Purple Lable (75*124mm) (1x1000)</t>
  </si>
  <si>
    <t>PKPRI001-114</t>
  </si>
  <si>
    <t>Takul Chicken Pakora Bites Labels (75x263mm)</t>
  </si>
  <si>
    <t>PKPRI001-115</t>
  </si>
  <si>
    <t>Takul Chicken Katsu Fried bites Labels (75x263mm)</t>
  </si>
  <si>
    <t>PKPRI001-116</t>
  </si>
  <si>
    <t>Takul Chicken salt &amp; Pepper bites (75x263mm)</t>
  </si>
  <si>
    <t>PKPRI001-117</t>
  </si>
  <si>
    <t>OL- GC-10 Lamb Samosa (Seeded) (75mmX124mm)(1x1000)-V4.03.26</t>
  </si>
  <si>
    <t>PKPRI001-118</t>
  </si>
  <si>
    <t>OL-GC- 15 Vegetable Spring Roll (TYJ) 85G (75mmX124mm)(1x1000)-V4.03.26</t>
  </si>
  <si>
    <t>PKPRI001-119</t>
  </si>
  <si>
    <t>OL-GC- 10 Onion Bhaji 100G (75mmX124mm)(1x1000)-V4.03.26</t>
  </si>
  <si>
    <t>PKPRI001-120</t>
  </si>
  <si>
    <t>OL-GC- 10 Vegetable Samosa 100G (75mmX124mm)(1x1000)-V4.03.26</t>
  </si>
  <si>
    <t>PKPRI001-121</t>
  </si>
  <si>
    <t>OL-GC- 10 Chicken Tikka Samosa (Yellow) 100G (75mmX124mm)(1x1000)-V4.03.26</t>
  </si>
  <si>
    <t>PKPRI001-123</t>
  </si>
  <si>
    <t>GC - Chilled Generic Label (95mm x 200mm) - Chicken</t>
  </si>
  <si>
    <t>PKPRI001-124</t>
  </si>
  <si>
    <t>GC - Frozen Generic Label (95mm x 200mm)- Chicken</t>
  </si>
  <si>
    <t>PKPRI001-125</t>
  </si>
  <si>
    <t>GC - Chilled Generic Label (95mm x 200mm)- Veg</t>
  </si>
  <si>
    <t>PKPRI001-126</t>
  </si>
  <si>
    <t>GC - Frozen Generic Label (95mm x 200mm)- Veg</t>
  </si>
  <si>
    <t>PKPRI001-127</t>
  </si>
  <si>
    <t>GC - Chilled Generic Label (95mm x 200mm)- Lamb</t>
  </si>
  <si>
    <t>PKPRI001-128</t>
  </si>
  <si>
    <t>GC - Frozen Generic Label (95mm x 200mm)- Lamb</t>
  </si>
  <si>
    <t>PKPRI001-129</t>
  </si>
  <si>
    <t>GC - Chilled Generic Label (95mm x 200mm)- Prawn</t>
  </si>
  <si>
    <t>PKPRI001-130</t>
  </si>
  <si>
    <t>GC - Frozen Generic Label (95mm x 200mm)- Prawn</t>
  </si>
  <si>
    <t>PKPRI001-131</t>
  </si>
  <si>
    <t>GC - Chilled Generic Label (95mm x 200mm)- Duck</t>
  </si>
  <si>
    <t>PKPRI001-132</t>
  </si>
  <si>
    <t>GC - Frozen Generic Label (95mm x 200mm)- Duck</t>
  </si>
  <si>
    <t>Sleeves</t>
  </si>
  <si>
    <t>S008-01</t>
  </si>
  <si>
    <t>BTS -INDIAN TAKEAWAY FOR 2 - TK/MA | 1200G |S008</t>
  </si>
  <si>
    <t>O KAHN PRINTERS LTD</t>
  </si>
  <si>
    <t>sleeves</t>
  </si>
  <si>
    <t>S008-02</t>
  </si>
  <si>
    <t>BTS -THAI TAKEAWAY FOR 2 - TG/PC | 1154G |S008 -V1/10/24</t>
  </si>
  <si>
    <t>S1105-01</t>
  </si>
  <si>
    <t>GZ Indian Meal For 1 | 650G | S1105 -V1/07/23</t>
  </si>
  <si>
    <t>S1470-02</t>
  </si>
  <si>
    <t>GAZEBO-CHICKEN TIKKA SAMOSA | 500G | S1470</t>
  </si>
  <si>
    <t>S1470-03</t>
  </si>
  <si>
    <t>GAZEBO-LAMB SAMOSA | 450G | S1470</t>
  </si>
  <si>
    <t>S1470-04</t>
  </si>
  <si>
    <t>GAZEBO-ONION BHAJI | 660G | S1470</t>
  </si>
  <si>
    <t>S1470-05</t>
  </si>
  <si>
    <t>GAZEBO-VEG SAMOSA | 500G | S1470</t>
  </si>
  <si>
    <t>S1470-06</t>
  </si>
  <si>
    <t>GAZEBO - INDIAN SELECTION | 585G | S1470</t>
  </si>
  <si>
    <t>S1470-07</t>
  </si>
  <si>
    <t>COSTCO INDIAN SELECTION | 1020G | S1470 | V2.10.24</t>
  </si>
  <si>
    <t>S1470-08</t>
  </si>
  <si>
    <t>COSTCO INDIAN SELECTION | 1020G | FRANCE</t>
  </si>
  <si>
    <t>S1470-09</t>
  </si>
  <si>
    <t>TAKUL Chicken Tikka Samosa | S1470</t>
  </si>
  <si>
    <t>S1470-10</t>
  </si>
  <si>
    <t>TAKUL Chicken Spring Roll | S1470</t>
  </si>
  <si>
    <t>S1470-11</t>
  </si>
  <si>
    <t>COSTCO INDIAN SELECTION | 1020G | SPAIN</t>
  </si>
  <si>
    <t>S1470-12</t>
  </si>
  <si>
    <t>GCDA- 20 Vegetable Samosa | 500G | S1470</t>
  </si>
  <si>
    <t>S1470-13</t>
  </si>
  <si>
    <t>GCDA- 18 Lamb Samosas | 450G | S1470</t>
  </si>
  <si>
    <t>S1470-14</t>
  </si>
  <si>
    <t>GCDA- 20 Chicken Tikka Samosa | 500G | S1470</t>
  </si>
  <si>
    <t>S1470-15</t>
  </si>
  <si>
    <t>GCDA- 26 Indian Selection | 1020G | S1470</t>
  </si>
  <si>
    <t>S1470-16</t>
  </si>
  <si>
    <t>GCDA- 22 Onion Bhaji | 660G | S1470</t>
  </si>
  <si>
    <t>S1470-17</t>
  </si>
  <si>
    <t>TA- 25 Chicken Spring Roll 30G W/Sweet Chilli Dip | 870G | S1470</t>
  </si>
  <si>
    <t>S1470-18</t>
  </si>
  <si>
    <t>TA- 25 Chicken Samosa 35G W/Tamarind Dip | 995G | S1470</t>
  </si>
  <si>
    <t>S1470-19</t>
  </si>
  <si>
    <t>COSTCO- Gazebo 24 Chicken Samosa 40G | 960G | S1470</t>
  </si>
  <si>
    <t>S1470-20</t>
  </si>
  <si>
    <t>COSTCO- Gazebo 30 Chicken Spring Roll 30G | 900G | S1470</t>
  </si>
  <si>
    <t>S1470-21</t>
  </si>
  <si>
    <t>S1470-21 36 indian Selection V1</t>
  </si>
  <si>
    <t>S430-01</t>
  </si>
  <si>
    <t>Lidl Deluxe - Vegetable Samosa| 240G | S430</t>
  </si>
  <si>
    <t>S430-02</t>
  </si>
  <si>
    <t>Lidl Deluxe - Chicken Samosa| 240G | S430</t>
  </si>
  <si>
    <t>S544-01</t>
  </si>
  <si>
    <t>GAZEBO - ORIENTAL TERIYAKI SAUCE | 130G | S544</t>
  </si>
  <si>
    <t>S544-02</t>
  </si>
  <si>
    <t>GAZEBO - ORIENTAL SWEET CHILLI SAUCE | 130G | S544</t>
  </si>
  <si>
    <t>S544-03</t>
  </si>
  <si>
    <t>GAZEBO - ORIENTAL CHILLI GARLIC SAUCE | 130G | S544</t>
  </si>
  <si>
    <t>S666-01</t>
  </si>
  <si>
    <t>BTS - DUCK SPRING ROLLS | 200G | S666</t>
  </si>
  <si>
    <t>S666-02</t>
  </si>
  <si>
    <t>BTS - VEGETABLE SPRING ROLLS | 200G | S666</t>
  </si>
  <si>
    <t>S666-03</t>
  </si>
  <si>
    <t>BTS - LAMB SAMOSA'S | 160G | S666</t>
  </si>
  <si>
    <t>S666-04</t>
  </si>
  <si>
    <t>BTS - ONION BHAJI'S | 160G | S666</t>
  </si>
  <si>
    <t>S666-05</t>
  </si>
  <si>
    <t>BTS - VEGETABLE PAKORA | 180G | S666</t>
  </si>
  <si>
    <t>S666-06</t>
  </si>
  <si>
    <t>BTS - VEGETABLE SAMOSA | 160G | S666</t>
  </si>
  <si>
    <t>S666-07</t>
  </si>
  <si>
    <t>BTS - CKN TIK PAK W/MINT RT DIP | 180G | S666</t>
  </si>
  <si>
    <t>S666-08</t>
  </si>
  <si>
    <t>BTS - HOT &amp; SPICY BHAJI | 160G | S666</t>
  </si>
  <si>
    <t>S666-09</t>
  </si>
  <si>
    <t>BTS - KATSU CHICKEN W/KATSU DIP | 180G | S666 - V1/09/23</t>
  </si>
  <si>
    <t>S666-10</t>
  </si>
  <si>
    <t>BTS  - SALT &amp; PEPPER CHKN W/SWEET CHILLI DIP | 180G | S666 - V1/09/23</t>
  </si>
  <si>
    <t>S666-11</t>
  </si>
  <si>
    <t>BTS - MUSHROOM RICOTTA SPINACH PARCEL | 300G | S666</t>
  </si>
  <si>
    <t>S667-01</t>
  </si>
  <si>
    <t>BTS -CHICKEN JALFREZI WITH PILAU RICE | 400G | S667</t>
  </si>
  <si>
    <t>S667-02</t>
  </si>
  <si>
    <t>BTS-CKN KORMA WT PILAU RICE FRD ONIONS|400G|S667</t>
  </si>
  <si>
    <t>S667-03</t>
  </si>
  <si>
    <t>BTS -CHKN TIKKA MASALA PILAU RICE FRIED ONIONS | 400G | S667</t>
  </si>
  <si>
    <t>S667-05</t>
  </si>
  <si>
    <t>BTS -SWEET&amp;SOUR CHKN WT EGG FRIEDRICE |400G|S667</t>
  </si>
  <si>
    <t>S667-06</t>
  </si>
  <si>
    <t>BTS -THAI GREEN CURRY CHICKEN W/JASMINE RICE | 400G | S667-V1/10/24</t>
  </si>
  <si>
    <t>S667-07</t>
  </si>
  <si>
    <t>BTS-HOT SPICY KING PWN GOAN CURRY&amp;RICE|400G|S667</t>
  </si>
  <si>
    <t>S667-08</t>
  </si>
  <si>
    <t>BTS -HOT  SPICY CHICKN PANANG W/JASM RICE | 400G |S667</t>
  </si>
  <si>
    <t>S667-09</t>
  </si>
  <si>
    <t>BTS -VEGETABLE BALTI WL PILAU  RICE | 400G |S667</t>
  </si>
  <si>
    <t>S667-10</t>
  </si>
  <si>
    <t>BTS -MATTAR PANEER WITH PILAU RICE | 400G | S667 -V3/11/22</t>
  </si>
  <si>
    <t>S667-11</t>
  </si>
  <si>
    <t>BTS -RED THAI VEG CURRY &amp; JASMINE RICE | 400G | S667-V2/10/24</t>
  </si>
  <si>
    <t>S667-12</t>
  </si>
  <si>
    <t>BTS - BALTI CHICKEN W/PILAU RICE | 400G | S667</t>
  </si>
  <si>
    <t>S667-13</t>
  </si>
  <si>
    <t>GZ  Chicken Balti &amp; Pilau Rice  | 400G|S667 - V1/07/23</t>
  </si>
  <si>
    <t>S667-14</t>
  </si>
  <si>
    <t>GZ  Tandoori Paneer &amp; Pilau Rice  | 400G |S667 - V1/07/23</t>
  </si>
  <si>
    <t>S667-15</t>
  </si>
  <si>
    <t>GZ  Panang Chicken &amp; Fragrant Rice | 400G |S667 - V1/07/23</t>
  </si>
  <si>
    <t>S667-17</t>
  </si>
  <si>
    <t>GZ  ThaiGreenCurry Chkn &amp; Fragrant Rice|400G|S667-V1/07/23</t>
  </si>
  <si>
    <t>S667-18</t>
  </si>
  <si>
    <t>GZ  Butter Chicken &amp; Pilau Rice | 400G |S667 - V1/07/23</t>
  </si>
  <si>
    <t>S667-19</t>
  </si>
  <si>
    <t>GZ  Red Thai Chicken Curry &amp; Fragrant Rice| 400G|S667 - V1/07/23</t>
  </si>
  <si>
    <t>S667-20</t>
  </si>
  <si>
    <t>GZ  Chicken Madras &amp; Pilau Rice | 400G |S667 - V1/07/23</t>
  </si>
  <si>
    <t>S667-21</t>
  </si>
  <si>
    <t>GZ  Vegetable Jalfrezi &amp; Pilau Rice | 400G |S667 - V1/07/23</t>
  </si>
  <si>
    <t>S667-22</t>
  </si>
  <si>
    <t>BTS - Chip Chicken W/Tex Mec Rice | 400G | S667</t>
  </si>
  <si>
    <t>S667-23</t>
  </si>
  <si>
    <t>OA- Chicken Tikka Masala With Pilau Rice | 400G| S667</t>
  </si>
  <si>
    <t>S667-24</t>
  </si>
  <si>
    <t>OA- Chicken Korma With Pilau Rice | 400G| S667</t>
  </si>
  <si>
    <t>S667-25</t>
  </si>
  <si>
    <t>OA- Butter Chicken With Pilau Rice | 400G| S667</t>
  </si>
  <si>
    <t>S667-26</t>
  </si>
  <si>
    <t>OA- Chicken Jalfrezi With Pilau Rice | 400G| S667</t>
  </si>
  <si>
    <t>S667-27</t>
  </si>
  <si>
    <t>OA- Fruity Chicken Curry With Steam Rice | 400G| S667</t>
  </si>
  <si>
    <t>S667-28</t>
  </si>
  <si>
    <t>OA- Beef Curry With Pilau Rice | 400G| S667</t>
  </si>
  <si>
    <t>S667-29</t>
  </si>
  <si>
    <t>OA- Lamb Bhuna With Pilau Rice | 400G| S667</t>
  </si>
  <si>
    <t>S667-30</t>
  </si>
  <si>
    <t>OA- Basic Chicken Curry With Pilau Rice | 400G| S667</t>
  </si>
  <si>
    <t>S667-31</t>
  </si>
  <si>
    <t>OA- Vegetable Tikka Masala With Pilau Rice | 400G| S667</t>
  </si>
  <si>
    <t>S667-32</t>
  </si>
  <si>
    <t>GCDA- Butter Chicken &amp; Pilau Rice | 400G| S667</t>
  </si>
  <si>
    <t>S667-33</t>
  </si>
  <si>
    <t>GCDA- Red Thai Chicken Curry &amp; Fragrant Rice | 400G| S667</t>
  </si>
  <si>
    <t>S667-34</t>
  </si>
  <si>
    <t>GCDA- Panang Chicken &amp; Fragrant Rice | 400G| S667</t>
  </si>
  <si>
    <t>S667-35</t>
  </si>
  <si>
    <t>GCDA- Thai Green Chicken Curry &amp; Fragrant Rice | 400G| S667</t>
  </si>
  <si>
    <t>S667-36</t>
  </si>
  <si>
    <t>BTS - BISTRO MURGH MAKHANI WITH JWD RICE | 400G | S667- 06.26</t>
  </si>
  <si>
    <t>S668-02</t>
  </si>
  <si>
    <t>BTS - CRISPY BATTERED CHKN W/SWEET &amp; SOUR SAU | 320G | S668</t>
  </si>
  <si>
    <t>S668-16</t>
  </si>
  <si>
    <t>BTS - 2 LANCS CHSE &amp; PLUM PARCEL L300G | S668</t>
  </si>
  <si>
    <t>S668-17</t>
  </si>
  <si>
    <t>OA- Mini Fruity Chicken Curry With Steam Rice | 240G | S668</t>
  </si>
  <si>
    <t>S668-18</t>
  </si>
  <si>
    <t>OA- Mini Chicken Tikka Masala With Pilau Rice | 240G | S668</t>
  </si>
  <si>
    <t>S669-01</t>
  </si>
  <si>
    <t>BTS -BUTTER CHICKEN | 350G | S669</t>
  </si>
  <si>
    <t>S669-02</t>
  </si>
  <si>
    <t>BTS -CHICKEN DOPIAZA | 350G | S669</t>
  </si>
  <si>
    <t>S669-03</t>
  </si>
  <si>
    <t>BTS -CHICKEN JALFREZI | 350G | S669</t>
  </si>
  <si>
    <t>S669-04</t>
  </si>
  <si>
    <t>BTS -CHICKEN KORMA |350G | S669</t>
  </si>
  <si>
    <t>S669-05</t>
  </si>
  <si>
    <t>BTS -CHICKEN MADRAS | 350G | S669</t>
  </si>
  <si>
    <t>S669-06</t>
  </si>
  <si>
    <t>BTS -CHICKEN SAAG MASALA | 350G | S669</t>
  </si>
  <si>
    <t>S669-07</t>
  </si>
  <si>
    <t>BTS -CHICKEN TIKKA MASALA | 350G | S669</t>
  </si>
  <si>
    <t>S669-08</t>
  </si>
  <si>
    <t>BTS -PRAWN MANGO MASALA | 350G | S669</t>
  </si>
  <si>
    <t>S669-09</t>
  </si>
  <si>
    <t>BTS -PILAU RICE WITH CRISPY ONIONS | 300G | S669</t>
  </si>
  <si>
    <t>S669-10</t>
  </si>
  <si>
    <t>BTS -SAAG ALOO GOBI | 300G | S669</t>
  </si>
  <si>
    <t>S669-11</t>
  </si>
  <si>
    <t>BTS -TANDOORI CHICKEN BIRYANI &amp; VEG CURRY SAUC | 350G | S669</t>
  </si>
  <si>
    <t>S775-01</t>
  </si>
  <si>
    <t>SP - 4 VEGETABLE SAMOSA | 160G | S775</t>
  </si>
  <si>
    <t>S775-02</t>
  </si>
  <si>
    <t>SP - 4 ONION BHAJI| 160G | S775</t>
  </si>
  <si>
    <t>S775-03</t>
  </si>
  <si>
    <t>SP - 4 VEGETABLE SPRING ROLLS | 200G | S775</t>
  </si>
  <si>
    <t>S775-04</t>
  </si>
  <si>
    <t>GAZEBO - 4 CHICKEN SPRING ROLLS | 200G | S775-V1/09/24</t>
  </si>
  <si>
    <t>S775-05</t>
  </si>
  <si>
    <t>GAZEBO - 4 ONION BHAJI | 160G | S775-V1/09/24</t>
  </si>
  <si>
    <t>S775-06</t>
  </si>
  <si>
    <t>GAZEBO - 4 CHICKEN TIKKA SAMOSA | 160G | S775-V1/09/24</t>
  </si>
  <si>
    <t>S775-07</t>
  </si>
  <si>
    <t>GAZEBO - 4 VEGETABLE SAMOSA | 160G | S775-V1/09/24</t>
  </si>
  <si>
    <t>S775-08</t>
  </si>
  <si>
    <t>GAZEBO - INDIAN VEG SELECTION | 200G | S775-V1/09/24</t>
  </si>
  <si>
    <t>S775-09</t>
  </si>
  <si>
    <t>GAZEBO - 4 VEGETABLE SPRING ROLLS | 200G | S775-V1/09/24</t>
  </si>
  <si>
    <t>S775-10</t>
  </si>
  <si>
    <t>AC- 4 ONION BHAJI | 160G | S775</t>
  </si>
  <si>
    <t>S775-11</t>
  </si>
  <si>
    <t>AC- 4 VEGETABLE SAMOSA | 160G | S775</t>
  </si>
  <si>
    <t>S775-12</t>
  </si>
  <si>
    <t>AC- 4 VEGETABLE SPRING ROLL | 200G | S775</t>
  </si>
  <si>
    <t>S775-13</t>
  </si>
  <si>
    <t>AC - INDIAN SELECTION  | 200G | S775</t>
  </si>
  <si>
    <t>S775-17</t>
  </si>
  <si>
    <t>GAZEBO - ORIENTAL NOODLES | 200G | S775</t>
  </si>
  <si>
    <t>S775-18</t>
  </si>
  <si>
    <t>Gazebo-4 Chicken Tikka Samosa 160g FROZEN|S775 – 03.24</t>
  </si>
  <si>
    <t>S775-19</t>
  </si>
  <si>
    <t>Gazebo-4 Onion Bhajis 160g FROZEN|S775 – 03.24</t>
  </si>
  <si>
    <t>S775-20</t>
  </si>
  <si>
    <t>Gazebo-4 Vegetable Spring Rolls 200g FROZEN|S775 – 03.24</t>
  </si>
  <si>
    <t>S775-21</t>
  </si>
  <si>
    <t>Gazebo-4 Vegetable Samosas 160g FROZEN|S775</t>
  </si>
  <si>
    <t>S775-22</t>
  </si>
  <si>
    <t>GAZEBO - 6 CHICKEN SPRING ROLLS | 180G | S775</t>
  </si>
  <si>
    <t>S775-23</t>
  </si>
  <si>
    <t>GAZEBO - 6 VEGETABLE SPRING ROLLS | 180G | S775</t>
  </si>
  <si>
    <t>S775-24</t>
  </si>
  <si>
    <t>GAZEBO - BANG BANG CAULIFLOWER WITH TAMARIND DIP|200g| S775--V1/02/26</t>
  </si>
  <si>
    <t>S6722-01</t>
  </si>
  <si>
    <t>MC-AUBERGINE MOUSSAKA| 400G | S6722</t>
  </si>
  <si>
    <t>S6722-02</t>
  </si>
  <si>
    <t>MC- BUTTERBEAN &amp; MSHROOM BAKE | 400G | S6722</t>
  </si>
  <si>
    <t>S6722-03</t>
  </si>
  <si>
    <t>Gazebo- Cauliflower Cheese| S6722-03.24</t>
  </si>
  <si>
    <t>S6722-04</t>
  </si>
  <si>
    <t>Gazebo-Potato Dauphinoise|S6722-03.24</t>
  </si>
  <si>
    <t>S075-01</t>
  </si>
  <si>
    <t>CK - Onion Bhaji | 160G | S075 | V1-04-25</t>
  </si>
  <si>
    <t>S075-02</t>
  </si>
  <si>
    <t>CK - Vegetable Spring Rolls |200G | S075 | V1-04-25</t>
  </si>
  <si>
    <t>S075-04</t>
  </si>
  <si>
    <t>CK - Duck Spring Roll | 200G | S075 | V1-04-25</t>
  </si>
  <si>
    <t>S075-05</t>
  </si>
  <si>
    <t>Gazebo-Chicken Biryani| 350g| S075- V2.12.24</t>
  </si>
  <si>
    <t>S075-06</t>
  </si>
  <si>
    <t>Gazebo-Chicken Tikka Masala &amp; Aromatic Rice|350g|S075-V2.12.24</t>
  </si>
  <si>
    <t>S075-07</t>
  </si>
  <si>
    <t>Gazebo-Butter Chicken with Aromatic Rice| 350g| S075-V2.12.24</t>
  </si>
  <si>
    <t>S075-08</t>
  </si>
  <si>
    <t>Gazebo-Stir Fried Chicken Noodles| 300g|S075-V2.12.24</t>
  </si>
  <si>
    <t>S075-09</t>
  </si>
  <si>
    <t>CK - Lamb Samosa | 160G | S075 | V1-04-25</t>
  </si>
  <si>
    <t>S075-10</t>
  </si>
  <si>
    <t>Gazebo - Chilli Con Carne with Rice 350g| S075 - V1.12.24</t>
  </si>
  <si>
    <t>S075-11</t>
  </si>
  <si>
    <t>Gazebo - Penne Arrabbiata 350g| S075 - V1.12.24</t>
  </si>
  <si>
    <t>S075-12</t>
  </si>
  <si>
    <t>CK - EGG FRIED RICE | 160G | S075 | V1-04-25</t>
  </si>
  <si>
    <t>S075-13</t>
  </si>
  <si>
    <t>CK - EGG FRIED RICE | 320G | S075 | V1-04-25</t>
  </si>
  <si>
    <t>S075-14</t>
  </si>
  <si>
    <t>CK - CORN FRITTERS | 150G | S075 | V1-04-25</t>
  </si>
  <si>
    <t>S075-15</t>
  </si>
  <si>
    <t>CK - KATSU CHICKEN BITES  | 150G | S075 | V1-04-25</t>
  </si>
  <si>
    <t>S075-16</t>
  </si>
  <si>
    <t>CK - Vegetable Gyoza | 150G | S075 |</t>
  </si>
  <si>
    <t>S217-01</t>
  </si>
  <si>
    <t>Aldi Bilash Onion Bhaji</t>
  </si>
  <si>
    <t>S217-02</t>
  </si>
  <si>
    <t>Aldi Bilash Vegetable Samosa</t>
  </si>
  <si>
    <t>S217-03</t>
  </si>
  <si>
    <t>Aldi Bilash Lamb Samosa</t>
  </si>
  <si>
    <t>S341-01</t>
  </si>
  <si>
    <t>MC - Pang Chick Curry wt Blk Rc | 400G | S341</t>
  </si>
  <si>
    <t>S341-02</t>
  </si>
  <si>
    <t>MC - Chick Cacciat with Sweet | 400G | S341</t>
  </si>
  <si>
    <t>S341-03</t>
  </si>
  <si>
    <t>MC - Chptl Chick with Sweetco | 400G | 341</t>
  </si>
  <si>
    <t>S341-04</t>
  </si>
  <si>
    <t>MC - Moro Chickpea Tagine | 400G | S341</t>
  </si>
  <si>
    <t>S341-05</t>
  </si>
  <si>
    <t>MC - Sunflower Mince Bolog | 400G | S341</t>
  </si>
  <si>
    <t>S341-06</t>
  </si>
  <si>
    <t>MC - Thai Green Chick Curry | 400G | S341</t>
  </si>
  <si>
    <t>S341-07</t>
  </si>
  <si>
    <t>MC - Keln Cod Curry wt blk rce | 400G | S341</t>
  </si>
  <si>
    <t>S341-10</t>
  </si>
  <si>
    <t>MC - Mex Beef Barb with Bro | 400G | S341</t>
  </si>
  <si>
    <t>S341-11</t>
  </si>
  <si>
    <t>MC - Chic Korma wt Blk rce | 400G | S341</t>
  </si>
  <si>
    <t>S341-13</t>
  </si>
  <si>
    <t>MC - Veg Red Thai Veg Cur | 400G | S341</t>
  </si>
  <si>
    <t>S341-14</t>
  </si>
  <si>
    <t>MC - Saag Chan Masala wt but | 400G | S341</t>
  </si>
  <si>
    <t>S341-15</t>
  </si>
  <si>
    <t>MC - South Indian King Prawn | 400G | S341</t>
  </si>
  <si>
    <t>S341-16</t>
  </si>
  <si>
    <t>MC - Chili Con Carne wth imp | 400G | S341</t>
  </si>
  <si>
    <t>S341-17</t>
  </si>
  <si>
    <t>MC - Casw Chicp Korma imp | 400G | S341</t>
  </si>
  <si>
    <t>S341-18</t>
  </si>
  <si>
    <t>MC - ChiK Tikka Masl  imp | 400G | S341</t>
  </si>
  <si>
    <t>S341-19</t>
  </si>
  <si>
    <t>MC - Brcl &amp; Butnt Squash | 400G | S341</t>
  </si>
  <si>
    <t>S9850-1</t>
  </si>
  <si>
    <t>TK - Chick Pak Bites| 130G | S9850</t>
  </si>
  <si>
    <t>S9850-2</t>
  </si>
  <si>
    <t>TK - Katsu Chick Bites | 130G | S9850</t>
  </si>
  <si>
    <t>S9850-3</t>
  </si>
  <si>
    <t>TK - S&amp;P Chick Bites | 130G | S9850</t>
  </si>
  <si>
    <t>S9850-4</t>
  </si>
  <si>
    <t>TK - Onion Bhaji | 160G | S9850</t>
  </si>
  <si>
    <t>S9850-5</t>
  </si>
  <si>
    <t>TK - Swt Pot Falafel | 120G | S9850</t>
  </si>
  <si>
    <t>S9858-1</t>
  </si>
  <si>
    <t>ILA - Chick Tikka Wrap | 170G | S9858| V1-10-24</t>
  </si>
  <si>
    <t>S9858-2</t>
  </si>
  <si>
    <t>ILA - Chick Shawarma Wrap | 170G | S9858| V1-10-24</t>
  </si>
  <si>
    <t>S9858-3</t>
  </si>
  <si>
    <t>ILA - Beef Burrito Wrap | S9858 | V1-10-24</t>
  </si>
  <si>
    <t>S775TK-01</t>
  </si>
  <si>
    <t>TK - Veg Samosa |160G|S775TK</t>
  </si>
  <si>
    <t>S775TK-02</t>
  </si>
  <si>
    <t>TK - Chkn Tikka Samosa|160G|S775TK – 09.23</t>
  </si>
  <si>
    <t>S775TK-03</t>
  </si>
  <si>
    <t>TK - Lamb Samosa |160G|S775TK</t>
  </si>
  <si>
    <t>S775TK-04</t>
  </si>
  <si>
    <t>TK - Chkn Spring Roll |200G|S775TK – 09.23</t>
  </si>
  <si>
    <t>S775TK-09</t>
  </si>
  <si>
    <t>TK - Chkn Popcorn | 280G | S775TK</t>
  </si>
  <si>
    <t>S775TK-10</t>
  </si>
  <si>
    <t>TK - Chkn Spring Roll |180G|S775TK</t>
  </si>
  <si>
    <t>S187-01</t>
  </si>
  <si>
    <t>SIM-STD PENANG CHICKEN |390 | S187</t>
  </si>
  <si>
    <t xml:space="preserve">Print Library </t>
  </si>
  <si>
    <t>S187-02</t>
  </si>
  <si>
    <t>SIM- LEAN PENANG CHICKEN | 400 | S187</t>
  </si>
  <si>
    <t>S187-03</t>
  </si>
  <si>
    <t>SIM - LRG PENANG CHICKEN | 545 | S187</t>
  </si>
  <si>
    <t>S187-04</t>
  </si>
  <si>
    <t>SIM - STD S&amp;S CHICKEN | 390 | S187</t>
  </si>
  <si>
    <t>S187-05</t>
  </si>
  <si>
    <t>SIM - LEAN S&amp;S CHICKEN | 400 | S187</t>
  </si>
  <si>
    <t>S187-06</t>
  </si>
  <si>
    <t>SIM - LRG S&amp;S CHICKEN | 545 | S187</t>
  </si>
  <si>
    <t>Not okay</t>
  </si>
  <si>
    <t>Okay</t>
  </si>
  <si>
    <t>Inner label</t>
  </si>
  <si>
    <t>Sleeves/Labels</t>
  </si>
  <si>
    <t>Product Category</t>
  </si>
  <si>
    <t>Brand</t>
  </si>
  <si>
    <t xml:space="preserve">Inner Label </t>
  </si>
  <si>
    <t>Sleeve Ref</t>
  </si>
  <si>
    <t>Customer</t>
  </si>
  <si>
    <t>Packing Name</t>
  </si>
  <si>
    <t>Total Inner  Labels/Sleeves Required</t>
  </si>
  <si>
    <t>RETAIL-MEALS-SE</t>
  </si>
  <si>
    <t>Simmer Eats</t>
  </si>
  <si>
    <t>Inner - 1030</t>
  </si>
  <si>
    <t>SIMMER</t>
  </si>
  <si>
    <t>SE Std Sweet &amp; Sour Chicken W/Egg Fried Rice</t>
  </si>
  <si>
    <t>Inner - 1031</t>
  </si>
  <si>
    <t>SE Lean Sweet &amp; Sour Chicken W/Egg Fried Rice</t>
  </si>
  <si>
    <t>Inner - 1032</t>
  </si>
  <si>
    <t>SE Lrg Sweet &amp; Sour Chicken W/Egg 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</si>
</sst>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anjay\Daily%20plan%20analysis\simmers\simmers%2027-07-2026\Simmers27.07.2026.xlsx" TargetMode="External"/><Relationship Id="rId1" Type="http://schemas.openxmlformats.org/officeDocument/2006/relationships/externalLinkPath" Target="file:///T:\Sanjay\Daily%20plan%20analysis\simmers\simmers%2027-07-2026\Simmers27.07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anjay\Daily%20plan%20analysis\cooks\Cooks%2028.07.2026.xlsx" TargetMode="External"/><Relationship Id="rId1" Type="http://schemas.openxmlformats.org/officeDocument/2006/relationships/externalLinkPath" Target="file:///T:\Sanjay\Daily%20plan%20analysis\cooks\Cooks%2028.07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anjay\Daily%20plan%20analysis\Oakhhouse\Oakhouse%2029.07.26\oakhhouse%20all%20details.xlsx" TargetMode="External"/><Relationship Id="rId1" Type="http://schemas.openxmlformats.org/officeDocument/2006/relationships/externalLinkPath" Target="file:///T:\Sanjay\Daily%20plan%20analysis\Oakhhouse\Oakhouse%2029.07.26\oakhhouse%20all%20detail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anjay\Daily%20plan%20analysis\Mindfull\Mindfull%20probably%2030july%20-%20Copy.xlsx" TargetMode="External"/><Relationship Id="rId1" Type="http://schemas.openxmlformats.org/officeDocument/2006/relationships/externalLinkPath" Target="file:///T:\Sanjay\Daily%20plan%20analysis\Mindfull\Mindfull%20probably%2030july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5">
          <cell r="B5" t="str">
            <v>AFFINITY</v>
          </cell>
          <cell r="C5" t="str">
            <v>Water</v>
          </cell>
          <cell r="D5">
            <v>1</v>
          </cell>
          <cell r="E5">
            <v>1636386.0869565217</v>
          </cell>
          <cell r="F5">
            <v>1636.3860869565217</v>
          </cell>
          <cell r="G5">
            <v>1636.3860869565217</v>
          </cell>
        </row>
        <row r="6">
          <cell r="B6" t="str">
            <v>RMDAR001-01</v>
          </cell>
          <cell r="C6" t="str">
            <v>Coriander</v>
          </cell>
          <cell r="D6">
            <v>1</v>
          </cell>
          <cell r="E6">
            <v>56739.304347826081</v>
          </cell>
          <cell r="F6">
            <v>56.739304347826085</v>
          </cell>
          <cell r="G6">
            <v>56.739304347826085</v>
          </cell>
        </row>
        <row r="7">
          <cell r="B7" t="str">
            <v>RMDAR001-07</v>
          </cell>
          <cell r="C7" t="str">
            <v>IQF BASIL LARGE PREMIUM</v>
          </cell>
          <cell r="D7">
            <v>1</v>
          </cell>
          <cell r="E7">
            <v>8308.5217391304341</v>
          </cell>
          <cell r="F7">
            <v>8.308521739130434</v>
          </cell>
          <cell r="G7">
            <v>8.308521739130434</v>
          </cell>
        </row>
        <row r="8">
          <cell r="B8" t="str">
            <v>RMDAR001-10</v>
          </cell>
          <cell r="C8" t="str">
            <v>IQF Milled lime leaves (1 X 15KG)</v>
          </cell>
          <cell r="D8">
            <v>1</v>
          </cell>
          <cell r="E8">
            <v>4154.260869565217</v>
          </cell>
          <cell r="F8">
            <v>4.154260869565217</v>
          </cell>
          <cell r="G8">
            <v>4.154260869565217</v>
          </cell>
        </row>
        <row r="9">
          <cell r="B9" t="str">
            <v>RMDAR001-14</v>
          </cell>
          <cell r="C9" t="str">
            <v>Lemon Grass Milled (1 x 15 KG)</v>
          </cell>
          <cell r="D9">
            <v>1</v>
          </cell>
          <cell r="E9">
            <v>9279.2960000000003</v>
          </cell>
          <cell r="F9">
            <v>9.2792960000000004</v>
          </cell>
          <cell r="G9">
            <v>9.2792960000000004</v>
          </cell>
        </row>
        <row r="10">
          <cell r="B10" t="str">
            <v>RMKTC001-12</v>
          </cell>
          <cell r="C10" t="str">
            <v>Sesame Seed Oil (3x5Lt)</v>
          </cell>
          <cell r="D10">
            <v>1</v>
          </cell>
          <cell r="E10">
            <v>2564.0160000000001</v>
          </cell>
          <cell r="F10">
            <v>2.5640160000000001</v>
          </cell>
          <cell r="G10">
            <v>2.5640160000000001</v>
          </cell>
        </row>
        <row r="11">
          <cell r="B11" t="str">
            <v>RMKTC001-13</v>
          </cell>
          <cell r="C11" t="str">
            <v>Pomace Olive Oil</v>
          </cell>
          <cell r="D11">
            <v>1</v>
          </cell>
          <cell r="E11">
            <v>76751.060869565219</v>
          </cell>
          <cell r="F11">
            <v>76.751060869565222</v>
          </cell>
          <cell r="G11">
            <v>76.751060869565222</v>
          </cell>
        </row>
        <row r="12">
          <cell r="B12" t="str">
            <v>RMVIR001-27</v>
          </cell>
          <cell r="C12" t="str">
            <v>Veg Buillion</v>
          </cell>
          <cell r="D12">
            <v>1</v>
          </cell>
          <cell r="E12">
            <v>830.85217391304343</v>
          </cell>
          <cell r="F12">
            <v>0.83085217391304345</v>
          </cell>
          <cell r="G12">
            <v>0.83085217391304345</v>
          </cell>
        </row>
        <row r="13">
          <cell r="B13" t="str">
            <v>RMP&amp;B001-14</v>
          </cell>
          <cell r="C13" t="str">
            <v>HEERA XXL 1121 SELLA RICE(1x10kg) (MOQ:121)</v>
          </cell>
          <cell r="D13">
            <v>1</v>
          </cell>
          <cell r="E13">
            <v>488384</v>
          </cell>
          <cell r="F13">
            <v>488.38400000000001</v>
          </cell>
          <cell r="G13">
            <v>488.38400000000001</v>
          </cell>
        </row>
        <row r="14">
          <cell r="B14" t="str">
            <v>RMKEN003-02</v>
          </cell>
          <cell r="C14" t="str">
            <v>PDV SALT ( Order 49 Bags)</v>
          </cell>
          <cell r="D14">
            <v>1</v>
          </cell>
          <cell r="E14">
            <v>12181.363478260868</v>
          </cell>
          <cell r="F14">
            <v>12.18136347826087</v>
          </cell>
          <cell r="G14">
            <v>12.18136347826087</v>
          </cell>
        </row>
        <row r="15">
          <cell r="B15" t="str">
            <v>RMFOO001-20</v>
          </cell>
          <cell r="C15" t="str">
            <v>30MM Cut Green Beans IQF (1x15kg)</v>
          </cell>
          <cell r="D15">
            <v>1</v>
          </cell>
          <cell r="E15">
            <v>453392</v>
          </cell>
          <cell r="F15">
            <v>453.392</v>
          </cell>
          <cell r="G15">
            <v>453.392</v>
          </cell>
        </row>
        <row r="16">
          <cell r="B16" t="str">
            <v>RMHAR002-34</v>
          </cell>
          <cell r="C16" t="str">
            <v>IQF Red Chilli Puree</v>
          </cell>
          <cell r="D16">
            <v>1</v>
          </cell>
          <cell r="E16">
            <v>20061.130434782608</v>
          </cell>
          <cell r="F16">
            <v>20.061130434782608</v>
          </cell>
          <cell r="G16">
            <v>20.061130434782608</v>
          </cell>
        </row>
        <row r="17">
          <cell r="B17" t="str">
            <v>RMHAR002-49</v>
          </cell>
          <cell r="C17" t="str">
            <v>CARROTS BATTON 6 x 6 x 45mm</v>
          </cell>
          <cell r="D17">
            <v>1</v>
          </cell>
          <cell r="E17">
            <v>453392</v>
          </cell>
          <cell r="F17">
            <v>453.392</v>
          </cell>
          <cell r="G17">
            <v>453.392</v>
          </cell>
        </row>
        <row r="18">
          <cell r="B18" t="str">
            <v>RMBAK001-02</v>
          </cell>
          <cell r="C18" t="str">
            <v>Tate and Lyle soft light brown sugar 1 x 25kg</v>
          </cell>
          <cell r="D18">
            <v>1</v>
          </cell>
          <cell r="E18">
            <v>66468.173913043473</v>
          </cell>
          <cell r="F18">
            <v>66.468173913043472</v>
          </cell>
          <cell r="G18">
            <v>66.468173913043472</v>
          </cell>
        </row>
        <row r="19">
          <cell r="B19" t="str">
            <v>RMUNI001-05</v>
          </cell>
          <cell r="C19" t="str">
            <v>Corn Flour</v>
          </cell>
          <cell r="D19">
            <v>1</v>
          </cell>
          <cell r="E19">
            <v>47519.47826086956</v>
          </cell>
          <cell r="F19">
            <v>47.519478260869562</v>
          </cell>
          <cell r="G19">
            <v>47.519478260869562</v>
          </cell>
        </row>
        <row r="20">
          <cell r="B20" t="str">
            <v>RMJFC001-06</v>
          </cell>
          <cell r="C20" t="str">
            <v>KIKKOMAN SOY SAUCE (S) 20L</v>
          </cell>
          <cell r="D20">
            <v>1</v>
          </cell>
          <cell r="E20">
            <v>16617.043478260868</v>
          </cell>
          <cell r="F20">
            <v>16.617043478260868</v>
          </cell>
          <cell r="G20">
            <v>16.617043478260868</v>
          </cell>
        </row>
        <row r="21">
          <cell r="B21" t="str">
            <v>RMKIR001-03</v>
          </cell>
          <cell r="C21" t="str">
            <v>Lemon Juice NFC (Vegan) (1 x 20KG) (MOQ:48)</v>
          </cell>
          <cell r="D21">
            <v>1</v>
          </cell>
          <cell r="E21">
            <v>40122.260869565216</v>
          </cell>
          <cell r="F21">
            <v>40.122260869565217</v>
          </cell>
          <cell r="G21">
            <v>40.122260869565217</v>
          </cell>
        </row>
        <row r="22">
          <cell r="B22" t="str">
            <v>RMKIR001-06</v>
          </cell>
          <cell r="C22" t="str">
            <v>Coconut milk CM-04D (17-19% fat no additives)(MOQ:48)</v>
          </cell>
          <cell r="D22">
            <v>1</v>
          </cell>
          <cell r="E22">
            <v>498511.30434782605</v>
          </cell>
          <cell r="F22">
            <v>498.51130434782607</v>
          </cell>
          <cell r="G22">
            <v>498.51130434782607</v>
          </cell>
        </row>
        <row r="23">
          <cell r="B23" t="str">
            <v>RMFOO001-06</v>
          </cell>
          <cell r="C23" t="str">
            <v>IQF Sliced Spring Onion 4-6mm (1 X 10KG)</v>
          </cell>
          <cell r="D23">
            <v>1</v>
          </cell>
          <cell r="E23">
            <v>62298.928695652168</v>
          </cell>
          <cell r="F23">
            <v>62.298928695652165</v>
          </cell>
          <cell r="G23">
            <v>62.298928695652165</v>
          </cell>
        </row>
        <row r="24">
          <cell r="B24" t="str">
            <v>RMFOO001-15</v>
          </cell>
          <cell r="C24" t="str">
            <v>Garlic Puree Tablet IQF (1x10kg)</v>
          </cell>
          <cell r="D24">
            <v>1</v>
          </cell>
          <cell r="E24">
            <v>40122.260869565216</v>
          </cell>
          <cell r="F24">
            <v>40.122260869565217</v>
          </cell>
          <cell r="G24">
            <v>40.122260869565217</v>
          </cell>
        </row>
        <row r="25">
          <cell r="B25" t="str">
            <v>RMFOO001-16</v>
          </cell>
          <cell r="C25" t="str">
            <v>Cauliflower minced IQF</v>
          </cell>
          <cell r="D25">
            <v>1</v>
          </cell>
          <cell r="E25">
            <v>162000</v>
          </cell>
          <cell r="F25">
            <v>162</v>
          </cell>
          <cell r="G25">
            <v>162</v>
          </cell>
        </row>
        <row r="26">
          <cell r="B26" t="str">
            <v>RMFOO001-17</v>
          </cell>
          <cell r="C26" t="str">
            <v>DAISY CUT BABY CORN 2-7mm</v>
          </cell>
          <cell r="D26">
            <v>1</v>
          </cell>
          <cell r="E26">
            <v>453392</v>
          </cell>
          <cell r="F26">
            <v>453.392</v>
          </cell>
          <cell r="G26">
            <v>453.392</v>
          </cell>
        </row>
        <row r="27">
          <cell r="B27" t="str">
            <v>RMSOP001-02</v>
          </cell>
          <cell r="C27" t="str">
            <v>MP PANANG CURRY PASTE 12x1kg</v>
          </cell>
          <cell r="D27">
            <v>1</v>
          </cell>
          <cell r="E27">
            <v>58159.65217391304</v>
          </cell>
          <cell r="F27">
            <v>58.159652173913038</v>
          </cell>
          <cell r="G27">
            <v>58.159652173913038</v>
          </cell>
        </row>
        <row r="28">
          <cell r="B28" t="str">
            <v>RMSOP001-03</v>
          </cell>
          <cell r="C28" t="str">
            <v>SQUID FISH SAUCE (pet) 3x4500ml/16.47kg</v>
          </cell>
          <cell r="D28">
            <v>1</v>
          </cell>
          <cell r="E28">
            <v>8308.5217391304341</v>
          </cell>
          <cell r="F28">
            <v>8.308521739130434</v>
          </cell>
          <cell r="G28">
            <v>8.308521739130434</v>
          </cell>
        </row>
        <row r="29">
          <cell r="B29" t="str">
            <v>RMELL001-02</v>
          </cell>
          <cell r="C29" t="str">
            <v>5% Malt Vinegar with Malt Extract (1 x 25 ltr)</v>
          </cell>
          <cell r="D29">
            <v>1</v>
          </cell>
          <cell r="E29">
            <v>37388.347826086952</v>
          </cell>
          <cell r="F29">
            <v>37.38834782608695</v>
          </cell>
          <cell r="G29">
            <v>37.38834782608695</v>
          </cell>
        </row>
        <row r="30">
          <cell r="B30" t="str">
            <v>RMHUS001-06</v>
          </cell>
          <cell r="C30" t="str">
            <v>EU - Chicken Breast Diced 10-14g</v>
          </cell>
          <cell r="D30">
            <v>1</v>
          </cell>
          <cell r="E30">
            <v>2006113.0434782607</v>
          </cell>
          <cell r="F30">
            <v>2006.1130434782608</v>
          </cell>
          <cell r="G30">
            <v>2006.1130434782608</v>
          </cell>
        </row>
        <row r="64">
          <cell r="D64" t="str">
            <v>S187-01</v>
          </cell>
          <cell r="E64" t="str">
            <v>SIMMER</v>
          </cell>
          <cell r="F64" t="str">
            <v>SE Std Panang Chicken W/Fragrant Rice</v>
          </cell>
          <cell r="G64">
            <v>7320</v>
          </cell>
        </row>
        <row r="65">
          <cell r="D65" t="str">
            <v>S187-02</v>
          </cell>
          <cell r="E65" t="str">
            <v>SIMMER</v>
          </cell>
          <cell r="F65" t="str">
            <v>SE Lean Panang Chicken W/Fragrant Rice</v>
          </cell>
          <cell r="G65">
            <v>3060</v>
          </cell>
        </row>
        <row r="66">
          <cell r="D66" t="str">
            <v>S187-03</v>
          </cell>
          <cell r="E66" t="str">
            <v>SIMMER</v>
          </cell>
          <cell r="F66" t="str">
            <v>SE Lrg Panang Chicken W/Fragrant Rice</v>
          </cell>
          <cell r="G66">
            <v>2224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5">
          <cell r="B5" t="str">
            <v>RMKTC001-01</v>
          </cell>
          <cell r="C5" t="str">
            <v>RAPESEED OIL 1000LT</v>
          </cell>
          <cell r="D5">
            <v>1</v>
          </cell>
          <cell r="E5">
            <v>13625</v>
          </cell>
          <cell r="F5">
            <v>13.625</v>
          </cell>
          <cell r="G5">
            <v>13.625</v>
          </cell>
        </row>
        <row r="6">
          <cell r="B6" t="str">
            <v>RMKTC001-12</v>
          </cell>
          <cell r="C6" t="str">
            <v>Sesame Seed Oil (3x5Lt)</v>
          </cell>
          <cell r="D6">
            <v>1</v>
          </cell>
          <cell r="E6">
            <v>10625</v>
          </cell>
          <cell r="F6">
            <v>10.625</v>
          </cell>
          <cell r="G6">
            <v>10.625</v>
          </cell>
        </row>
        <row r="7">
          <cell r="B7" t="str">
            <v>RMTOP001-64</v>
          </cell>
          <cell r="C7" t="str">
            <v>CHINESE FIVE SPICE POWDER</v>
          </cell>
          <cell r="D7">
            <v>1</v>
          </cell>
          <cell r="E7">
            <v>2125</v>
          </cell>
          <cell r="F7">
            <v>2.125</v>
          </cell>
          <cell r="G7">
            <v>2.125</v>
          </cell>
        </row>
        <row r="8">
          <cell r="B8" t="str">
            <v>RMVIR001-05</v>
          </cell>
          <cell r="C8" t="str">
            <v>CUMMIN POWDER</v>
          </cell>
          <cell r="D8">
            <v>1</v>
          </cell>
          <cell r="E8">
            <v>1050</v>
          </cell>
          <cell r="F8">
            <v>1.05</v>
          </cell>
          <cell r="G8">
            <v>1.05</v>
          </cell>
        </row>
        <row r="9">
          <cell r="B9" t="str">
            <v>RMVIR001-12</v>
          </cell>
          <cell r="C9" t="str">
            <v>GARAM MASALA</v>
          </cell>
          <cell r="D9">
            <v>1</v>
          </cell>
          <cell r="E9">
            <v>750</v>
          </cell>
          <cell r="F9">
            <v>0.75</v>
          </cell>
          <cell r="G9">
            <v>0.75</v>
          </cell>
        </row>
        <row r="10">
          <cell r="B10" t="str">
            <v>RMVIR001-13</v>
          </cell>
          <cell r="C10" t="str">
            <v>GROUND CORIANDER</v>
          </cell>
          <cell r="D10">
            <v>1</v>
          </cell>
          <cell r="E10">
            <v>1050</v>
          </cell>
          <cell r="F10">
            <v>1.05</v>
          </cell>
          <cell r="G10">
            <v>1.05</v>
          </cell>
        </row>
        <row r="11">
          <cell r="B11" t="str">
            <v>RMVIR001-74</v>
          </cell>
          <cell r="C11" t="str">
            <v>Ground Pepper White Heat Treated (1 x 25KG)</v>
          </cell>
          <cell r="D11">
            <v>1</v>
          </cell>
          <cell r="E11">
            <v>2125</v>
          </cell>
          <cell r="F11">
            <v>2.125</v>
          </cell>
          <cell r="G11">
            <v>2.125</v>
          </cell>
        </row>
        <row r="12">
          <cell r="B12" t="str">
            <v>RMVIR001-79</v>
          </cell>
          <cell r="C12" t="str">
            <v>CHILLI POWDER 25HU</v>
          </cell>
          <cell r="D12">
            <v>1</v>
          </cell>
          <cell r="E12">
            <v>600</v>
          </cell>
          <cell r="F12">
            <v>0.6</v>
          </cell>
          <cell r="G12">
            <v>0.6</v>
          </cell>
        </row>
        <row r="13">
          <cell r="B13" t="str">
            <v>RMVIR001-81</v>
          </cell>
          <cell r="C13" t="str">
            <v>CUMIN SEED WHOLE</v>
          </cell>
          <cell r="D13">
            <v>1</v>
          </cell>
          <cell r="E13">
            <v>750</v>
          </cell>
          <cell r="F13">
            <v>0.75</v>
          </cell>
          <cell r="G13">
            <v>0.75</v>
          </cell>
        </row>
        <row r="14">
          <cell r="B14" t="str">
            <v>RMEUR002-02</v>
          </cell>
          <cell r="C14" t="str">
            <v>RTU 10MM (Ready To Use Onions) (Min Ord 60 Bags)</v>
          </cell>
          <cell r="D14">
            <v>1</v>
          </cell>
          <cell r="E14">
            <v>56250</v>
          </cell>
          <cell r="F14">
            <v>56.25</v>
          </cell>
          <cell r="G14">
            <v>56.25</v>
          </cell>
        </row>
        <row r="15">
          <cell r="B15" t="str">
            <v>RMFUN001-19</v>
          </cell>
          <cell r="C15" t="str">
            <v>W/I HOT SAUCE 5 LT</v>
          </cell>
          <cell r="D15">
            <v>1</v>
          </cell>
          <cell r="E15">
            <v>4250</v>
          </cell>
          <cell r="F15">
            <v>4.25</v>
          </cell>
          <cell r="G15">
            <v>4.25</v>
          </cell>
        </row>
        <row r="16">
          <cell r="B16" t="str">
            <v>RMSTJ001-02</v>
          </cell>
          <cell r="C16" t="str">
            <v>SAMOSA PASTRY CUT MEDIUM</v>
          </cell>
          <cell r="D16">
            <v>10</v>
          </cell>
          <cell r="E16">
            <v>90000</v>
          </cell>
          <cell r="F16">
            <v>90</v>
          </cell>
          <cell r="G16">
            <v>9</v>
          </cell>
        </row>
        <row r="17">
          <cell r="B17" t="str">
            <v>GFF509R</v>
          </cell>
          <cell r="C17" t="str">
            <v>Lamb Samosa Filling (COOK)</v>
          </cell>
          <cell r="D17">
            <v>1</v>
          </cell>
          <cell r="E17">
            <v>142500</v>
          </cell>
          <cell r="F17">
            <v>142.5</v>
          </cell>
          <cell r="G17">
            <v>142.5</v>
          </cell>
        </row>
        <row r="18">
          <cell r="B18" t="str">
            <v>RMKEN003-02</v>
          </cell>
          <cell r="C18" t="str">
            <v>PDV SALT ( Order 49 Bags)</v>
          </cell>
          <cell r="D18">
            <v>1</v>
          </cell>
          <cell r="E18">
            <v>1875</v>
          </cell>
          <cell r="F18">
            <v>1.875</v>
          </cell>
          <cell r="G18">
            <v>1.875</v>
          </cell>
        </row>
        <row r="19">
          <cell r="B19" t="str">
            <v>RMFOO001-11</v>
          </cell>
          <cell r="C19" t="str">
            <v>IQF Sliced Water Chestnuts (x 10kg)(MOQ:80)</v>
          </cell>
          <cell r="D19">
            <v>1</v>
          </cell>
          <cell r="E19">
            <v>85000</v>
          </cell>
          <cell r="F19">
            <v>85</v>
          </cell>
          <cell r="G19">
            <v>85</v>
          </cell>
        </row>
        <row r="20">
          <cell r="B20" t="str">
            <v>RMWES001-05</v>
          </cell>
          <cell r="C20" t="str">
            <v>AMOY HOISIN BBQ SCE 6X2.3KG</v>
          </cell>
          <cell r="D20">
            <v>1</v>
          </cell>
          <cell r="E20">
            <v>106250</v>
          </cell>
          <cell r="F20">
            <v>106.25</v>
          </cell>
          <cell r="G20">
            <v>106.25</v>
          </cell>
        </row>
        <row r="21">
          <cell r="B21" t="str">
            <v>RMHAR002-01</v>
          </cell>
          <cell r="C21" t="str">
            <v>FROZEN PEAS</v>
          </cell>
          <cell r="D21">
            <v>1</v>
          </cell>
          <cell r="E21">
            <v>52500</v>
          </cell>
          <cell r="F21">
            <v>52.5</v>
          </cell>
          <cell r="G21">
            <v>52.5</v>
          </cell>
        </row>
        <row r="22">
          <cell r="B22" t="str">
            <v>RMHAR002-37</v>
          </cell>
          <cell r="C22" t="str">
            <v>IQF Ginger Puree (1x10kg)</v>
          </cell>
          <cell r="D22">
            <v>1</v>
          </cell>
          <cell r="E22">
            <v>12750</v>
          </cell>
          <cell r="F22">
            <v>12.75</v>
          </cell>
          <cell r="G22">
            <v>12.75</v>
          </cell>
        </row>
        <row r="23">
          <cell r="B23" t="str">
            <v>RMHAR006-03</v>
          </cell>
          <cell r="C23" t="str">
            <v xml:space="preserve">Cooked Minced lamb frozen </v>
          </cell>
          <cell r="D23">
            <v>1</v>
          </cell>
          <cell r="E23">
            <v>30000</v>
          </cell>
          <cell r="F23">
            <v>30</v>
          </cell>
          <cell r="G23">
            <v>30</v>
          </cell>
        </row>
        <row r="24">
          <cell r="B24" t="str">
            <v>RMFOO001-06</v>
          </cell>
          <cell r="C24" t="str">
            <v>IQF Sliced Spring Onion 4-6mm (1 X 10KG)</v>
          </cell>
          <cell r="D24">
            <v>1</v>
          </cell>
          <cell r="E24">
            <v>85000</v>
          </cell>
          <cell r="F24">
            <v>85</v>
          </cell>
          <cell r="G24">
            <v>85</v>
          </cell>
        </row>
        <row r="25">
          <cell r="B25" t="str">
            <v>RMFOO001-14</v>
          </cell>
          <cell r="C25" t="str">
            <v>Bamboo Shoots Julienne IQF(1x10kg)</v>
          </cell>
          <cell r="D25">
            <v>1</v>
          </cell>
          <cell r="E25">
            <v>85000</v>
          </cell>
          <cell r="F25">
            <v>85</v>
          </cell>
          <cell r="G25">
            <v>85</v>
          </cell>
        </row>
        <row r="26">
          <cell r="B26" t="str">
            <v>RMDAR002-04</v>
          </cell>
          <cell r="C26" t="str">
            <v>Cooked Aromatic Shredded Duck (POLISH) (1x5kg)</v>
          </cell>
          <cell r="D26">
            <v>1</v>
          </cell>
          <cell r="E26">
            <v>212500</v>
          </cell>
          <cell r="F26">
            <v>212.5</v>
          </cell>
          <cell r="G26">
            <v>212.5</v>
          </cell>
        </row>
        <row r="27">
          <cell r="B27" t="str">
            <v>RMDCI001-01</v>
          </cell>
          <cell r="C27" t="str">
            <v>Tyj 8 x 8 Spring Roll Pastry (20x40)</v>
          </cell>
          <cell r="D27">
            <v>11</v>
          </cell>
          <cell r="E27">
            <v>425000</v>
          </cell>
          <cell r="F27">
            <v>425</v>
          </cell>
          <cell r="G27">
            <v>38.636363636363633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  <sheetName val="Sheet4"/>
      <sheetName val="Sheet5"/>
    </sheetNames>
    <sheetDataSet>
      <sheetData sheetId="0">
        <row r="5">
          <cell r="B5" t="str">
            <v>AFFINITY</v>
          </cell>
          <cell r="C5" t="str">
            <v>Water</v>
          </cell>
          <cell r="D5">
            <v>1</v>
          </cell>
          <cell r="E5">
            <v>752629.67477592838</v>
          </cell>
          <cell r="F5">
            <v>752.62967477592838</v>
          </cell>
          <cell r="G5">
            <v>752.62967477592838</v>
          </cell>
        </row>
        <row r="6">
          <cell r="B6" t="str">
            <v>RMDAR001-01</v>
          </cell>
          <cell r="C6" t="str">
            <v>Coriander</v>
          </cell>
          <cell r="D6">
            <v>1</v>
          </cell>
          <cell r="E6">
            <v>2333.6727272727271</v>
          </cell>
          <cell r="F6">
            <v>2.3336727272727269</v>
          </cell>
          <cell r="G6">
            <v>2.3336727272727269</v>
          </cell>
        </row>
        <row r="7">
          <cell r="B7" t="str">
            <v>RMKTC001-01</v>
          </cell>
          <cell r="C7" t="str">
            <v>RAPESEED OIL 1000LT</v>
          </cell>
          <cell r="D7">
            <v>1</v>
          </cell>
          <cell r="E7">
            <v>15557.818181818182</v>
          </cell>
          <cell r="F7">
            <v>15.557818181818181</v>
          </cell>
          <cell r="G7">
            <v>15.557818181818181</v>
          </cell>
        </row>
        <row r="8">
          <cell r="B8" t="str">
            <v>RMTOP001-30</v>
          </cell>
          <cell r="C8" t="str">
            <v>Desiccated Coconuts Medium</v>
          </cell>
          <cell r="D8">
            <v>1</v>
          </cell>
          <cell r="E8">
            <v>31115.636363636364</v>
          </cell>
          <cell r="F8">
            <v>31.115636363636362</v>
          </cell>
          <cell r="G8">
            <v>31.115636363636362</v>
          </cell>
        </row>
        <row r="9">
          <cell r="B9" t="str">
            <v>RMVIR001-55</v>
          </cell>
          <cell r="C9" t="str">
            <v>MADRAS CURRY POWDER - (Triton)</v>
          </cell>
          <cell r="D9">
            <v>1</v>
          </cell>
          <cell r="E9">
            <v>2333.6727272727271</v>
          </cell>
          <cell r="F9">
            <v>2.3336727272727269</v>
          </cell>
          <cell r="G9">
            <v>2.3336727272727269</v>
          </cell>
        </row>
        <row r="10">
          <cell r="B10" t="str">
            <v>RMVIR001-80</v>
          </cell>
          <cell r="C10" t="str">
            <v>TURMERIC POWDER</v>
          </cell>
          <cell r="D10">
            <v>1</v>
          </cell>
          <cell r="E10">
            <v>1555.7818181818182</v>
          </cell>
          <cell r="F10">
            <v>1.5557818181818182</v>
          </cell>
          <cell r="G10">
            <v>1.5557818181818182</v>
          </cell>
        </row>
        <row r="11">
          <cell r="B11" t="str">
            <v>RMEUR002-01</v>
          </cell>
          <cell r="C11" t="str">
            <v>ONION PUREE</v>
          </cell>
          <cell r="D11">
            <v>20</v>
          </cell>
          <cell r="E11">
            <v>77789.090909090912</v>
          </cell>
          <cell r="F11">
            <v>77.789090909090916</v>
          </cell>
          <cell r="G11">
            <v>3.8894545454545457</v>
          </cell>
        </row>
        <row r="12">
          <cell r="B12" t="str">
            <v>RMP&amp;B001-14</v>
          </cell>
          <cell r="C12" t="str">
            <v>HEERA XXL 1121 SELLA RICE(1x10kg) (MOQ:121)</v>
          </cell>
          <cell r="D12">
            <v>1</v>
          </cell>
          <cell r="E12">
            <v>283943.661971831</v>
          </cell>
          <cell r="F12">
            <v>283.94366197183098</v>
          </cell>
          <cell r="G12">
            <v>283.94366197183098</v>
          </cell>
        </row>
        <row r="13">
          <cell r="B13" t="str">
            <v>RMKLU001-11</v>
          </cell>
          <cell r="C13" t="str">
            <v>Sultanas- Chinese (1x12.5kg)</v>
          </cell>
          <cell r="D13">
            <v>1</v>
          </cell>
          <cell r="E13">
            <v>54452.363636363632</v>
          </cell>
          <cell r="F13">
            <v>54.452363636363636</v>
          </cell>
          <cell r="G13">
            <v>54.452363636363636</v>
          </cell>
        </row>
        <row r="14">
          <cell r="B14" t="str">
            <v>RMKEN003-01</v>
          </cell>
          <cell r="C14" t="str">
            <v>SUCRANNA GRANULATED SUGAR ( Order 40 Bags)</v>
          </cell>
          <cell r="D14">
            <v>1</v>
          </cell>
          <cell r="E14">
            <v>23336.727272727272</v>
          </cell>
          <cell r="F14">
            <v>23.336727272727273</v>
          </cell>
          <cell r="G14">
            <v>23.336727272727273</v>
          </cell>
        </row>
        <row r="15">
          <cell r="B15" t="str">
            <v>RMKEN003-02</v>
          </cell>
          <cell r="C15" t="str">
            <v>PDV SALT ( Order 49 Bags)</v>
          </cell>
          <cell r="D15">
            <v>1</v>
          </cell>
          <cell r="E15">
            <v>6223.1272727272726</v>
          </cell>
          <cell r="F15">
            <v>6.2231272727272726</v>
          </cell>
          <cell r="G15">
            <v>6.2231272727272726</v>
          </cell>
        </row>
        <row r="16">
          <cell r="B16" t="str">
            <v>RMHAR002-35</v>
          </cell>
          <cell r="C16" t="str">
            <v>IQF Pineapple Tidbits (1x10kg)</v>
          </cell>
          <cell r="D16">
            <v>1</v>
          </cell>
          <cell r="E16">
            <v>77789.090909090912</v>
          </cell>
          <cell r="F16">
            <v>77.789090909090916</v>
          </cell>
          <cell r="G16">
            <v>77.789090909090916</v>
          </cell>
        </row>
        <row r="17">
          <cell r="B17" t="str">
            <v>RMHAR002-36</v>
          </cell>
          <cell r="C17" t="str">
            <v>10mm Diced White Onion</v>
          </cell>
          <cell r="D17">
            <v>1</v>
          </cell>
          <cell r="E17">
            <v>116683.63636363635</v>
          </cell>
          <cell r="F17">
            <v>116.68363636363635</v>
          </cell>
          <cell r="G17">
            <v>116.68363636363635</v>
          </cell>
        </row>
        <row r="18">
          <cell r="B18" t="str">
            <v>RMHAR002-37</v>
          </cell>
          <cell r="C18" t="str">
            <v>IQF Ginger Puree (1x10kg)</v>
          </cell>
          <cell r="D18">
            <v>1</v>
          </cell>
          <cell r="E18">
            <v>3889.4545454545455</v>
          </cell>
          <cell r="F18">
            <v>3.8894545454545453</v>
          </cell>
          <cell r="G18">
            <v>3.8894545454545453</v>
          </cell>
        </row>
        <row r="19">
          <cell r="B19" t="str">
            <v>RMKLU001-10</v>
          </cell>
          <cell r="C19" t="str">
            <v>Diced Apricots with s02 (1x12.5kg)</v>
          </cell>
          <cell r="D19">
            <v>1</v>
          </cell>
          <cell r="E19">
            <v>38894.545454545456</v>
          </cell>
          <cell r="F19">
            <v>38.894545454545458</v>
          </cell>
          <cell r="G19">
            <v>38.894545454545458</v>
          </cell>
        </row>
        <row r="20">
          <cell r="B20" t="str">
            <v>RMFRE005-01</v>
          </cell>
          <cell r="C20" t="str">
            <v>WHOLE MILK POLY WATSONS (1X2LTR)</v>
          </cell>
          <cell r="D20">
            <v>1</v>
          </cell>
          <cell r="E20">
            <v>62231.272727272728</v>
          </cell>
          <cell r="F20">
            <v>62.231272727272724</v>
          </cell>
          <cell r="G20">
            <v>62.231272727272724</v>
          </cell>
        </row>
        <row r="21">
          <cell r="B21" t="str">
            <v>RMFRE005-05</v>
          </cell>
          <cell r="C21" t="str">
            <v>SINGLE CREAM POLY WATSON (1 x 4PT)(CAT B)</v>
          </cell>
          <cell r="D21">
            <v>2.2000000000000002</v>
          </cell>
          <cell r="E21">
            <v>46673.454545454544</v>
          </cell>
          <cell r="F21">
            <v>46.673454545454547</v>
          </cell>
          <cell r="G21">
            <v>21.215206611570245</v>
          </cell>
        </row>
        <row r="22">
          <cell r="B22" t="str">
            <v>RMUNI001-05</v>
          </cell>
          <cell r="C22" t="str">
            <v>Corn Flour</v>
          </cell>
          <cell r="D22">
            <v>1</v>
          </cell>
          <cell r="E22">
            <v>7778.909090909091</v>
          </cell>
          <cell r="F22">
            <v>7.7789090909090906</v>
          </cell>
          <cell r="G22">
            <v>7.7789090909090906</v>
          </cell>
        </row>
        <row r="23">
          <cell r="B23" t="str">
            <v>RMKIR001-06</v>
          </cell>
          <cell r="C23" t="str">
            <v>Coconut milk CM-04D (17-19% fat no additives)(MOQ:48)</v>
          </cell>
          <cell r="D23">
            <v>1</v>
          </cell>
          <cell r="E23">
            <v>140020.36363636362</v>
          </cell>
          <cell r="F23">
            <v>140.02036363636361</v>
          </cell>
          <cell r="G23">
            <v>140.02036363636361</v>
          </cell>
        </row>
        <row r="24">
          <cell r="B24" t="str">
            <v>RMKIR001-07</v>
          </cell>
          <cell r="C24" t="str">
            <v>Tomato Paste 28/30(1 X 20KG)</v>
          </cell>
          <cell r="D24">
            <v>1</v>
          </cell>
          <cell r="E24">
            <v>23336.727272727272</v>
          </cell>
          <cell r="F24">
            <v>23.336727272727273</v>
          </cell>
          <cell r="G24">
            <v>23.336727272727273</v>
          </cell>
        </row>
        <row r="25">
          <cell r="B25" t="str">
            <v>RMFOO001-15</v>
          </cell>
          <cell r="C25" t="str">
            <v>Garlic Puree Tablet IQF (1x10kg)</v>
          </cell>
          <cell r="D25">
            <v>1</v>
          </cell>
          <cell r="E25">
            <v>3889.4545454545455</v>
          </cell>
          <cell r="F25">
            <v>3.8894545454545453</v>
          </cell>
          <cell r="G25">
            <v>3.8894545454545453</v>
          </cell>
        </row>
        <row r="26">
          <cell r="B26" t="str">
            <v>RMSOP001-07</v>
          </cell>
          <cell r="C26" t="str">
            <v>KHANUM MANGO CHUTNEY 4x5kg</v>
          </cell>
          <cell r="D26">
            <v>1</v>
          </cell>
          <cell r="E26">
            <v>23336.727272727272</v>
          </cell>
          <cell r="F26">
            <v>23.336727272727273</v>
          </cell>
          <cell r="G26">
            <v>23.336727272727273</v>
          </cell>
        </row>
        <row r="27">
          <cell r="B27" t="str">
            <v>RMFOO002-03</v>
          </cell>
          <cell r="C27" t="str">
            <v>Steam cooked CBC chicken breast diced 25mm (66x10kg)- SAHA TH99</v>
          </cell>
          <cell r="D27">
            <v>1</v>
          </cell>
          <cell r="E27">
            <v>264320</v>
          </cell>
          <cell r="F27">
            <v>264.32</v>
          </cell>
          <cell r="G27">
            <v>264.32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5">
          <cell r="B5" t="str">
            <v>RMDAR001-01</v>
          </cell>
          <cell r="C5" t="str">
            <v>Coriander</v>
          </cell>
          <cell r="D5">
            <v>1</v>
          </cell>
          <cell r="E5">
            <v>92076.857162992048</v>
          </cell>
          <cell r="F5">
            <v>92.07685716299207</v>
          </cell>
          <cell r="G5">
            <v>92.07685716299207</v>
          </cell>
        </row>
        <row r="6">
          <cell r="B6" t="str">
            <v>RMDAR001-07</v>
          </cell>
          <cell r="C6" t="str">
            <v>IQF BASIL LARGE PREMIUM</v>
          </cell>
          <cell r="D6">
            <v>1</v>
          </cell>
          <cell r="E6">
            <v>18484.496124031008</v>
          </cell>
          <cell r="F6">
            <v>18.484496124031008</v>
          </cell>
          <cell r="G6">
            <v>18.484496124031008</v>
          </cell>
        </row>
        <row r="7">
          <cell r="B7" t="str">
            <v>RMDAR001-10</v>
          </cell>
          <cell r="C7" t="str">
            <v>IQF Milled lime leaves (1 X 15KG)</v>
          </cell>
          <cell r="D7">
            <v>1</v>
          </cell>
          <cell r="E7">
            <v>739.37984496124022</v>
          </cell>
          <cell r="F7">
            <v>0.73937984496124021</v>
          </cell>
          <cell r="G7">
            <v>0.73937984496124021</v>
          </cell>
        </row>
        <row r="8">
          <cell r="B8" t="str">
            <v>RMDAR001-14</v>
          </cell>
          <cell r="C8" t="str">
            <v>LEMON GRASS</v>
          </cell>
          <cell r="D8">
            <v>1</v>
          </cell>
          <cell r="E8">
            <v>7393.7984496124027</v>
          </cell>
          <cell r="F8">
            <v>7.3937984496124027</v>
          </cell>
          <cell r="G8">
            <v>7.3937984496124027</v>
          </cell>
        </row>
        <row r="9">
          <cell r="B9" t="str">
            <v>RMDAR001-15</v>
          </cell>
          <cell r="C9" t="str">
            <v>Galangal Milled (1 x 15KG)</v>
          </cell>
          <cell r="D9">
            <v>1</v>
          </cell>
          <cell r="E9">
            <v>3696.8992248062013</v>
          </cell>
          <cell r="F9">
            <v>3.6968992248062014</v>
          </cell>
          <cell r="G9">
            <v>3.6968992248062014</v>
          </cell>
        </row>
        <row r="10">
          <cell r="B10" t="str">
            <v>RMIHF001-46</v>
          </cell>
          <cell r="C10" t="str">
            <v>Baby Whole Spinach (Mix Size)</v>
          </cell>
          <cell r="D10">
            <v>1</v>
          </cell>
          <cell r="E10">
            <v>39098.181818181816</v>
          </cell>
          <cell r="F10">
            <v>39.098181818181814</v>
          </cell>
          <cell r="G10">
            <v>39.098181818181814</v>
          </cell>
        </row>
        <row r="11">
          <cell r="B11" t="str">
            <v>RMKTC001-01</v>
          </cell>
          <cell r="C11" t="str">
            <v>RAPESEED OIL 1000LT</v>
          </cell>
          <cell r="D11">
            <v>1</v>
          </cell>
          <cell r="E11">
            <v>30639.788583509515</v>
          </cell>
          <cell r="F11">
            <v>30.639788583509514</v>
          </cell>
          <cell r="G11">
            <v>30.639788583509514</v>
          </cell>
        </row>
        <row r="12">
          <cell r="B12" t="str">
            <v>RMMAT001-12</v>
          </cell>
          <cell r="C12" t="str">
            <v>FRESH HIGH WELFARE DICED CHICKEN (28 x 28 x 28)  (TNP)</v>
          </cell>
          <cell r="D12">
            <v>1</v>
          </cell>
          <cell r="E12">
            <v>764405.71428571432</v>
          </cell>
          <cell r="F12">
            <v>764.40571428571434</v>
          </cell>
          <cell r="G12">
            <v>764.40571428571434</v>
          </cell>
        </row>
        <row r="13">
          <cell r="B13" t="str">
            <v>RMVIR001-83</v>
          </cell>
          <cell r="C13" t="str">
            <v>Pepper Black Coarse HT (1X25 kg)</v>
          </cell>
          <cell r="D13">
            <v>1</v>
          </cell>
          <cell r="E13">
            <v>2228.8064431692337</v>
          </cell>
          <cell r="F13">
            <v>2.2288064431692338</v>
          </cell>
          <cell r="G13">
            <v>2.2288064431692338</v>
          </cell>
        </row>
        <row r="14">
          <cell r="B14" t="str">
            <v>RMVIR001-84</v>
          </cell>
          <cell r="C14" t="str">
            <v>GARLIC POWDER</v>
          </cell>
          <cell r="D14">
            <v>1</v>
          </cell>
          <cell r="E14">
            <v>11466.085714285715</v>
          </cell>
          <cell r="F14">
            <v>11.466085714285715</v>
          </cell>
          <cell r="G14">
            <v>11.466085714285715</v>
          </cell>
        </row>
        <row r="15">
          <cell r="B15" t="str">
            <v>RMEUR002-01</v>
          </cell>
          <cell r="C15" t="str">
            <v>ONION PUREE</v>
          </cell>
          <cell r="D15">
            <v>20</v>
          </cell>
          <cell r="E15">
            <v>78196.363636363632</v>
          </cell>
          <cell r="F15">
            <v>78.196363636363628</v>
          </cell>
          <cell r="G15">
            <v>3.9098181818181814</v>
          </cell>
        </row>
        <row r="16">
          <cell r="B16" t="str">
            <v>RMEUR002-02</v>
          </cell>
          <cell r="C16" t="str">
            <v>RTU 10MM (Ready To Use Onions) (Min Ord 60 Bags)</v>
          </cell>
          <cell r="D16">
            <v>1</v>
          </cell>
          <cell r="E16">
            <v>173464.06765327696</v>
          </cell>
          <cell r="F16">
            <v>173.46406765327694</v>
          </cell>
          <cell r="G16">
            <v>173.46406765327694</v>
          </cell>
        </row>
        <row r="17">
          <cell r="B17" t="str">
            <v>RMELL001-01</v>
          </cell>
          <cell r="C17" t="str">
            <v>5% Rice Vinegar 25 litres</v>
          </cell>
          <cell r="D17">
            <v>1</v>
          </cell>
          <cell r="E17">
            <v>4436.2790697674418</v>
          </cell>
          <cell r="F17">
            <v>4.4362790697674415</v>
          </cell>
          <cell r="G17">
            <v>4.4362790697674415</v>
          </cell>
        </row>
        <row r="18">
          <cell r="B18" t="str">
            <v>RMP&amp;B001-05</v>
          </cell>
          <cell r="C18" t="str">
            <v>BROKEN CASHEW (LP) ( 1 x 22.7 kg )</v>
          </cell>
          <cell r="D18">
            <v>1</v>
          </cell>
          <cell r="E18">
            <v>20480</v>
          </cell>
          <cell r="F18">
            <v>20.48</v>
          </cell>
          <cell r="G18">
            <v>20.48</v>
          </cell>
        </row>
        <row r="19">
          <cell r="B19" t="str">
            <v>RMKLU001-05</v>
          </cell>
          <cell r="C19" t="str">
            <v>Raw Coconut Chips</v>
          </cell>
          <cell r="D19">
            <v>1</v>
          </cell>
          <cell r="E19">
            <v>20480</v>
          </cell>
          <cell r="F19">
            <v>20.48</v>
          </cell>
          <cell r="G19">
            <v>20.48</v>
          </cell>
        </row>
        <row r="20">
          <cell r="B20" t="str">
            <v>RMKEN003-02</v>
          </cell>
          <cell r="C20" t="str">
            <v>PDV SALT ( Order 49 Bags)</v>
          </cell>
          <cell r="D20">
            <v>1</v>
          </cell>
          <cell r="E20">
            <v>18636.174859559043</v>
          </cell>
          <cell r="F20">
            <v>18.636174859559048</v>
          </cell>
          <cell r="G20">
            <v>18.636174859559048</v>
          </cell>
        </row>
        <row r="21">
          <cell r="B21" t="str">
            <v>RMBRI006-01</v>
          </cell>
          <cell r="C21" t="str">
            <v>BLACK RICE</v>
          </cell>
          <cell r="D21">
            <v>1</v>
          </cell>
          <cell r="E21">
            <v>408600.00000000006</v>
          </cell>
          <cell r="F21">
            <v>408.60000000000008</v>
          </cell>
          <cell r="G21">
            <v>408.60000000000008</v>
          </cell>
        </row>
        <row r="22">
          <cell r="B22" t="str">
            <v>RMHAR002-09</v>
          </cell>
          <cell r="C22" t="str">
            <v>DICED RED PEPPER 20MM</v>
          </cell>
          <cell r="D22">
            <v>1</v>
          </cell>
          <cell r="E22">
            <v>286345.68005637772</v>
          </cell>
          <cell r="F22">
            <v>286.34568005637772</v>
          </cell>
          <cell r="G22">
            <v>286.34568005637772</v>
          </cell>
        </row>
        <row r="23">
          <cell r="B23" t="str">
            <v>RMHAR002-13</v>
          </cell>
          <cell r="C23" t="str">
            <v>Cut green beans frozen IQF</v>
          </cell>
          <cell r="D23">
            <v>1</v>
          </cell>
          <cell r="E23">
            <v>73937.984496124031</v>
          </cell>
          <cell r="F23">
            <v>73.937984496124031</v>
          </cell>
          <cell r="G23">
            <v>73.937984496124031</v>
          </cell>
        </row>
        <row r="24">
          <cell r="B24" t="str">
            <v>RMHAR002-15</v>
          </cell>
          <cell r="C24" t="str">
            <v>Baby corncobs frozen IQF</v>
          </cell>
          <cell r="D24">
            <v>1</v>
          </cell>
          <cell r="E24">
            <v>81331.782945736428</v>
          </cell>
          <cell r="F24">
            <v>81.331782945736421</v>
          </cell>
          <cell r="G24">
            <v>81.331782945736421</v>
          </cell>
        </row>
        <row r="25">
          <cell r="B25" t="str">
            <v>RMHAR002-22</v>
          </cell>
          <cell r="C25" t="str">
            <v>DICED YELLOW PEPPER 20MM</v>
          </cell>
          <cell r="D25">
            <v>1</v>
          </cell>
          <cell r="E25">
            <v>208149.31642001407</v>
          </cell>
          <cell r="F25">
            <v>208.14931642001409</v>
          </cell>
          <cell r="G25">
            <v>208.14931642001409</v>
          </cell>
        </row>
        <row r="26">
          <cell r="B26" t="str">
            <v>RMHAR002-37</v>
          </cell>
          <cell r="C26" t="str">
            <v>IQF Ginger Puree (1x10kg)</v>
          </cell>
          <cell r="D26">
            <v>1</v>
          </cell>
          <cell r="E26">
            <v>49975.960535588441</v>
          </cell>
          <cell r="F26">
            <v>49.975960535588442</v>
          </cell>
          <cell r="G26">
            <v>49.975960535588442</v>
          </cell>
        </row>
        <row r="27">
          <cell r="B27" t="str">
            <v>RMUNI001-05</v>
          </cell>
          <cell r="C27" t="str">
            <v>Corn Flour</v>
          </cell>
          <cell r="D27">
            <v>1</v>
          </cell>
          <cell r="E27">
            <v>16692.194503171246</v>
          </cell>
          <cell r="F27">
            <v>16.692194503171248</v>
          </cell>
          <cell r="G27">
            <v>16.692194503171248</v>
          </cell>
        </row>
        <row r="28">
          <cell r="B28" t="str">
            <v>RMKIR001-03</v>
          </cell>
          <cell r="C28" t="str">
            <v>Lemon Juice NFC (Vegan) (1 x 20KG) (MOQ:48)</v>
          </cell>
          <cell r="D28">
            <v>1</v>
          </cell>
          <cell r="E28">
            <v>38571.444155844161</v>
          </cell>
          <cell r="F28">
            <v>38.571444155844155</v>
          </cell>
          <cell r="G28">
            <v>38.571444155844155</v>
          </cell>
        </row>
        <row r="29">
          <cell r="B29" t="str">
            <v>RMKIR001-06</v>
          </cell>
          <cell r="C29" t="str">
            <v>Coconut milk CM-04D (17-19% fat no additives)(MOQ:48)</v>
          </cell>
          <cell r="D29">
            <v>1</v>
          </cell>
          <cell r="E29">
            <v>571568.40028188867</v>
          </cell>
          <cell r="F29">
            <v>571.56840028188867</v>
          </cell>
          <cell r="G29">
            <v>571.56840028188867</v>
          </cell>
        </row>
        <row r="30">
          <cell r="B30" t="str">
            <v>RMFOO001-06</v>
          </cell>
          <cell r="C30" t="str">
            <v>IQF Sliced Spring Onion 4-6mm (1 X 10KG)</v>
          </cell>
          <cell r="D30">
            <v>1</v>
          </cell>
          <cell r="E30">
            <v>14787.596899224805</v>
          </cell>
          <cell r="F30">
            <v>14.787596899224805</v>
          </cell>
          <cell r="G30">
            <v>14.787596899224805</v>
          </cell>
        </row>
        <row r="31">
          <cell r="B31" t="str">
            <v>RMFOO001-15</v>
          </cell>
          <cell r="C31" t="str">
            <v>Garlic Puree Tablet IQF (1x10kg)</v>
          </cell>
          <cell r="D31">
            <v>1</v>
          </cell>
          <cell r="E31">
            <v>11090.697674418605</v>
          </cell>
          <cell r="F31">
            <v>11.090697674418605</v>
          </cell>
          <cell r="G31">
            <v>11.090697674418605</v>
          </cell>
        </row>
        <row r="32">
          <cell r="B32" t="str">
            <v>RMSOP001-02</v>
          </cell>
          <cell r="C32" t="str">
            <v>MP PANANG CURRY PASTE 12x1kg</v>
          </cell>
          <cell r="D32">
            <v>1</v>
          </cell>
          <cell r="E32">
            <v>39098.181818181816</v>
          </cell>
          <cell r="F32">
            <v>39.098181818181814</v>
          </cell>
          <cell r="G32">
            <v>39.098181818181814</v>
          </cell>
        </row>
        <row r="33">
          <cell r="B33" t="str">
            <v>RMSOP001-05</v>
          </cell>
          <cell r="C33" t="str">
            <v>MP GREEN CURRY PASTE (VEGETARIAN) 12x1kg</v>
          </cell>
          <cell r="D33">
            <v>1</v>
          </cell>
          <cell r="E33">
            <v>25878.294573643409</v>
          </cell>
          <cell r="F33">
            <v>25.878294573643409</v>
          </cell>
          <cell r="G33">
            <v>25.878294573643409</v>
          </cell>
        </row>
        <row r="34">
          <cell r="B34" t="str">
            <v>RMTCK001-17</v>
          </cell>
          <cell r="C34" t="str">
            <v>SHREDDED Baby Spinach</v>
          </cell>
          <cell r="D34">
            <v>5</v>
          </cell>
          <cell r="E34">
            <v>36968.992248062015</v>
          </cell>
          <cell r="F34">
            <v>36.968992248062015</v>
          </cell>
          <cell r="G34">
            <v>7.3937984496124027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69" zoomScaleNormal="69" workbookViewId="0">
      <selection activeCell="D20" sqref="D20"/>
    </sheetView>
  </sheetViews>
  <sheetFormatPr defaultRowHeight="15" x14ac:dyDescent="0.25"/>
  <cols>
    <col min="1" max="1" width="35.85546875" bestFit="1" customWidth="1"/>
    <col min="2" max="2" width="19.7109375" bestFit="1" customWidth="1"/>
    <col min="3" max="3" width="46.28515625" bestFit="1" customWidth="1"/>
    <col min="4" max="4" width="13.140625" bestFit="1" customWidth="1"/>
    <col min="5" max="5" width="14.42578125" bestFit="1" customWidth="1"/>
    <col min="6" max="6" width="15.5703125" bestFit="1" customWidth="1"/>
    <col min="7" max="7" width="18.28515625" bestFit="1" customWidth="1"/>
    <col min="8" max="8" width="34.140625" bestFit="1" customWidth="1"/>
    <col min="9" max="9" width="8.85546875" bestFit="1" customWidth="1"/>
    <col min="10" max="10" width="14" bestFit="1" customWidth="1"/>
    <col min="11" max="11" width="19.140625" bestFit="1" customWidth="1"/>
    <col min="12" max="12" width="16.42578125" bestFit="1" customWidth="1"/>
    <col min="13" max="13" width="19.140625" bestFit="1" customWidth="1"/>
    <col min="14" max="14" width="2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71</v>
      </c>
      <c r="I1" s="3" t="s">
        <v>72</v>
      </c>
      <c r="J1" s="1" t="s">
        <v>841</v>
      </c>
      <c r="K1" s="1" t="s">
        <v>842</v>
      </c>
      <c r="L1" s="1" t="s">
        <v>844</v>
      </c>
      <c r="M1" s="1" t="s">
        <v>843</v>
      </c>
      <c r="N1" s="1" t="s">
        <v>845</v>
      </c>
      <c r="O1" s="4" t="s">
        <v>846</v>
      </c>
    </row>
    <row r="2" spans="1:15" x14ac:dyDescent="0.25">
      <c r="A2" s="1" t="s">
        <v>7</v>
      </c>
      <c r="B2" s="1" t="s">
        <v>8</v>
      </c>
      <c r="C2" s="1" t="s">
        <v>9</v>
      </c>
      <c r="D2" s="1">
        <v>1</v>
      </c>
      <c r="E2" s="1">
        <v>59265.130434782608</v>
      </c>
      <c r="F2" s="1">
        <v>59.265130434782606</v>
      </c>
      <c r="G2" s="1">
        <v>59.265130434782606</v>
      </c>
      <c r="H2" s="2">
        <f>IFERROR(VLOOKUP(B2,Sheet2!$A$2:$J$314,10,FALSE),0)</f>
        <v>28</v>
      </c>
      <c r="I2" s="3" t="str">
        <f>IFERROR(VLOOKUP(B2,Sheet2!$A$2:$J$314,4,FALSE),0)</f>
        <v>1 x 15kg</v>
      </c>
      <c r="J2" s="1">
        <f>IFERROR(VLOOKUP(B2,[1]Sheet1!$B$5:$G$30,6,FALSE),0)</f>
        <v>56.739304347826085</v>
      </c>
      <c r="K2" s="1">
        <f>IFERROR(VLOOKUP(B2,[2]Sheet1!$B$5:$G$27,6,FALSE),0)</f>
        <v>0</v>
      </c>
      <c r="L2" s="1">
        <f>IFERROR(VLOOKUP(B2,[3]Sheet1!$B$5:$G$27,6,FALSE),0)</f>
        <v>2.3336727272727269</v>
      </c>
      <c r="M2" s="1">
        <f>IFERROR(VLOOKUP(B2,[4]Sheet1!$B$5:$G$34,6,FALSE),0)</f>
        <v>92.07685716299207</v>
      </c>
      <c r="N2" s="1">
        <f>G2+J2+K2+L2+M2</f>
        <v>210.41496467287348</v>
      </c>
      <c r="O2" s="4" t="s">
        <v>847</v>
      </c>
    </row>
    <row r="3" spans="1:15" x14ac:dyDescent="0.25">
      <c r="A3" s="1" t="s">
        <v>7</v>
      </c>
      <c r="B3" s="1" t="s">
        <v>10</v>
      </c>
      <c r="C3" s="1" t="s">
        <v>11</v>
      </c>
      <c r="D3" s="1">
        <v>1</v>
      </c>
      <c r="E3" s="1">
        <v>26987.060869565215</v>
      </c>
      <c r="F3" s="1">
        <v>26.987060869565216</v>
      </c>
      <c r="G3" s="1">
        <v>26.987060869565216</v>
      </c>
      <c r="H3" s="2">
        <f>IFERROR(VLOOKUP(B3,Sheet2!$A$2:$J$314,10,FALSE),0)</f>
        <v>29.619</v>
      </c>
      <c r="I3" s="3" t="str">
        <f>IFERROR(VLOOKUP(B3,Sheet2!$A$2:$J$314,4,FALSE),0)</f>
        <v>1 X 10KG</v>
      </c>
      <c r="J3" s="1">
        <f>IFERROR(VLOOKUP(B3,[1]Sheet1!$B$5:$G$30,6,FALSE),0)</f>
        <v>0</v>
      </c>
      <c r="K3" s="1">
        <f>IFERROR(VLOOKUP(B3,[2]Sheet1!$B$5:$G$27,6,FALSE),0)</f>
        <v>0</v>
      </c>
      <c r="L3" s="1">
        <f>IFERROR(VLOOKUP(B3,[3]Sheet1!$B$5:$G$27,6,FALSE),0)</f>
        <v>0</v>
      </c>
      <c r="M3" s="1">
        <f>IFERROR(VLOOKUP(B3,[4]Sheet1!$B$5:$G$34,6,FALSE),0)</f>
        <v>0</v>
      </c>
      <c r="N3" s="1">
        <f t="shared" ref="N3:N27" si="0">G3+J3+K3+L3+M3</f>
        <v>26.987060869565216</v>
      </c>
      <c r="O3" s="4" t="s">
        <v>847</v>
      </c>
    </row>
    <row r="4" spans="1:15" x14ac:dyDescent="0.25">
      <c r="A4" s="1" t="s">
        <v>12</v>
      </c>
      <c r="B4" s="1" t="s">
        <v>13</v>
      </c>
      <c r="C4" s="1" t="s">
        <v>14</v>
      </c>
      <c r="D4" s="1">
        <v>1</v>
      </c>
      <c r="E4" s="1">
        <v>194200.4347826087</v>
      </c>
      <c r="F4" s="1">
        <v>194.20043478260868</v>
      </c>
      <c r="G4" s="1">
        <v>194.20043478260868</v>
      </c>
      <c r="H4" s="2">
        <f>IFERROR(VLOOKUP(B4,Sheet2!$A$2:$J$314,10,FALSE),0)</f>
        <v>61</v>
      </c>
      <c r="I4" s="3" t="str">
        <f>IFERROR(VLOOKUP(B4,Sheet2!$A$2:$J$314,4,FALSE),0)</f>
        <v>3 X 5L</v>
      </c>
      <c r="J4" s="1">
        <f>IFERROR(VLOOKUP(B4,[1]Sheet1!$B$5:$G$30,6,FALSE),0)</f>
        <v>76.751060869565222</v>
      </c>
      <c r="K4" s="1">
        <f>IFERROR(VLOOKUP(B4,[2]Sheet1!$B$5:$G$27,6,FALSE),0)</f>
        <v>0</v>
      </c>
      <c r="L4" s="1">
        <f>IFERROR(VLOOKUP(B4,[3]Sheet1!$B$5:$G$27,6,FALSE),0)</f>
        <v>0</v>
      </c>
      <c r="M4" s="1">
        <f>IFERROR(VLOOKUP(B4,[4]Sheet1!$B$5:$G$34,6,FALSE),0)</f>
        <v>0</v>
      </c>
      <c r="N4" s="1">
        <f t="shared" si="0"/>
        <v>270.95149565217389</v>
      </c>
      <c r="O4" s="4" t="s">
        <v>847</v>
      </c>
    </row>
    <row r="5" spans="1:15" x14ac:dyDescent="0.25">
      <c r="A5" s="1" t="s">
        <v>15</v>
      </c>
      <c r="B5" s="1" t="s">
        <v>16</v>
      </c>
      <c r="C5" s="1" t="s">
        <v>17</v>
      </c>
      <c r="D5" s="1">
        <v>20</v>
      </c>
      <c r="E5" s="1">
        <v>28447.199999999997</v>
      </c>
      <c r="F5" s="1">
        <v>28.447199999999999</v>
      </c>
      <c r="G5" s="1">
        <v>1.4223599999999998</v>
      </c>
      <c r="H5" s="2">
        <f>IFERROR(VLOOKUP(B5,Sheet2!$A$2:$J$314,10,FALSE),0)</f>
        <v>116</v>
      </c>
      <c r="I5" s="3" t="str">
        <f>IFERROR(VLOOKUP(B5,Sheet2!$A$2:$J$314,4,FALSE),0)</f>
        <v>1 X 20 kg</v>
      </c>
      <c r="J5" s="1">
        <f>IFERROR(VLOOKUP(B5,[1]Sheet1!$B$5:$G$30,6,FALSE),0)</f>
        <v>0</v>
      </c>
      <c r="K5" s="1">
        <f>IFERROR(VLOOKUP(B5,[2]Sheet1!$B$5:$G$27,6,FALSE),0)</f>
        <v>0</v>
      </c>
      <c r="L5" s="1">
        <f>IFERROR(VLOOKUP(B5,[3]Sheet1!$B$5:$G$27,6,FALSE),0)</f>
        <v>3.8894545454545457</v>
      </c>
      <c r="M5" s="1">
        <f>IFERROR(VLOOKUP(B5,[4]Sheet1!$B$5:$G$34,6,FALSE),0)</f>
        <v>3.9098181818181814</v>
      </c>
      <c r="N5" s="1">
        <f t="shared" si="0"/>
        <v>9.221632727272727</v>
      </c>
      <c r="O5" s="4" t="s">
        <v>847</v>
      </c>
    </row>
    <row r="6" spans="1:15" x14ac:dyDescent="0.25">
      <c r="A6" s="1" t="s">
        <v>18</v>
      </c>
      <c r="B6" s="1" t="s">
        <v>19</v>
      </c>
      <c r="C6" s="1" t="s">
        <v>20</v>
      </c>
      <c r="D6" s="1">
        <v>1</v>
      </c>
      <c r="E6" s="1">
        <v>227577.59999999998</v>
      </c>
      <c r="F6" s="1">
        <v>227.57759999999999</v>
      </c>
      <c r="G6" s="1">
        <v>227.57759999999999</v>
      </c>
      <c r="H6" s="2">
        <f>IFERROR(VLOOKUP(B6,Sheet2!$A$2:$J$314,10,FALSE),0)</f>
        <v>49</v>
      </c>
      <c r="I6" s="3" t="str">
        <f>IFERROR(VLOOKUP(B6,Sheet2!$A$2:$J$314,4,FALSE),0)</f>
        <v>1 X 25L</v>
      </c>
      <c r="J6" s="1">
        <f>IFERROR(VLOOKUP(B6,[1]Sheet1!$B$5:$G$30,6,FALSE),0)</f>
        <v>0</v>
      </c>
      <c r="K6" s="1">
        <f>IFERROR(VLOOKUP(B6,[2]Sheet1!$B$5:$G$27,6,FALSE),0)</f>
        <v>0</v>
      </c>
      <c r="L6" s="1">
        <f>IFERROR(VLOOKUP(B6,[3]Sheet1!$B$5:$G$27,6,FALSE),0)</f>
        <v>0</v>
      </c>
      <c r="M6" s="1">
        <f>IFERROR(VLOOKUP(B6,[4]Sheet1!$B$5:$G$34,6,FALSE),0)</f>
        <v>4.4362790697674415</v>
      </c>
      <c r="N6" s="1">
        <f t="shared" si="0"/>
        <v>232.01387906976743</v>
      </c>
      <c r="O6" s="4" t="s">
        <v>847</v>
      </c>
    </row>
    <row r="7" spans="1:15" x14ac:dyDescent="0.25">
      <c r="A7" s="1" t="s">
        <v>21</v>
      </c>
      <c r="B7" s="1" t="s">
        <v>22</v>
      </c>
      <c r="C7" s="1" t="s">
        <v>23</v>
      </c>
      <c r="D7" s="1">
        <v>1</v>
      </c>
      <c r="E7" s="1">
        <v>674676.52173913037</v>
      </c>
      <c r="F7" s="1">
        <v>674.67652173913041</v>
      </c>
      <c r="G7" s="1">
        <v>674.67652173913041</v>
      </c>
      <c r="H7" s="2">
        <f>IFERROR(VLOOKUP(B7,Sheet2!$A$2:$J$314,10,FALSE),0)</f>
        <v>284</v>
      </c>
      <c r="I7" s="3" t="str">
        <f>IFERROR(VLOOKUP(B7,Sheet2!$A$2:$J$314,4,FALSE),0)</f>
        <v>1x10kg</v>
      </c>
      <c r="J7" s="1">
        <f>IFERROR(VLOOKUP(B7,[1]Sheet1!$B$5:$G$30,6,FALSE),0)</f>
        <v>488.38400000000001</v>
      </c>
      <c r="K7" s="1">
        <f>IFERROR(VLOOKUP(B7,[2]Sheet1!$B$5:$G$27,6,FALSE),0)</f>
        <v>0</v>
      </c>
      <c r="L7" s="1">
        <f>IFERROR(VLOOKUP(B7,[3]Sheet1!$B$5:$G$27,6,FALSE),0)</f>
        <v>283.94366197183098</v>
      </c>
      <c r="M7" s="1">
        <f>IFERROR(VLOOKUP(B7,[4]Sheet1!$B$5:$G$34,6,FALSE),0)</f>
        <v>0</v>
      </c>
      <c r="N7" s="1">
        <f t="shared" si="0"/>
        <v>1447.0041837109613</v>
      </c>
      <c r="O7" s="4" t="s">
        <v>847</v>
      </c>
    </row>
    <row r="8" spans="1:15" x14ac:dyDescent="0.25">
      <c r="A8" s="1" t="s">
        <v>24</v>
      </c>
      <c r="B8" s="1" t="s">
        <v>25</v>
      </c>
      <c r="C8" s="1" t="s">
        <v>26</v>
      </c>
      <c r="D8" s="1">
        <v>1</v>
      </c>
      <c r="E8" s="1">
        <v>256024.8</v>
      </c>
      <c r="F8" s="1">
        <v>256.02479999999997</v>
      </c>
      <c r="G8" s="1">
        <v>256.02479999999997</v>
      </c>
      <c r="H8" s="2">
        <f>IFERROR(VLOOKUP(B8,Sheet2!$A$2:$J$314,10,FALSE),0)</f>
        <v>37</v>
      </c>
      <c r="I8" s="3" t="str">
        <f>IFERROR(VLOOKUP(B8,Sheet2!$A$2:$J$314,4,FALSE),0)</f>
        <v>1x25kg</v>
      </c>
      <c r="J8" s="1">
        <f>IFERROR(VLOOKUP(B8,[1]Sheet1!$B$5:$G$30,6,FALSE),0)</f>
        <v>0</v>
      </c>
      <c r="K8" s="1">
        <f>IFERROR(VLOOKUP(B8,[2]Sheet1!$B$5:$G$27,6,FALSE),0)</f>
        <v>0</v>
      </c>
      <c r="L8" s="1">
        <f>IFERROR(VLOOKUP(B8,[3]Sheet1!$B$5:$G$27,6,FALSE),0)</f>
        <v>23.336727272727273</v>
      </c>
      <c r="M8" s="1">
        <f>IFERROR(VLOOKUP(B8,[4]Sheet1!$B$5:$G$34,6,FALSE),0)</f>
        <v>0</v>
      </c>
      <c r="N8" s="1">
        <f t="shared" si="0"/>
        <v>279.36152727272724</v>
      </c>
      <c r="O8" s="4" t="s">
        <v>847</v>
      </c>
    </row>
    <row r="9" spans="1:15" x14ac:dyDescent="0.25">
      <c r="A9" s="1" t="s">
        <v>24</v>
      </c>
      <c r="B9" s="1" t="s">
        <v>27</v>
      </c>
      <c r="C9" s="1" t="s">
        <v>28</v>
      </c>
      <c r="D9" s="1">
        <v>1</v>
      </c>
      <c r="E9" s="1">
        <v>21256.401739130433</v>
      </c>
      <c r="F9" s="1">
        <v>21.256401739130432</v>
      </c>
      <c r="G9" s="1">
        <v>21.256401739130432</v>
      </c>
      <c r="H9" s="2">
        <f>IFERROR(VLOOKUP(B9,Sheet2!$A$2:$J$314,10,FALSE),0)</f>
        <v>78</v>
      </c>
      <c r="I9" s="3" t="str">
        <f>IFERROR(VLOOKUP(B9,Sheet2!$A$2:$J$314,4,FALSE),0)</f>
        <v>1x25kg</v>
      </c>
      <c r="J9" s="1">
        <f>IFERROR(VLOOKUP(B9,[1]Sheet1!$B$5:$G$30,6,FALSE),0)</f>
        <v>12.18136347826087</v>
      </c>
      <c r="K9" s="1">
        <f>IFERROR(VLOOKUP(B9,[2]Sheet1!$B$5:$G$27,6,FALSE),0)</f>
        <v>1.875</v>
      </c>
      <c r="L9" s="1">
        <f>IFERROR(VLOOKUP(B9,[3]Sheet1!$B$5:$G$27,6,FALSE),0)</f>
        <v>6.2231272727272726</v>
      </c>
      <c r="M9" s="1">
        <f>IFERROR(VLOOKUP(B9,[4]Sheet1!$B$5:$G$34,6,FALSE),0)</f>
        <v>18.636174859559048</v>
      </c>
      <c r="N9" s="1">
        <f t="shared" si="0"/>
        <v>60.172067349677626</v>
      </c>
      <c r="O9" s="4" t="s">
        <v>847</v>
      </c>
    </row>
    <row r="10" spans="1:15" x14ac:dyDescent="0.25">
      <c r="A10" s="1" t="s">
        <v>29</v>
      </c>
      <c r="B10" s="1" t="s">
        <v>30</v>
      </c>
      <c r="C10" s="1" t="s">
        <v>31</v>
      </c>
      <c r="D10" s="1">
        <v>1</v>
      </c>
      <c r="E10" s="1">
        <v>312919.2</v>
      </c>
      <c r="F10" s="1">
        <v>312.91919999999999</v>
      </c>
      <c r="G10" s="1">
        <v>312.91919999999999</v>
      </c>
      <c r="H10" s="2">
        <f>IFERROR(VLOOKUP(B10,Sheet2!$A$2:$J$314,10,FALSE),0)</f>
        <v>109.60300000000001</v>
      </c>
      <c r="I10" s="3" t="str">
        <f>IFERROR(VLOOKUP(B10,Sheet2!$A$2:$J$314,4,FALSE),0)</f>
        <v>1 X 10KG</v>
      </c>
      <c r="J10" s="1">
        <f>IFERROR(VLOOKUP(B10,[1]Sheet1!$B$5:$G$30,6,FALSE),0)</f>
        <v>0</v>
      </c>
      <c r="K10" s="1">
        <f>IFERROR(VLOOKUP(B10,[2]Sheet1!$B$5:$G$27,6,FALSE),0)</f>
        <v>0</v>
      </c>
      <c r="L10" s="1">
        <f>IFERROR(VLOOKUP(B10,[3]Sheet1!$B$5:$G$27,6,FALSE),0)</f>
        <v>0</v>
      </c>
      <c r="M10" s="1">
        <f>IFERROR(VLOOKUP(B10,[4]Sheet1!$B$5:$G$34,6,FALSE),0)</f>
        <v>286.34568005637772</v>
      </c>
      <c r="N10" s="1">
        <f t="shared" si="0"/>
        <v>599.26488005637771</v>
      </c>
      <c r="O10" s="4" t="s">
        <v>847</v>
      </c>
    </row>
    <row r="11" spans="1:15" x14ac:dyDescent="0.25">
      <c r="A11" s="1" t="s">
        <v>29</v>
      </c>
      <c r="B11" s="1" t="s">
        <v>287</v>
      </c>
      <c r="C11" s="1" t="s">
        <v>288</v>
      </c>
      <c r="D11" s="1">
        <v>1</v>
      </c>
      <c r="E11" s="1">
        <v>1560119.1666666667</v>
      </c>
      <c r="F11" s="1">
        <v>1560.1191666666668</v>
      </c>
      <c r="G11" s="1">
        <v>1560.1191666666668</v>
      </c>
      <c r="H11" s="2">
        <f>IFERROR(VLOOKUP(B11,Sheet2!$A$2:$J$314,10,FALSE),0)</f>
        <v>269.73333333333335</v>
      </c>
      <c r="I11" s="3" t="str">
        <f>IFERROR(VLOOKUP(B11,Sheet2!$A$2:$J$314,4,FALSE),0)</f>
        <v>1x15Kg</v>
      </c>
      <c r="J11" s="1">
        <f>IFERROR(VLOOKUP(B11,[1]Sheet1!$B$5:$G$30,6,FALSE),0)</f>
        <v>453.392</v>
      </c>
      <c r="K11" s="1">
        <f>IFERROR(VLOOKUP(B11,[2]Sheet1!$B$5:$G$27,6,FALSE),0)</f>
        <v>0</v>
      </c>
      <c r="L11" s="1">
        <f>IFERROR(VLOOKUP(B11,[3]Sheet1!$B$5:$G$27,6,FALSE),0)</f>
        <v>0</v>
      </c>
      <c r="M11" s="1">
        <f>IFERROR(VLOOKUP(B11,[4]Sheet1!$B$5:$G$34,6,FALSE),0)</f>
        <v>0</v>
      </c>
      <c r="N11" s="1">
        <f t="shared" si="0"/>
        <v>2013.5111666666669</v>
      </c>
      <c r="O11" s="4" t="s">
        <v>847</v>
      </c>
    </row>
    <row r="12" spans="1:15" x14ac:dyDescent="0.25">
      <c r="A12" s="1" t="s">
        <v>52</v>
      </c>
      <c r="B12" s="1" t="s">
        <v>55</v>
      </c>
      <c r="C12" s="1" t="s">
        <v>56</v>
      </c>
      <c r="D12" s="1">
        <v>1</v>
      </c>
      <c r="E12" s="1">
        <v>14223.6</v>
      </c>
      <c r="F12" s="1">
        <v>14.223599999999999</v>
      </c>
      <c r="G12" s="1">
        <v>14.223599999999999</v>
      </c>
      <c r="H12" s="2">
        <f>IFERROR(VLOOKUP(B12,Sheet2!$A$2:$J$314,10,FALSE),0)</f>
        <v>51</v>
      </c>
      <c r="I12" s="3" t="str">
        <f>IFERROR(VLOOKUP(B12,Sheet2!$A$2:$J$314,4,FALSE),0)</f>
        <v>1x10Kg</v>
      </c>
      <c r="J12" s="1">
        <f>IFERROR(VLOOKUP(B12,[1]Sheet1!$B$5:$G$30,6,FALSE),0)</f>
        <v>40.122260869565217</v>
      </c>
      <c r="K12" s="1">
        <f>IFERROR(VLOOKUP(B12,[2]Sheet1!$B$5:$G$27,6,FALSE),0)</f>
        <v>0</v>
      </c>
      <c r="L12" s="1">
        <f>IFERROR(VLOOKUP(B12,[3]Sheet1!$B$5:$G$27,6,FALSE),0)</f>
        <v>3.8894545454545453</v>
      </c>
      <c r="M12" s="1">
        <f>IFERROR(VLOOKUP(B12,[4]Sheet1!$B$5:$G$34,6,FALSE),0)</f>
        <v>11.090697674418605</v>
      </c>
      <c r="N12" s="1">
        <f t="shared" si="0"/>
        <v>69.326013089438362</v>
      </c>
      <c r="O12" s="4" t="s">
        <v>847</v>
      </c>
    </row>
    <row r="13" spans="1:15" x14ac:dyDescent="0.25">
      <c r="A13" s="1" t="s">
        <v>29</v>
      </c>
      <c r="B13" s="1" t="s">
        <v>35</v>
      </c>
      <c r="C13" s="1" t="s">
        <v>36</v>
      </c>
      <c r="D13" s="1">
        <v>1</v>
      </c>
      <c r="E13" s="1">
        <v>29632.565217391304</v>
      </c>
      <c r="F13" s="1">
        <v>29.632565217391303</v>
      </c>
      <c r="G13" s="1">
        <v>29.632565217391303</v>
      </c>
      <c r="H13" s="2">
        <f>IFERROR(VLOOKUP(B13,Sheet2!$A$2:$J$314,10,FALSE),0)</f>
        <v>78.900000000000006</v>
      </c>
      <c r="I13" s="3" t="str">
        <f>IFERROR(VLOOKUP(B13,Sheet2!$A$2:$J$314,4,FALSE),0)</f>
        <v>1 X 10KG</v>
      </c>
      <c r="J13" s="1">
        <f>IFERROR(VLOOKUP(B13,[1]Sheet1!$B$5:$G$30,6,FALSE),0)</f>
        <v>20.061130434782608</v>
      </c>
      <c r="K13" s="1">
        <f>IFERROR(VLOOKUP(B13,[2]Sheet1!$B$5:$G$27,6,FALSE),0)</f>
        <v>0</v>
      </c>
      <c r="L13" s="1">
        <f>IFERROR(VLOOKUP(B13,[3]Sheet1!$B$5:$G$27,6,FALSE),0)</f>
        <v>0</v>
      </c>
      <c r="M13" s="1">
        <f>IFERROR(VLOOKUP(B13,[4]Sheet1!$B$5:$G$34,6,FALSE),0)</f>
        <v>0</v>
      </c>
      <c r="N13" s="1">
        <f t="shared" si="0"/>
        <v>49.693695652173915</v>
      </c>
      <c r="O13" s="4" t="s">
        <v>847</v>
      </c>
    </row>
    <row r="14" spans="1:15" x14ac:dyDescent="0.25">
      <c r="A14" s="1" t="s">
        <v>29</v>
      </c>
      <c r="B14" s="1" t="s">
        <v>37</v>
      </c>
      <c r="C14" s="1" t="s">
        <v>38</v>
      </c>
      <c r="D14" s="1">
        <v>1</v>
      </c>
      <c r="E14" s="1">
        <v>312919.2</v>
      </c>
      <c r="F14" s="1">
        <v>312.91919999999999</v>
      </c>
      <c r="G14" s="1">
        <v>312.91919999999999</v>
      </c>
      <c r="H14" s="2">
        <f>IFERROR(VLOOKUP(B14,Sheet2!$A$2:$J$314,10,FALSE),0)</f>
        <v>79.552999999999997</v>
      </c>
      <c r="I14" s="3" t="str">
        <f>IFERROR(VLOOKUP(B14,Sheet2!$A$2:$J$314,4,FALSE),0)</f>
        <v>1 X 10KG</v>
      </c>
      <c r="J14" s="1">
        <f>IFERROR(VLOOKUP(B14,[1]Sheet1!$B$5:$G$30,6,FALSE),0)</f>
        <v>0</v>
      </c>
      <c r="K14" s="1">
        <f>IFERROR(VLOOKUP(B14,[2]Sheet1!$B$5:$G$27,6,FALSE),0)</f>
        <v>0</v>
      </c>
      <c r="L14" s="1">
        <f>IFERROR(VLOOKUP(B14,[3]Sheet1!$B$5:$G$27,6,FALSE),0)</f>
        <v>77.789090909090916</v>
      </c>
      <c r="M14" s="1">
        <f>IFERROR(VLOOKUP(B14,[4]Sheet1!$B$5:$G$34,6,FALSE),0)</f>
        <v>0</v>
      </c>
      <c r="N14" s="1">
        <f t="shared" si="0"/>
        <v>390.70829090909092</v>
      </c>
      <c r="O14" s="4" t="s">
        <v>847</v>
      </c>
    </row>
    <row r="15" spans="1:15" x14ac:dyDescent="0.25">
      <c r="A15" s="1" t="s">
        <v>29</v>
      </c>
      <c r="B15" s="1" t="s">
        <v>39</v>
      </c>
      <c r="C15" s="1" t="s">
        <v>40</v>
      </c>
      <c r="D15" s="1">
        <v>1</v>
      </c>
      <c r="E15" s="1">
        <v>337338.26086956519</v>
      </c>
      <c r="F15" s="1">
        <v>337.3382608695652</v>
      </c>
      <c r="G15" s="1">
        <v>337.3382608695652</v>
      </c>
      <c r="H15" s="2">
        <f>IFERROR(VLOOKUP(B15,Sheet2!$A$2:$J$314,10,FALSE),0)</f>
        <v>518</v>
      </c>
      <c r="I15" s="3" t="str">
        <f>IFERROR(VLOOKUP(B15,Sheet2!$A$2:$J$314,4,FALSE),0)</f>
        <v>1 X 10KG</v>
      </c>
      <c r="J15" s="1">
        <f>IFERROR(VLOOKUP(B15,[1]Sheet1!$B$5:$G$30,6,FALSE),0)</f>
        <v>0</v>
      </c>
      <c r="K15" s="1">
        <f>IFERROR(VLOOKUP(B15,[2]Sheet1!$B$5:$G$27,6,FALSE),0)</f>
        <v>0</v>
      </c>
      <c r="L15" s="1">
        <f>IFERROR(VLOOKUP(B15,[3]Sheet1!$B$5:$G$27,6,FALSE),0)</f>
        <v>116.68363636363635</v>
      </c>
      <c r="M15" s="1">
        <f>IFERROR(VLOOKUP(B15,[4]Sheet1!$B$5:$G$34,6,FALSE),0)</f>
        <v>0</v>
      </c>
      <c r="N15" s="1">
        <f t="shared" si="0"/>
        <v>454.02189723320157</v>
      </c>
      <c r="O15" s="4" t="s">
        <v>847</v>
      </c>
    </row>
    <row r="16" spans="1:15" x14ac:dyDescent="0.25">
      <c r="A16" s="1" t="s">
        <v>29</v>
      </c>
      <c r="B16" s="1" t="s">
        <v>41</v>
      </c>
      <c r="C16" s="1" t="s">
        <v>42</v>
      </c>
      <c r="D16" s="1">
        <v>1</v>
      </c>
      <c r="E16" s="1">
        <v>28447.199999999997</v>
      </c>
      <c r="F16" s="1">
        <v>28.447199999999999</v>
      </c>
      <c r="G16" s="1">
        <v>28.447199999999999</v>
      </c>
      <c r="H16" s="2">
        <f>IFERROR(VLOOKUP(B16,Sheet2!$A$2:$J$314,10,FALSE),0)</f>
        <v>63</v>
      </c>
      <c r="I16" s="3" t="str">
        <f>IFERROR(VLOOKUP(B16,Sheet2!$A$2:$J$314,4,FALSE),0)</f>
        <v>1 X 10KG</v>
      </c>
      <c r="J16" s="1">
        <f>IFERROR(VLOOKUP(B16,[1]Sheet1!$B$5:$G$30,6,FALSE),0)</f>
        <v>0</v>
      </c>
      <c r="K16" s="1">
        <f>IFERROR(VLOOKUP(B16,[2]Sheet1!$B$5:$G$27,6,FALSE),0)</f>
        <v>12.75</v>
      </c>
      <c r="L16" s="1">
        <f>IFERROR(VLOOKUP(B16,[3]Sheet1!$B$5:$G$27,6,FALSE),0)</f>
        <v>3.8894545454545453</v>
      </c>
      <c r="M16" s="1">
        <f>IFERROR(VLOOKUP(B16,[4]Sheet1!$B$5:$G$34,6,FALSE),0)</f>
        <v>49.975960535588442</v>
      </c>
      <c r="N16" s="1">
        <f t="shared" si="0"/>
        <v>95.062615081042992</v>
      </c>
      <c r="O16" s="4" t="s">
        <v>847</v>
      </c>
    </row>
    <row r="17" spans="1:15" x14ac:dyDescent="0.25">
      <c r="A17" s="1" t="s">
        <v>43</v>
      </c>
      <c r="B17" s="1" t="s">
        <v>44</v>
      </c>
      <c r="C17" s="1" t="s">
        <v>45</v>
      </c>
      <c r="D17" s="1">
        <v>1</v>
      </c>
      <c r="E17" s="1">
        <v>49782.6</v>
      </c>
      <c r="F17" s="1">
        <v>49.782599999999995</v>
      </c>
      <c r="G17" s="1">
        <v>49.782599999999995</v>
      </c>
      <c r="H17" s="2">
        <f>IFERROR(VLOOKUP(B17,Sheet2!$A$2:$J$314,10,FALSE),0)</f>
        <v>8</v>
      </c>
      <c r="I17" s="3" t="str">
        <f>IFERROR(VLOOKUP(B17,Sheet2!$A$2:$J$314,4,FALSE),0)</f>
        <v>1 X 25KG</v>
      </c>
      <c r="J17" s="1">
        <f>IFERROR(VLOOKUP(B17,[1]Sheet1!$B$5:$G$30,6,FALSE),0)</f>
        <v>0</v>
      </c>
      <c r="K17" s="1">
        <f>IFERROR(VLOOKUP(B17,[2]Sheet1!$B$5:$G$27,6,FALSE),0)</f>
        <v>0</v>
      </c>
      <c r="L17" s="1">
        <f>IFERROR(VLOOKUP(B17,[3]Sheet1!$B$5:$G$27,6,FALSE),0)</f>
        <v>0</v>
      </c>
      <c r="M17" s="1">
        <f>IFERROR(VLOOKUP(B17,[4]Sheet1!$B$5:$G$34,6,FALSE),0)</f>
        <v>0</v>
      </c>
      <c r="N17" s="1">
        <f t="shared" si="0"/>
        <v>49.782599999999995</v>
      </c>
      <c r="O17" s="4" t="s">
        <v>847</v>
      </c>
    </row>
    <row r="18" spans="1:15" x14ac:dyDescent="0.25">
      <c r="A18" s="1" t="s">
        <v>49</v>
      </c>
      <c r="B18" s="1" t="s">
        <v>409</v>
      </c>
      <c r="C18" s="1" t="s">
        <v>410</v>
      </c>
      <c r="D18" s="1">
        <v>1</v>
      </c>
      <c r="E18" s="1">
        <v>71118</v>
      </c>
      <c r="F18" s="1">
        <v>71.117999999999995</v>
      </c>
      <c r="G18" s="1">
        <v>71.117999999999995</v>
      </c>
      <c r="H18" s="2">
        <f>IFERROR(VLOOKUP(B18,Sheet2!$A$2:$J$314,10,FALSE),0)</f>
        <v>60</v>
      </c>
      <c r="I18" s="3" t="str">
        <f>IFERROR(VLOOKUP(B18,Sheet2!$A$2:$J$314,4,FALSE),0)</f>
        <v>1x20kg</v>
      </c>
      <c r="J18" s="1">
        <f>IFERROR(VLOOKUP(B18,[1]Sheet1!$B$5:$G$30,6,FALSE),0)</f>
        <v>0</v>
      </c>
      <c r="K18" s="1">
        <f>IFERROR(VLOOKUP(B18,[2]Sheet1!$B$5:$G$27,6,FALSE),0)</f>
        <v>0</v>
      </c>
      <c r="L18" s="1">
        <f>IFERROR(VLOOKUP(B18,[3]Sheet1!$B$5:$G$27,6,FALSE),0)</f>
        <v>23.336727272727273</v>
      </c>
      <c r="M18" s="1">
        <f>IFERROR(VLOOKUP(B18,[4]Sheet1!$B$5:$G$34,6,FALSE),0)</f>
        <v>0</v>
      </c>
      <c r="N18" s="1">
        <f t="shared" si="0"/>
        <v>94.454727272727268</v>
      </c>
      <c r="O18" s="4" t="s">
        <v>847</v>
      </c>
    </row>
    <row r="19" spans="1:15" x14ac:dyDescent="0.25">
      <c r="A19" s="1" t="s">
        <v>46</v>
      </c>
      <c r="B19" s="1" t="s">
        <v>47</v>
      </c>
      <c r="C19" s="1" t="s">
        <v>48</v>
      </c>
      <c r="D19" s="1">
        <v>1</v>
      </c>
      <c r="E19" s="1">
        <v>39510.086956521736</v>
      </c>
      <c r="F19" s="1">
        <v>39.510086956521739</v>
      </c>
      <c r="G19" s="1">
        <v>39.510086956521739</v>
      </c>
      <c r="H19" s="2">
        <f>IFERROR(VLOOKUP(B19,Sheet2!$A$2:$J$314,10,FALSE),0)</f>
        <v>27</v>
      </c>
      <c r="I19" s="3" t="str">
        <f>IFERROR(VLOOKUP(B19,Sheet2!$A$2:$J$314,4,FALSE),0)</f>
        <v>1 X 25KG</v>
      </c>
      <c r="J19" s="1">
        <f>IFERROR(VLOOKUP(B19,[1]Sheet1!$B$5:$G$30,6,FALSE),0)</f>
        <v>47.519478260869562</v>
      </c>
      <c r="K19" s="1">
        <f>IFERROR(VLOOKUP(B19,[2]Sheet1!$B$5:$G$27,6,FALSE),0)</f>
        <v>0</v>
      </c>
      <c r="L19" s="1">
        <f>IFERROR(VLOOKUP(B19,[3]Sheet1!$B$5:$G$27,6,FALSE),0)</f>
        <v>7.7789090909090906</v>
      </c>
      <c r="M19" s="1">
        <f>IFERROR(VLOOKUP(B19,[4]Sheet1!$B$5:$G$34,6,FALSE),0)</f>
        <v>16.692194503171248</v>
      </c>
      <c r="N19" s="1">
        <f t="shared" si="0"/>
        <v>111.50066881147166</v>
      </c>
      <c r="O19" s="4" t="s">
        <v>847</v>
      </c>
    </row>
    <row r="20" spans="1:15" x14ac:dyDescent="0.25">
      <c r="A20" s="1" t="s">
        <v>49</v>
      </c>
      <c r="B20" s="1" t="s">
        <v>50</v>
      </c>
      <c r="C20" s="1" t="s">
        <v>51</v>
      </c>
      <c r="D20" s="1">
        <v>1</v>
      </c>
      <c r="E20" s="1">
        <v>59265.130434782608</v>
      </c>
      <c r="F20" s="1">
        <v>59.265130434782606</v>
      </c>
      <c r="G20" s="1">
        <v>59.265130434782606</v>
      </c>
      <c r="H20" s="2">
        <f>IFERROR(VLOOKUP(B20,Sheet2!$A$2:$J$314,10,FALSE),0)</f>
        <v>68</v>
      </c>
      <c r="I20" s="3" t="str">
        <f>IFERROR(VLOOKUP(B20,Sheet2!$A$2:$J$314,4,FALSE),0)</f>
        <v>1 x 20KG</v>
      </c>
      <c r="J20" s="1">
        <f>IFERROR(VLOOKUP(B20,[1]Sheet1!$B$5:$G$30,6,FALSE),0)</f>
        <v>40.122260869565217</v>
      </c>
      <c r="K20" s="1">
        <f>IFERROR(VLOOKUP(B20,[2]Sheet1!$B$5:$G$27,6,FALSE),0)</f>
        <v>0</v>
      </c>
      <c r="L20" s="1">
        <f>IFERROR(VLOOKUP(B20,[3]Sheet1!$B$5:$G$27,6,FALSE),0)</f>
        <v>0</v>
      </c>
      <c r="M20" s="1">
        <f>IFERROR(VLOOKUP(B20,[4]Sheet1!$B$5:$G$34,6,FALSE),0)</f>
        <v>38.571444155844155</v>
      </c>
      <c r="N20" s="1">
        <f t="shared" si="0"/>
        <v>137.95883546019198</v>
      </c>
      <c r="O20" s="4" t="s">
        <v>847</v>
      </c>
    </row>
    <row r="21" spans="1:15" x14ac:dyDescent="0.25">
      <c r="A21" s="1" t="s">
        <v>52</v>
      </c>
      <c r="B21" s="1" t="s">
        <v>53</v>
      </c>
      <c r="C21" s="1" t="s">
        <v>54</v>
      </c>
      <c r="D21" s="1">
        <v>1</v>
      </c>
      <c r="E21" s="1">
        <v>202402.95652173914</v>
      </c>
      <c r="F21" s="1">
        <v>202.40295652173913</v>
      </c>
      <c r="G21" s="1">
        <v>202.40295652173913</v>
      </c>
      <c r="H21" s="2">
        <f>IFERROR(VLOOKUP(B21,Sheet2!$A$2:$J$314,10,FALSE),0)</f>
        <v>189</v>
      </c>
      <c r="I21" s="3" t="str">
        <f>IFERROR(VLOOKUP(B21,Sheet2!$A$2:$J$314,4,FALSE),0)</f>
        <v>1 X 10KG</v>
      </c>
      <c r="J21" s="1">
        <f>IFERROR(VLOOKUP(B21,[1]Sheet1!$B$5:$G$30,6,FALSE),0)</f>
        <v>62.298928695652165</v>
      </c>
      <c r="K21" s="1">
        <f>IFERROR(VLOOKUP(B21,[2]Sheet1!$B$5:$G$27,6,FALSE),0)</f>
        <v>85</v>
      </c>
      <c r="L21" s="1">
        <f>IFERROR(VLOOKUP(B21,[3]Sheet1!$B$5:$G$27,6,FALSE),0)</f>
        <v>0</v>
      </c>
      <c r="M21" s="1">
        <f>IFERROR(VLOOKUP(B21,[4]Sheet1!$B$5:$G$34,6,FALSE),0)</f>
        <v>14.787596899224805</v>
      </c>
      <c r="N21" s="1">
        <f t="shared" si="0"/>
        <v>364.4894821166161</v>
      </c>
      <c r="O21" s="4" t="s">
        <v>847</v>
      </c>
    </row>
    <row r="22" spans="1:15" x14ac:dyDescent="0.25">
      <c r="A22" s="1" t="s">
        <v>52</v>
      </c>
      <c r="B22" s="1" t="s">
        <v>55</v>
      </c>
      <c r="C22" s="1" t="s">
        <v>56</v>
      </c>
      <c r="D22" s="1">
        <v>1</v>
      </c>
      <c r="E22" s="1">
        <v>59265.130434782608</v>
      </c>
      <c r="F22" s="1">
        <v>59.265130434782606</v>
      </c>
      <c r="G22" s="1">
        <v>59.265130434782606</v>
      </c>
      <c r="H22" s="2">
        <f>IFERROR(VLOOKUP(B22,Sheet2!$A$2:$J$314,10,FALSE),0)</f>
        <v>51</v>
      </c>
      <c r="I22" s="3" t="str">
        <f>IFERROR(VLOOKUP(B22,Sheet2!$A$2:$J$314,4,FALSE),0)</f>
        <v>1x10Kg</v>
      </c>
      <c r="J22" s="1">
        <f>IFERROR(VLOOKUP(B22,[1]Sheet1!$B$5:$G$30,6,FALSE),0)</f>
        <v>40.122260869565217</v>
      </c>
      <c r="K22" s="1">
        <f>IFERROR(VLOOKUP(B22,[2]Sheet1!$B$5:$G$27,6,FALSE),0)</f>
        <v>0</v>
      </c>
      <c r="L22" s="1">
        <f>IFERROR(VLOOKUP(B22,[3]Sheet1!$B$5:$G$27,6,FALSE),0)</f>
        <v>3.8894545454545453</v>
      </c>
      <c r="M22" s="1">
        <f>IFERROR(VLOOKUP(B22,[4]Sheet1!$B$5:$G$34,6,FALSE),0)</f>
        <v>11.090697674418605</v>
      </c>
      <c r="N22" s="1">
        <f t="shared" si="0"/>
        <v>114.36754352422098</v>
      </c>
      <c r="O22" s="4" t="s">
        <v>847</v>
      </c>
    </row>
    <row r="23" spans="1:15" x14ac:dyDescent="0.25">
      <c r="A23" s="1" t="s">
        <v>52</v>
      </c>
      <c r="B23" s="1" t="s">
        <v>57</v>
      </c>
      <c r="C23" s="1" t="s">
        <v>58</v>
      </c>
      <c r="D23" s="1">
        <v>1</v>
      </c>
      <c r="E23" s="1">
        <v>250623.5294117647</v>
      </c>
      <c r="F23" s="1">
        <v>250.62352941176471</v>
      </c>
      <c r="G23" s="1">
        <v>250.62352941176471</v>
      </c>
      <c r="H23" s="2">
        <f>IFERROR(VLOOKUP(B23,Sheet2!$A$2:$J$314,10,FALSE),0)</f>
        <v>133.60000000000002</v>
      </c>
      <c r="I23" s="3" t="str">
        <f>IFERROR(VLOOKUP(B23,Sheet2!$A$2:$J$314,4,FALSE),0)</f>
        <v>1x10Kg</v>
      </c>
      <c r="J23" s="1">
        <f>IFERROR(VLOOKUP(B23,[1]Sheet1!$B$5:$G$30,6,FALSE),0)</f>
        <v>162</v>
      </c>
      <c r="K23" s="1">
        <f>IFERROR(VLOOKUP(B23,[2]Sheet1!$B$5:$G$27,6,FALSE),0)</f>
        <v>0</v>
      </c>
      <c r="L23" s="1">
        <f>IFERROR(VLOOKUP(B23,[3]Sheet1!$B$5:$G$27,6,FALSE),0)</f>
        <v>0</v>
      </c>
      <c r="M23" s="1">
        <f>IFERROR(VLOOKUP(B23,[4]Sheet1!$B$5:$G$34,6,FALSE),0)</f>
        <v>0</v>
      </c>
      <c r="N23" s="1">
        <f t="shared" si="0"/>
        <v>412.62352941176471</v>
      </c>
      <c r="O23" s="3" t="s">
        <v>847</v>
      </c>
    </row>
    <row r="24" spans="1:15" x14ac:dyDescent="0.25">
      <c r="A24" s="1" t="s">
        <v>59</v>
      </c>
      <c r="B24" s="1" t="s">
        <v>60</v>
      </c>
      <c r="C24" s="1" t="s">
        <v>61</v>
      </c>
      <c r="D24" s="1">
        <v>1</v>
      </c>
      <c r="E24" s="1">
        <v>76203.21913043478</v>
      </c>
      <c r="F24" s="1">
        <v>76.203219130434775</v>
      </c>
      <c r="G24" s="1">
        <v>76.203219130434775</v>
      </c>
      <c r="H24" s="2">
        <f>IFERROR(VLOOKUP(B24,Sheet2!$A$2:$J$314,10,FALSE),0)</f>
        <v>47</v>
      </c>
      <c r="I24" s="3" t="str">
        <f>IFERROR(VLOOKUP(B24,Sheet2!$A$2:$J$314,4,FALSE),0)</f>
        <v>2x10 kg</v>
      </c>
      <c r="J24" s="1">
        <f>IFERROR(VLOOKUP(B24,[1]Sheet1!$B$5:$G$30,6,FALSE),0)</f>
        <v>0</v>
      </c>
      <c r="K24" s="1">
        <f>IFERROR(VLOOKUP(B24,[2]Sheet1!$B$5:$G$27,6,FALSE),0)</f>
        <v>0</v>
      </c>
      <c r="L24" s="1">
        <f>IFERROR(VLOOKUP(B24,[3]Sheet1!$B$5:$G$27,6,FALSE),0)</f>
        <v>0</v>
      </c>
      <c r="M24" s="1">
        <f>IFERROR(VLOOKUP(B24,[4]Sheet1!$B$5:$G$34,6,FALSE),0)</f>
        <v>0</v>
      </c>
      <c r="N24" s="1">
        <f t="shared" si="0"/>
        <v>76.203219130434775</v>
      </c>
      <c r="O24" s="3" t="s">
        <v>847</v>
      </c>
    </row>
    <row r="25" spans="1:15" x14ac:dyDescent="0.25">
      <c r="A25" s="1" t="s">
        <v>62</v>
      </c>
      <c r="B25" s="1" t="s">
        <v>63</v>
      </c>
      <c r="C25" s="1" t="s">
        <v>64</v>
      </c>
      <c r="D25" s="1">
        <v>1</v>
      </c>
      <c r="E25" s="1">
        <v>337338.26086956519</v>
      </c>
      <c r="F25" s="1">
        <v>337.3382608695652</v>
      </c>
      <c r="G25" s="1">
        <v>337.3382608695652</v>
      </c>
      <c r="H25" s="2">
        <f>IFERROR(VLOOKUP(B25,Sheet2!$A$2:$J$314,10,FALSE),0)</f>
        <v>37.416666666666671</v>
      </c>
      <c r="I25" s="3" t="str">
        <f>IFERROR(VLOOKUP(B25,Sheet2!$A$2:$J$314,4,FALSE),0)</f>
        <v>12x1kg</v>
      </c>
      <c r="J25" s="1">
        <f>IFERROR(VLOOKUP(B25,[1]Sheet1!$B$5:$G$30,6,FALSE),0)</f>
        <v>0</v>
      </c>
      <c r="K25" s="1">
        <f>IFERROR(VLOOKUP(B25,[2]Sheet1!$B$5:$G$27,6,FALSE),0)</f>
        <v>0</v>
      </c>
      <c r="L25" s="1">
        <f>IFERROR(VLOOKUP(B25,[3]Sheet1!$B$5:$G$27,6,FALSE),0)</f>
        <v>0</v>
      </c>
      <c r="M25" s="1">
        <f>IFERROR(VLOOKUP(B25,[4]Sheet1!$B$5:$G$34,6,FALSE),0)</f>
        <v>0</v>
      </c>
      <c r="N25" s="1">
        <f t="shared" si="0"/>
        <v>337.3382608695652</v>
      </c>
      <c r="O25" s="3" t="s">
        <v>847</v>
      </c>
    </row>
    <row r="26" spans="1:15" x14ac:dyDescent="0.25">
      <c r="A26" s="1" t="s">
        <v>65</v>
      </c>
      <c r="B26" s="1" t="s">
        <v>66</v>
      </c>
      <c r="C26" s="1" t="s">
        <v>67</v>
      </c>
      <c r="D26" s="1">
        <v>1</v>
      </c>
      <c r="E26" s="1">
        <v>2963256.5217391304</v>
      </c>
      <c r="F26" s="1">
        <v>2963.2565217391302</v>
      </c>
      <c r="G26" s="1">
        <v>2963.2565217391302</v>
      </c>
      <c r="H26" s="2">
        <f>IFERROR(VLOOKUP(B26,Sheet2!$A$2:$J$314,10,FALSE),0)</f>
        <v>469.5</v>
      </c>
      <c r="I26" s="3" t="str">
        <f>IFERROR(VLOOKUP(B26,Sheet2!$A$2:$J$314,4,FALSE),0)</f>
        <v>1x1kg</v>
      </c>
      <c r="J26" s="1">
        <f>IFERROR(VLOOKUP(B26,[1]Sheet1!$B$5:$G$30,6,FALSE),0)</f>
        <v>2006.1130434782608</v>
      </c>
      <c r="K26" s="1">
        <f>IFERROR(VLOOKUP(B26,[2]Sheet1!$B$5:$G$27,6,FALSE),0)</f>
        <v>0</v>
      </c>
      <c r="L26" s="1">
        <f>IFERROR(VLOOKUP(B26,[3]Sheet1!$B$5:$G$27,6,FALSE),0)</f>
        <v>0</v>
      </c>
      <c r="M26" s="1">
        <f>IFERROR(VLOOKUP(B26,[4]Sheet1!$B$5:$G$34,6,FALSE),0)</f>
        <v>0</v>
      </c>
      <c r="N26" s="1">
        <f t="shared" si="0"/>
        <v>4969.369565217391</v>
      </c>
      <c r="O26" s="4" t="s">
        <v>847</v>
      </c>
    </row>
    <row r="27" spans="1:15" x14ac:dyDescent="0.25">
      <c r="A27" s="1" t="s">
        <v>68</v>
      </c>
      <c r="B27" s="1" t="s">
        <v>793</v>
      </c>
      <c r="C27" s="1" t="s">
        <v>794</v>
      </c>
      <c r="D27" s="1">
        <v>1</v>
      </c>
      <c r="E27" s="1">
        <v>3555.8999999999996</v>
      </c>
      <c r="F27" s="1">
        <v>3.5558999999999998</v>
      </c>
      <c r="G27" s="1">
        <v>3.5558999999999998</v>
      </c>
      <c r="H27" s="2">
        <f>IFERROR(VLOOKUP(B27,Sheet2!$A$2:$J$314,10,FALSE),0)</f>
        <v>4</v>
      </c>
      <c r="I27" s="3" t="str">
        <f>IFERROR(VLOOKUP(B27,Sheet2!$A$2:$J$314,4,FALSE),0)</f>
        <v>1 X 25KG</v>
      </c>
      <c r="J27" s="1">
        <f>IFERROR(VLOOKUP(B27,[1]Sheet1!$B$5:$G$30,6,FALSE),0)</f>
        <v>0</v>
      </c>
      <c r="K27" s="1">
        <f>IFERROR(VLOOKUP(B27,[2]Sheet1!$B$5:$G$27,6,FALSE),0)</f>
        <v>0</v>
      </c>
      <c r="L27" s="1">
        <f>IFERROR(VLOOKUP(B27,[3]Sheet1!$B$5:$G$27,6,FALSE),0)</f>
        <v>0</v>
      </c>
      <c r="M27" s="1">
        <f>IFERROR(VLOOKUP(B27,[4]Sheet1!$B$5:$G$34,6,FALSE),0)</f>
        <v>0</v>
      </c>
      <c r="N27" s="1">
        <f t="shared" si="0"/>
        <v>3.5558999999999998</v>
      </c>
      <c r="O27" s="4" t="s">
        <v>847</v>
      </c>
    </row>
    <row r="28" spans="1:15" x14ac:dyDescent="0.25">
      <c r="F28" s="11">
        <v>15</v>
      </c>
      <c r="H28">
        <v>100</v>
      </c>
      <c r="J28">
        <v>20</v>
      </c>
      <c r="K28">
        <v>30</v>
      </c>
      <c r="L28">
        <v>50</v>
      </c>
    </row>
    <row r="31" spans="1:15" x14ac:dyDescent="0.25">
      <c r="A31" s="8" t="s">
        <v>858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spans="1:15" x14ac:dyDescent="0.25">
      <c r="A32" s="1" t="s">
        <v>848</v>
      </c>
      <c r="B32" s="1" t="s">
        <v>849</v>
      </c>
      <c r="C32" s="1" t="s">
        <v>850</v>
      </c>
      <c r="D32" s="1" t="s">
        <v>851</v>
      </c>
      <c r="E32" s="1" t="s">
        <v>852</v>
      </c>
      <c r="F32" s="1" t="s">
        <v>853</v>
      </c>
      <c r="G32" s="1" t="s">
        <v>854</v>
      </c>
      <c r="H32" s="1"/>
      <c r="I32" s="1"/>
      <c r="J32" s="4" t="s">
        <v>859</v>
      </c>
      <c r="K32" s="1" t="s">
        <v>841</v>
      </c>
      <c r="L32" s="1" t="s">
        <v>860</v>
      </c>
      <c r="M32" s="4" t="s">
        <v>846</v>
      </c>
    </row>
    <row r="33" spans="1:13" x14ac:dyDescent="0.25">
      <c r="A33" s="1" t="s">
        <v>855</v>
      </c>
      <c r="B33" s="1" t="s">
        <v>856</v>
      </c>
      <c r="C33" s="1">
        <v>1029.4000000000001</v>
      </c>
      <c r="D33" s="1"/>
      <c r="E33" s="1" t="s">
        <v>857</v>
      </c>
      <c r="F33" s="1"/>
      <c r="G33" s="1"/>
      <c r="H33" s="1"/>
      <c r="I33" s="1"/>
      <c r="J33" s="4">
        <v>1280</v>
      </c>
      <c r="K33" s="1">
        <v>658</v>
      </c>
      <c r="L33" s="1">
        <v>1687.4</v>
      </c>
      <c r="M33" s="3" t="s">
        <v>861</v>
      </c>
    </row>
    <row r="38" spans="1:13" x14ac:dyDescent="0.25">
      <c r="A38" s="7" t="s">
        <v>862</v>
      </c>
      <c r="B38" s="7"/>
      <c r="C38" s="7"/>
      <c r="D38" s="7"/>
      <c r="E38" s="7"/>
      <c r="F38" s="7"/>
      <c r="G38" s="7"/>
      <c r="H38" s="7"/>
      <c r="I38" s="7"/>
    </row>
    <row r="39" spans="1:13" x14ac:dyDescent="0.25">
      <c r="A39" s="5" t="s">
        <v>863</v>
      </c>
      <c r="B39" s="5" t="s">
        <v>864</v>
      </c>
      <c r="C39" s="5" t="s">
        <v>865</v>
      </c>
      <c r="D39" s="5" t="s">
        <v>866</v>
      </c>
      <c r="E39" s="5" t="s">
        <v>867</v>
      </c>
      <c r="F39" s="6" t="s">
        <v>71</v>
      </c>
      <c r="G39" s="5" t="s">
        <v>841</v>
      </c>
      <c r="H39" s="5" t="s">
        <v>860</v>
      </c>
      <c r="I39" s="6" t="s">
        <v>846</v>
      </c>
    </row>
    <row r="40" spans="1:13" x14ac:dyDescent="0.25">
      <c r="A40" s="1" t="s">
        <v>868</v>
      </c>
      <c r="B40" s="1" t="s">
        <v>869</v>
      </c>
      <c r="C40" s="1" t="s">
        <v>870</v>
      </c>
      <c r="D40" s="1" t="s">
        <v>871</v>
      </c>
      <c r="E40" s="1">
        <v>15968</v>
      </c>
      <c r="F40" s="4">
        <v>25500</v>
      </c>
      <c r="G40" s="1">
        <v>10380</v>
      </c>
      <c r="H40" s="1">
        <f>E40+G40</f>
        <v>26348</v>
      </c>
      <c r="I40" s="3" t="s">
        <v>1578</v>
      </c>
    </row>
    <row r="41" spans="1:13" x14ac:dyDescent="0.25">
      <c r="A41" s="1" t="s">
        <v>872</v>
      </c>
      <c r="B41" s="1" t="s">
        <v>869</v>
      </c>
      <c r="C41" s="1" t="s">
        <v>873</v>
      </c>
      <c r="D41" s="1" t="s">
        <v>874</v>
      </c>
      <c r="E41" s="1">
        <v>3696</v>
      </c>
      <c r="F41" s="4">
        <v>25830</v>
      </c>
      <c r="G41" s="1">
        <v>2224</v>
      </c>
      <c r="H41" s="1">
        <f>E41+G41</f>
        <v>5920</v>
      </c>
      <c r="I41" s="4" t="s">
        <v>1579</v>
      </c>
    </row>
    <row r="48" spans="1:13" x14ac:dyDescent="0.25">
      <c r="A48" s="7" t="s">
        <v>1580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5" t="s">
        <v>1581</v>
      </c>
      <c r="B49" s="5" t="s">
        <v>1582</v>
      </c>
      <c r="C49" s="5" t="s">
        <v>1583</v>
      </c>
      <c r="D49" s="5" t="s">
        <v>1584</v>
      </c>
      <c r="E49" s="5" t="s">
        <v>1585</v>
      </c>
      <c r="F49" s="5" t="s">
        <v>1586</v>
      </c>
      <c r="G49" s="5" t="s">
        <v>1587</v>
      </c>
      <c r="H49" s="5" t="s">
        <v>1588</v>
      </c>
      <c r="I49" s="6" t="s">
        <v>71</v>
      </c>
      <c r="J49" s="5" t="s">
        <v>841</v>
      </c>
      <c r="K49" s="5" t="s">
        <v>860</v>
      </c>
      <c r="L49" s="6" t="s">
        <v>846</v>
      </c>
    </row>
    <row r="50" spans="1:12" x14ac:dyDescent="0.25">
      <c r="A50" s="1" t="s">
        <v>1240</v>
      </c>
      <c r="B50" s="1" t="s">
        <v>1589</v>
      </c>
      <c r="C50" s="1" t="s">
        <v>1590</v>
      </c>
      <c r="D50" s="1" t="s">
        <v>1591</v>
      </c>
      <c r="E50" s="1" t="s">
        <v>1572</v>
      </c>
      <c r="F50" s="1" t="s">
        <v>1592</v>
      </c>
      <c r="G50" s="1" t="s">
        <v>1593</v>
      </c>
      <c r="H50" s="1">
        <v>11234</v>
      </c>
      <c r="I50" s="4">
        <v>31200</v>
      </c>
      <c r="J50" s="1">
        <f>IFERROR(VLOOKUP(E50,[1]Sheet1!$D$64:$G$66,4,FALSE),0)</f>
        <v>0</v>
      </c>
      <c r="K50" s="1">
        <f>H50+J50</f>
        <v>11234</v>
      </c>
      <c r="L50" s="4" t="s">
        <v>847</v>
      </c>
    </row>
    <row r="51" spans="1:12" x14ac:dyDescent="0.25">
      <c r="A51" s="1" t="s">
        <v>1240</v>
      </c>
      <c r="B51" s="1" t="s">
        <v>1589</v>
      </c>
      <c r="C51" s="1" t="s">
        <v>1590</v>
      </c>
      <c r="D51" s="1" t="s">
        <v>1594</v>
      </c>
      <c r="E51" s="1" t="s">
        <v>1574</v>
      </c>
      <c r="F51" s="1" t="s">
        <v>1592</v>
      </c>
      <c r="G51" s="1" t="s">
        <v>1595</v>
      </c>
      <c r="H51" s="1">
        <v>4734</v>
      </c>
      <c r="I51" s="4">
        <v>4800</v>
      </c>
      <c r="J51" s="1">
        <f>IFERROR(VLOOKUP(E51,[1]Sheet1!$D$64:$G$66,4,FALSE),0)</f>
        <v>0</v>
      </c>
      <c r="K51" s="1">
        <f t="shared" ref="K51:K52" si="1">H51+J51</f>
        <v>4734</v>
      </c>
      <c r="L51" s="4" t="s">
        <v>847</v>
      </c>
    </row>
    <row r="52" spans="1:12" x14ac:dyDescent="0.25">
      <c r="A52" s="1" t="s">
        <v>1240</v>
      </c>
      <c r="B52" s="1" t="s">
        <v>1589</v>
      </c>
      <c r="C52" s="1" t="s">
        <v>1590</v>
      </c>
      <c r="D52" s="1" t="s">
        <v>1596</v>
      </c>
      <c r="E52" s="1" t="s">
        <v>1576</v>
      </c>
      <c r="F52" s="1" t="s">
        <v>1592</v>
      </c>
      <c r="G52" s="1" t="s">
        <v>1597</v>
      </c>
      <c r="H52" s="1">
        <v>3696</v>
      </c>
      <c r="I52" s="4">
        <v>19500</v>
      </c>
      <c r="J52" s="1">
        <f>IFERROR(VLOOKUP(E52,[1]Sheet1!$D$64:$G$66,4,FALSE),0)</f>
        <v>0</v>
      </c>
      <c r="K52" s="1">
        <f t="shared" si="1"/>
        <v>3696</v>
      </c>
      <c r="L52" s="4" t="s">
        <v>847</v>
      </c>
    </row>
  </sheetData>
  <mergeCells count="3">
    <mergeCell ref="A38:I38"/>
    <mergeCell ref="A31:M31"/>
    <mergeCell ref="A48:L4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55C4-0E5E-4F0E-994F-4A3F5A7EEC94}">
  <dimension ref="A1:J314"/>
  <sheetViews>
    <sheetView workbookViewId="0">
      <selection activeCell="L5" sqref="L5"/>
    </sheetView>
  </sheetViews>
  <sheetFormatPr defaultRowHeight="15" x14ac:dyDescent="0.25"/>
  <cols>
    <col min="1" max="1" width="14.42578125" bestFit="1" customWidth="1"/>
    <col min="2" max="2" width="63" bestFit="1" customWidth="1"/>
    <col min="3" max="3" width="38.5703125" bestFit="1" customWidth="1"/>
    <col min="4" max="4" width="10.28515625" bestFit="1" customWidth="1"/>
    <col min="6" max="6" width="13.85546875" bestFit="1" customWidth="1"/>
    <col min="10" max="10" width="12.42578125" bestFit="1" customWidth="1"/>
  </cols>
  <sheetData>
    <row r="1" spans="1:10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J1" t="s">
        <v>81</v>
      </c>
    </row>
    <row r="2" spans="1:10" x14ac:dyDescent="0.25">
      <c r="A2" t="s">
        <v>82</v>
      </c>
      <c r="B2" t="s">
        <v>83</v>
      </c>
      <c r="C2" t="s">
        <v>84</v>
      </c>
      <c r="D2" t="s">
        <v>85</v>
      </c>
      <c r="E2">
        <v>1</v>
      </c>
      <c r="F2">
        <v>63</v>
      </c>
      <c r="G2">
        <v>168</v>
      </c>
      <c r="H2">
        <v>127</v>
      </c>
      <c r="I2">
        <v>127</v>
      </c>
      <c r="J2">
        <v>104</v>
      </c>
    </row>
    <row r="3" spans="1:10" x14ac:dyDescent="0.25">
      <c r="A3" t="s">
        <v>44</v>
      </c>
      <c r="B3" t="s">
        <v>45</v>
      </c>
      <c r="C3" t="s">
        <v>84</v>
      </c>
      <c r="D3" t="s">
        <v>86</v>
      </c>
      <c r="E3">
        <v>25</v>
      </c>
      <c r="F3">
        <v>6</v>
      </c>
      <c r="G3">
        <v>8</v>
      </c>
      <c r="H3">
        <v>150</v>
      </c>
      <c r="I3">
        <v>6</v>
      </c>
      <c r="J3">
        <v>8</v>
      </c>
    </row>
    <row r="4" spans="1:10" x14ac:dyDescent="0.25">
      <c r="A4" t="s">
        <v>87</v>
      </c>
      <c r="B4" t="s">
        <v>88</v>
      </c>
      <c r="C4" t="s">
        <v>89</v>
      </c>
      <c r="D4" t="s">
        <v>90</v>
      </c>
      <c r="E4">
        <v>1</v>
      </c>
      <c r="F4">
        <v>17</v>
      </c>
      <c r="G4">
        <v>40</v>
      </c>
      <c r="H4">
        <v>8</v>
      </c>
      <c r="I4">
        <v>8</v>
      </c>
      <c r="J4">
        <v>49</v>
      </c>
    </row>
    <row r="5" spans="1:10" x14ac:dyDescent="0.25">
      <c r="A5" t="s">
        <v>91</v>
      </c>
      <c r="B5" t="s">
        <v>92</v>
      </c>
      <c r="C5" t="s">
        <v>89</v>
      </c>
      <c r="D5" t="s">
        <v>93</v>
      </c>
      <c r="E5">
        <v>20</v>
      </c>
      <c r="F5">
        <v>3</v>
      </c>
      <c r="G5">
        <v>5</v>
      </c>
      <c r="H5">
        <v>40</v>
      </c>
      <c r="I5">
        <v>2</v>
      </c>
      <c r="J5">
        <v>6</v>
      </c>
    </row>
    <row r="6" spans="1:10" x14ac:dyDescent="0.25">
      <c r="A6" t="s">
        <v>94</v>
      </c>
      <c r="B6" t="s">
        <v>95</v>
      </c>
      <c r="C6" t="s">
        <v>96</v>
      </c>
      <c r="D6" t="s">
        <v>86</v>
      </c>
      <c r="E6">
        <v>25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97</v>
      </c>
      <c r="B7" t="s">
        <v>98</v>
      </c>
      <c r="C7" t="s">
        <v>96</v>
      </c>
      <c r="D7" t="s">
        <v>86</v>
      </c>
      <c r="E7">
        <v>25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99</v>
      </c>
      <c r="B8" t="s">
        <v>100</v>
      </c>
      <c r="C8" t="s">
        <v>96</v>
      </c>
      <c r="D8" t="s">
        <v>101</v>
      </c>
      <c r="E8">
        <v>25</v>
      </c>
      <c r="F8">
        <v>5</v>
      </c>
      <c r="G8">
        <v>0</v>
      </c>
      <c r="H8">
        <v>0</v>
      </c>
      <c r="I8">
        <v>0</v>
      </c>
      <c r="J8">
        <v>5</v>
      </c>
    </row>
    <row r="9" spans="1:10" x14ac:dyDescent="0.25">
      <c r="A9" t="s">
        <v>102</v>
      </c>
      <c r="B9" t="s">
        <v>103</v>
      </c>
      <c r="C9" t="s">
        <v>104</v>
      </c>
      <c r="D9" t="s">
        <v>105</v>
      </c>
      <c r="E9">
        <v>1</v>
      </c>
      <c r="F9">
        <v>510</v>
      </c>
      <c r="G9">
        <v>1170</v>
      </c>
      <c r="H9">
        <v>1140</v>
      </c>
      <c r="I9">
        <v>1140</v>
      </c>
      <c r="J9">
        <v>540</v>
      </c>
    </row>
    <row r="10" spans="1:10" x14ac:dyDescent="0.25">
      <c r="A10" t="s">
        <v>106</v>
      </c>
      <c r="B10" t="s">
        <v>107</v>
      </c>
      <c r="C10" t="s">
        <v>104</v>
      </c>
      <c r="D10" t="s">
        <v>108</v>
      </c>
      <c r="E10">
        <v>1</v>
      </c>
      <c r="F10">
        <v>21.5</v>
      </c>
      <c r="G10">
        <v>40</v>
      </c>
      <c r="H10">
        <v>29.050000000000004</v>
      </c>
      <c r="I10">
        <v>29.050000000000004</v>
      </c>
      <c r="J10">
        <v>32.449999999999996</v>
      </c>
    </row>
    <row r="11" spans="1:10" x14ac:dyDescent="0.25">
      <c r="A11" t="s">
        <v>109</v>
      </c>
      <c r="B11" t="s">
        <v>110</v>
      </c>
      <c r="C11" t="s">
        <v>104</v>
      </c>
      <c r="D11" t="s">
        <v>111</v>
      </c>
      <c r="E11">
        <v>4</v>
      </c>
      <c r="F11">
        <v>15.45</v>
      </c>
      <c r="G11">
        <v>10</v>
      </c>
      <c r="H11">
        <v>16.25</v>
      </c>
      <c r="I11">
        <v>4.0625</v>
      </c>
      <c r="J11">
        <v>21.387499999999999</v>
      </c>
    </row>
    <row r="12" spans="1:10" x14ac:dyDescent="0.25">
      <c r="A12" t="s">
        <v>112</v>
      </c>
      <c r="B12" t="s">
        <v>113</v>
      </c>
      <c r="C12" t="s">
        <v>104</v>
      </c>
      <c r="D12" t="s">
        <v>105</v>
      </c>
      <c r="E12">
        <v>1</v>
      </c>
      <c r="F12">
        <v>28</v>
      </c>
      <c r="G12">
        <v>0</v>
      </c>
      <c r="H12">
        <v>0</v>
      </c>
      <c r="I12">
        <v>0</v>
      </c>
      <c r="J12">
        <v>28</v>
      </c>
    </row>
    <row r="13" spans="1:10" x14ac:dyDescent="0.25">
      <c r="A13" t="s">
        <v>114</v>
      </c>
      <c r="B13" t="s">
        <v>115</v>
      </c>
      <c r="C13" t="s">
        <v>104</v>
      </c>
      <c r="D13" t="s">
        <v>116</v>
      </c>
      <c r="E13">
        <v>10</v>
      </c>
      <c r="F13">
        <v>10.8</v>
      </c>
      <c r="G13">
        <v>0</v>
      </c>
      <c r="H13">
        <v>0</v>
      </c>
      <c r="I13">
        <v>0</v>
      </c>
      <c r="J13">
        <v>10.8</v>
      </c>
    </row>
    <row r="14" spans="1:10" x14ac:dyDescent="0.25">
      <c r="A14" t="s">
        <v>117</v>
      </c>
      <c r="B14" t="s">
        <v>118</v>
      </c>
      <c r="C14" t="s">
        <v>104</v>
      </c>
      <c r="D14" t="s">
        <v>119</v>
      </c>
      <c r="E14">
        <v>1</v>
      </c>
      <c r="F14">
        <v>26.2</v>
      </c>
      <c r="G14">
        <v>0</v>
      </c>
      <c r="H14">
        <v>1.9910000000000001</v>
      </c>
      <c r="I14">
        <v>1.9910000000000001</v>
      </c>
      <c r="J14">
        <v>24.209</v>
      </c>
    </row>
    <row r="15" spans="1:10" x14ac:dyDescent="0.25">
      <c r="A15" t="s">
        <v>30</v>
      </c>
      <c r="B15" t="s">
        <v>120</v>
      </c>
      <c r="C15" t="s">
        <v>104</v>
      </c>
      <c r="D15" t="s">
        <v>119</v>
      </c>
      <c r="E15">
        <v>1</v>
      </c>
      <c r="F15">
        <v>107</v>
      </c>
      <c r="G15">
        <v>72</v>
      </c>
      <c r="H15">
        <v>69.396999999999991</v>
      </c>
      <c r="I15">
        <v>69.396999999999991</v>
      </c>
      <c r="J15">
        <v>109.60300000000001</v>
      </c>
    </row>
    <row r="16" spans="1:10" x14ac:dyDescent="0.25">
      <c r="A16" t="s">
        <v>121</v>
      </c>
      <c r="B16" t="s">
        <v>122</v>
      </c>
      <c r="C16" t="s">
        <v>29</v>
      </c>
      <c r="D16" t="s">
        <v>119</v>
      </c>
      <c r="E16">
        <v>10</v>
      </c>
      <c r="F16">
        <v>78.7</v>
      </c>
      <c r="G16">
        <v>0</v>
      </c>
      <c r="H16">
        <v>196</v>
      </c>
      <c r="I16">
        <v>19.600000000000001</v>
      </c>
      <c r="J16">
        <v>59.1</v>
      </c>
    </row>
    <row r="17" spans="1:10" x14ac:dyDescent="0.25">
      <c r="A17" t="s">
        <v>32</v>
      </c>
      <c r="B17" t="s">
        <v>33</v>
      </c>
      <c r="C17" t="s">
        <v>104</v>
      </c>
      <c r="D17" t="s">
        <v>119</v>
      </c>
      <c r="E17">
        <v>10</v>
      </c>
      <c r="F17">
        <v>6.4</v>
      </c>
      <c r="G17">
        <v>0</v>
      </c>
      <c r="H17">
        <v>10.7</v>
      </c>
      <c r="I17">
        <v>1.0699999999999998</v>
      </c>
      <c r="J17">
        <v>5.33</v>
      </c>
    </row>
    <row r="18" spans="1:10" x14ac:dyDescent="0.25">
      <c r="A18" t="s">
        <v>123</v>
      </c>
      <c r="B18" t="s">
        <v>124</v>
      </c>
      <c r="C18" t="s">
        <v>104</v>
      </c>
      <c r="D18" t="s">
        <v>119</v>
      </c>
      <c r="E18">
        <v>1</v>
      </c>
      <c r="F18">
        <v>20.95</v>
      </c>
      <c r="G18">
        <v>20</v>
      </c>
      <c r="H18">
        <v>15.21</v>
      </c>
      <c r="I18">
        <v>15.21</v>
      </c>
      <c r="J18">
        <v>25.740000000000002</v>
      </c>
    </row>
    <row r="19" spans="1:10" x14ac:dyDescent="0.25">
      <c r="A19" t="s">
        <v>125</v>
      </c>
      <c r="B19" t="s">
        <v>126</v>
      </c>
      <c r="C19" t="s">
        <v>104</v>
      </c>
      <c r="D19" t="s">
        <v>119</v>
      </c>
      <c r="E19">
        <v>10</v>
      </c>
      <c r="F19">
        <v>18</v>
      </c>
      <c r="G19">
        <v>10</v>
      </c>
      <c r="H19">
        <v>70.239999999999995</v>
      </c>
      <c r="I19">
        <v>7.0239999999999991</v>
      </c>
      <c r="J19">
        <v>20.975999999999999</v>
      </c>
    </row>
    <row r="20" spans="1:10" x14ac:dyDescent="0.25">
      <c r="A20" t="s">
        <v>127</v>
      </c>
      <c r="B20" t="s">
        <v>128</v>
      </c>
      <c r="C20" t="s">
        <v>104</v>
      </c>
      <c r="D20" t="s">
        <v>129</v>
      </c>
      <c r="E20">
        <v>10</v>
      </c>
      <c r="F20">
        <v>8</v>
      </c>
      <c r="G20">
        <v>20</v>
      </c>
      <c r="H20">
        <v>38.61</v>
      </c>
      <c r="I20">
        <v>3.8609999999999998</v>
      </c>
      <c r="J20">
        <v>24.138999999999999</v>
      </c>
    </row>
    <row r="21" spans="1:10" x14ac:dyDescent="0.25">
      <c r="A21" t="s">
        <v>130</v>
      </c>
      <c r="B21" t="s">
        <v>131</v>
      </c>
      <c r="C21" t="s">
        <v>104</v>
      </c>
      <c r="D21" t="s">
        <v>129</v>
      </c>
      <c r="E21">
        <v>1</v>
      </c>
      <c r="F21">
        <v>5.5</v>
      </c>
      <c r="G21">
        <v>0</v>
      </c>
      <c r="H21">
        <v>0</v>
      </c>
      <c r="I21">
        <v>0</v>
      </c>
      <c r="J21">
        <v>5.5</v>
      </c>
    </row>
    <row r="22" spans="1:10" x14ac:dyDescent="0.25">
      <c r="A22" t="s">
        <v>132</v>
      </c>
      <c r="B22" t="s">
        <v>133</v>
      </c>
      <c r="C22" t="s">
        <v>104</v>
      </c>
      <c r="D22" t="s">
        <v>129</v>
      </c>
      <c r="E22">
        <v>1</v>
      </c>
      <c r="F22">
        <v>22</v>
      </c>
      <c r="G22">
        <v>0</v>
      </c>
      <c r="H22">
        <v>0</v>
      </c>
      <c r="I22">
        <v>0</v>
      </c>
      <c r="J22">
        <v>22</v>
      </c>
    </row>
    <row r="23" spans="1:10" x14ac:dyDescent="0.25">
      <c r="A23" t="s">
        <v>134</v>
      </c>
      <c r="B23" t="s">
        <v>135</v>
      </c>
      <c r="C23" t="s">
        <v>104</v>
      </c>
      <c r="D23" t="s">
        <v>136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137</v>
      </c>
      <c r="B24" t="s">
        <v>138</v>
      </c>
      <c r="C24" t="s">
        <v>104</v>
      </c>
      <c r="D24" t="s">
        <v>129</v>
      </c>
      <c r="E24">
        <v>1</v>
      </c>
      <c r="F24">
        <v>56</v>
      </c>
      <c r="G24">
        <v>0</v>
      </c>
      <c r="H24">
        <v>0</v>
      </c>
      <c r="I24">
        <v>0</v>
      </c>
      <c r="J24">
        <v>56</v>
      </c>
    </row>
    <row r="25" spans="1:10" x14ac:dyDescent="0.25">
      <c r="A25" t="s">
        <v>139</v>
      </c>
      <c r="B25" t="s">
        <v>140</v>
      </c>
      <c r="C25" t="s">
        <v>104</v>
      </c>
      <c r="D25" t="s">
        <v>141</v>
      </c>
      <c r="E25">
        <v>10</v>
      </c>
      <c r="F25">
        <v>4.5</v>
      </c>
      <c r="G25">
        <v>0</v>
      </c>
      <c r="H25">
        <v>0</v>
      </c>
      <c r="I25">
        <v>0</v>
      </c>
      <c r="J25">
        <v>4.5</v>
      </c>
    </row>
    <row r="26" spans="1:10" x14ac:dyDescent="0.25">
      <c r="A26" t="s">
        <v>142</v>
      </c>
      <c r="B26" t="s">
        <v>143</v>
      </c>
      <c r="C26" t="s">
        <v>104</v>
      </c>
      <c r="D26" t="s">
        <v>119</v>
      </c>
      <c r="E26">
        <v>10</v>
      </c>
      <c r="F26">
        <v>16</v>
      </c>
      <c r="G26">
        <v>0</v>
      </c>
      <c r="H26">
        <v>0</v>
      </c>
      <c r="I26">
        <v>0</v>
      </c>
      <c r="J26">
        <v>16</v>
      </c>
    </row>
    <row r="27" spans="1:10" x14ac:dyDescent="0.25">
      <c r="A27" t="s">
        <v>144</v>
      </c>
      <c r="B27" t="s">
        <v>145</v>
      </c>
      <c r="C27" t="s">
        <v>29</v>
      </c>
      <c r="D27" t="s">
        <v>119</v>
      </c>
      <c r="E27">
        <v>10</v>
      </c>
      <c r="F27">
        <v>0</v>
      </c>
      <c r="G27">
        <v>1</v>
      </c>
      <c r="H27">
        <v>0</v>
      </c>
      <c r="I27">
        <v>0</v>
      </c>
      <c r="J27">
        <v>1</v>
      </c>
    </row>
    <row r="28" spans="1:10" x14ac:dyDescent="0.25">
      <c r="A28" t="s">
        <v>146</v>
      </c>
      <c r="B28" t="s">
        <v>147</v>
      </c>
      <c r="C28" t="s">
        <v>29</v>
      </c>
      <c r="D28" t="s">
        <v>119</v>
      </c>
      <c r="E28">
        <v>10</v>
      </c>
      <c r="F28">
        <v>0</v>
      </c>
      <c r="G28">
        <v>1</v>
      </c>
      <c r="H28">
        <v>0</v>
      </c>
      <c r="I28">
        <v>0</v>
      </c>
      <c r="J28">
        <v>1</v>
      </c>
    </row>
    <row r="29" spans="1:10" x14ac:dyDescent="0.25">
      <c r="A29" t="s">
        <v>148</v>
      </c>
      <c r="B29" t="s">
        <v>149</v>
      </c>
      <c r="C29" t="s">
        <v>29</v>
      </c>
      <c r="D29" t="s">
        <v>119</v>
      </c>
      <c r="E29">
        <v>10</v>
      </c>
      <c r="F29">
        <v>35.700000000000003</v>
      </c>
      <c r="G29">
        <v>11</v>
      </c>
      <c r="H29">
        <v>135</v>
      </c>
      <c r="I29">
        <v>13.5</v>
      </c>
      <c r="J29">
        <v>33.200000000000003</v>
      </c>
    </row>
    <row r="30" spans="1:10" x14ac:dyDescent="0.25">
      <c r="A30" t="s">
        <v>150</v>
      </c>
      <c r="B30" t="s">
        <v>151</v>
      </c>
      <c r="C30" t="s">
        <v>29</v>
      </c>
      <c r="D30" t="s">
        <v>119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152</v>
      </c>
      <c r="B31" t="s">
        <v>153</v>
      </c>
      <c r="C31" t="s">
        <v>154</v>
      </c>
      <c r="D31" t="s">
        <v>119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155</v>
      </c>
      <c r="B32" t="s">
        <v>156</v>
      </c>
      <c r="C32" t="s">
        <v>29</v>
      </c>
      <c r="D32" t="s">
        <v>119</v>
      </c>
      <c r="E32">
        <v>10</v>
      </c>
      <c r="F32">
        <v>188</v>
      </c>
      <c r="G32">
        <v>270</v>
      </c>
      <c r="H32">
        <v>1680</v>
      </c>
      <c r="I32">
        <v>168</v>
      </c>
      <c r="J32">
        <v>290</v>
      </c>
    </row>
    <row r="33" spans="1:10" x14ac:dyDescent="0.25">
      <c r="A33" t="s">
        <v>34</v>
      </c>
      <c r="B33" t="s">
        <v>157</v>
      </c>
      <c r="C33" t="s">
        <v>154</v>
      </c>
      <c r="D33" t="s">
        <v>119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158</v>
      </c>
      <c r="B34" t="s">
        <v>159</v>
      </c>
      <c r="C34" t="s">
        <v>29</v>
      </c>
      <c r="D34" t="s">
        <v>119</v>
      </c>
      <c r="E34">
        <v>10</v>
      </c>
      <c r="F34">
        <v>27.8</v>
      </c>
      <c r="G34">
        <v>30</v>
      </c>
      <c r="H34">
        <v>87</v>
      </c>
      <c r="I34">
        <v>8.6999999999999993</v>
      </c>
      <c r="J34">
        <v>49.099999999999994</v>
      </c>
    </row>
    <row r="35" spans="1:10" x14ac:dyDescent="0.25">
      <c r="A35" t="s">
        <v>35</v>
      </c>
      <c r="B35" t="s">
        <v>160</v>
      </c>
      <c r="C35" t="s">
        <v>29</v>
      </c>
      <c r="D35" t="s">
        <v>119</v>
      </c>
      <c r="E35">
        <v>10</v>
      </c>
      <c r="F35">
        <v>32</v>
      </c>
      <c r="G35">
        <v>70</v>
      </c>
      <c r="H35">
        <v>231</v>
      </c>
      <c r="I35">
        <v>23.1</v>
      </c>
      <c r="J35">
        <v>78.900000000000006</v>
      </c>
    </row>
    <row r="36" spans="1:10" x14ac:dyDescent="0.25">
      <c r="A36" t="s">
        <v>37</v>
      </c>
      <c r="B36" t="s">
        <v>38</v>
      </c>
      <c r="C36" t="s">
        <v>29</v>
      </c>
      <c r="D36" t="s">
        <v>119</v>
      </c>
      <c r="E36">
        <v>10</v>
      </c>
      <c r="F36">
        <v>86</v>
      </c>
      <c r="G36">
        <v>70</v>
      </c>
      <c r="H36">
        <v>764.47</v>
      </c>
      <c r="I36">
        <v>76.447000000000003</v>
      </c>
      <c r="J36">
        <v>79.552999999999997</v>
      </c>
    </row>
    <row r="37" spans="1:10" x14ac:dyDescent="0.25">
      <c r="A37" t="s">
        <v>39</v>
      </c>
      <c r="B37" t="s">
        <v>161</v>
      </c>
      <c r="C37" t="s">
        <v>29</v>
      </c>
      <c r="D37" t="s">
        <v>119</v>
      </c>
      <c r="E37">
        <v>10</v>
      </c>
      <c r="F37">
        <v>206</v>
      </c>
      <c r="G37">
        <v>820</v>
      </c>
      <c r="H37">
        <v>5080</v>
      </c>
      <c r="I37">
        <v>508</v>
      </c>
      <c r="J37">
        <v>518</v>
      </c>
    </row>
    <row r="38" spans="1:10" x14ac:dyDescent="0.25">
      <c r="A38" t="s">
        <v>41</v>
      </c>
      <c r="B38" t="s">
        <v>42</v>
      </c>
      <c r="C38" t="s">
        <v>29</v>
      </c>
      <c r="D38" t="s">
        <v>119</v>
      </c>
      <c r="E38">
        <v>10</v>
      </c>
      <c r="F38">
        <v>101</v>
      </c>
      <c r="G38">
        <v>0</v>
      </c>
      <c r="H38">
        <v>380</v>
      </c>
      <c r="I38">
        <v>38</v>
      </c>
      <c r="J38">
        <v>63</v>
      </c>
    </row>
    <row r="39" spans="1:10" x14ac:dyDescent="0.25">
      <c r="A39" t="s">
        <v>162</v>
      </c>
      <c r="B39" t="s">
        <v>163</v>
      </c>
      <c r="C39" t="s">
        <v>29</v>
      </c>
      <c r="D39" t="s">
        <v>164</v>
      </c>
      <c r="E39">
        <v>12</v>
      </c>
      <c r="F39">
        <v>2.8333333333333335</v>
      </c>
      <c r="G39">
        <v>0</v>
      </c>
      <c r="H39">
        <v>0</v>
      </c>
      <c r="I39">
        <v>0</v>
      </c>
      <c r="J39">
        <v>2.8333333333333335</v>
      </c>
    </row>
    <row r="40" spans="1:10" x14ac:dyDescent="0.25">
      <c r="A40" t="s">
        <v>165</v>
      </c>
      <c r="B40" t="s">
        <v>166</v>
      </c>
      <c r="C40" t="s">
        <v>29</v>
      </c>
      <c r="D40" t="s">
        <v>164</v>
      </c>
      <c r="E40">
        <v>12</v>
      </c>
      <c r="F40">
        <v>2.5833333333333335</v>
      </c>
      <c r="G40">
        <v>0</v>
      </c>
      <c r="H40">
        <v>0</v>
      </c>
      <c r="I40">
        <v>0</v>
      </c>
      <c r="J40">
        <v>2.5833333333333335</v>
      </c>
    </row>
    <row r="41" spans="1:10" x14ac:dyDescent="0.25">
      <c r="A41" t="s">
        <v>167</v>
      </c>
      <c r="B41" t="s">
        <v>168</v>
      </c>
      <c r="C41" t="s">
        <v>154</v>
      </c>
      <c r="D41" t="s">
        <v>164</v>
      </c>
      <c r="E41">
        <v>12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169</v>
      </c>
      <c r="B42" t="s">
        <v>170</v>
      </c>
      <c r="C42" t="s">
        <v>154</v>
      </c>
      <c r="D42" t="s">
        <v>119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171</v>
      </c>
      <c r="B43" t="s">
        <v>172</v>
      </c>
      <c r="C43" t="s">
        <v>154</v>
      </c>
      <c r="D43" t="s">
        <v>173</v>
      </c>
      <c r="E43">
        <v>12</v>
      </c>
      <c r="F43">
        <v>6.416666666666667</v>
      </c>
      <c r="G43">
        <v>0</v>
      </c>
      <c r="H43">
        <v>0</v>
      </c>
      <c r="I43">
        <v>0</v>
      </c>
      <c r="J43">
        <v>6.416666666666667</v>
      </c>
    </row>
    <row r="44" spans="1:10" x14ac:dyDescent="0.25">
      <c r="A44" t="s">
        <v>174</v>
      </c>
      <c r="B44" t="s">
        <v>175</v>
      </c>
      <c r="C44" t="s">
        <v>154</v>
      </c>
      <c r="D44" t="s">
        <v>176</v>
      </c>
      <c r="E44">
        <v>10</v>
      </c>
      <c r="F44">
        <v>29.8</v>
      </c>
      <c r="G44">
        <v>0</v>
      </c>
      <c r="H44">
        <v>114.67</v>
      </c>
      <c r="I44">
        <v>11.467000000000001</v>
      </c>
      <c r="J44">
        <v>18.332999999999998</v>
      </c>
    </row>
    <row r="45" spans="1:10" x14ac:dyDescent="0.25">
      <c r="A45" t="s">
        <v>177</v>
      </c>
      <c r="B45" t="s">
        <v>178</v>
      </c>
      <c r="C45" t="s">
        <v>154</v>
      </c>
      <c r="D45" t="s">
        <v>164</v>
      </c>
      <c r="E45">
        <v>12</v>
      </c>
      <c r="F45">
        <v>13</v>
      </c>
      <c r="G45">
        <v>0</v>
      </c>
      <c r="H45">
        <v>0</v>
      </c>
      <c r="I45">
        <v>0</v>
      </c>
      <c r="J45">
        <v>13</v>
      </c>
    </row>
    <row r="46" spans="1:10" x14ac:dyDescent="0.25">
      <c r="A46" t="s">
        <v>179</v>
      </c>
      <c r="B46" t="s">
        <v>180</v>
      </c>
      <c r="C46" t="s">
        <v>154</v>
      </c>
      <c r="D46" t="s">
        <v>164</v>
      </c>
      <c r="E46">
        <v>12</v>
      </c>
      <c r="F46">
        <v>19.833333333333332</v>
      </c>
      <c r="G46">
        <v>0</v>
      </c>
      <c r="H46">
        <v>0</v>
      </c>
      <c r="I46">
        <v>0</v>
      </c>
      <c r="J46">
        <v>19.833333333333332</v>
      </c>
    </row>
    <row r="47" spans="1:10" x14ac:dyDescent="0.25">
      <c r="A47" t="s">
        <v>181</v>
      </c>
      <c r="B47" t="s">
        <v>182</v>
      </c>
      <c r="C47" t="s">
        <v>154</v>
      </c>
      <c r="D47" t="s">
        <v>176</v>
      </c>
      <c r="E47">
        <v>10</v>
      </c>
      <c r="F47">
        <v>15</v>
      </c>
      <c r="G47">
        <v>0</v>
      </c>
      <c r="H47">
        <v>28.8</v>
      </c>
      <c r="I47">
        <v>2.88</v>
      </c>
      <c r="J47">
        <v>12.120000000000001</v>
      </c>
    </row>
    <row r="48" spans="1:10" x14ac:dyDescent="0.25">
      <c r="A48" t="s">
        <v>183</v>
      </c>
      <c r="B48" t="s">
        <v>184</v>
      </c>
      <c r="C48" t="s">
        <v>154</v>
      </c>
      <c r="D48" t="s">
        <v>176</v>
      </c>
      <c r="E48">
        <v>10</v>
      </c>
      <c r="F48">
        <v>143</v>
      </c>
      <c r="G48">
        <v>0</v>
      </c>
      <c r="H48">
        <v>786</v>
      </c>
      <c r="I48">
        <v>78.599999999999994</v>
      </c>
      <c r="J48">
        <v>64.400000000000006</v>
      </c>
    </row>
    <row r="49" spans="1:10" x14ac:dyDescent="0.25">
      <c r="A49" t="s">
        <v>185</v>
      </c>
      <c r="B49" t="s">
        <v>186</v>
      </c>
      <c r="C49" t="s">
        <v>187</v>
      </c>
      <c r="D49" t="s">
        <v>188</v>
      </c>
      <c r="E49">
        <v>6</v>
      </c>
      <c r="F49">
        <v>5</v>
      </c>
      <c r="G49">
        <v>0</v>
      </c>
      <c r="H49">
        <v>0</v>
      </c>
      <c r="I49">
        <v>0</v>
      </c>
      <c r="J49">
        <v>5</v>
      </c>
    </row>
    <row r="50" spans="1:10" x14ac:dyDescent="0.25">
      <c r="A50" t="s">
        <v>189</v>
      </c>
      <c r="B50" t="s">
        <v>190</v>
      </c>
      <c r="C50" t="s">
        <v>191</v>
      </c>
      <c r="D50" t="s">
        <v>86</v>
      </c>
      <c r="E50">
        <v>1</v>
      </c>
      <c r="F50">
        <v>54.896000000000001</v>
      </c>
      <c r="G50">
        <v>0</v>
      </c>
      <c r="H50">
        <v>0</v>
      </c>
      <c r="I50">
        <v>0</v>
      </c>
      <c r="J50">
        <v>54.896000000000001</v>
      </c>
    </row>
    <row r="51" spans="1:10" x14ac:dyDescent="0.25">
      <c r="A51" t="s">
        <v>192</v>
      </c>
      <c r="B51" t="s">
        <v>193</v>
      </c>
      <c r="C51" t="s">
        <v>191</v>
      </c>
      <c r="D51" t="s">
        <v>86</v>
      </c>
      <c r="E51">
        <v>25</v>
      </c>
      <c r="F51">
        <v>19.728000000000002</v>
      </c>
      <c r="G51">
        <v>0</v>
      </c>
      <c r="H51">
        <v>0</v>
      </c>
      <c r="I51">
        <v>0</v>
      </c>
      <c r="J51">
        <v>19.728000000000002</v>
      </c>
    </row>
    <row r="52" spans="1:10" x14ac:dyDescent="0.25">
      <c r="A52" t="s">
        <v>194</v>
      </c>
      <c r="B52" t="s">
        <v>195</v>
      </c>
      <c r="C52" t="s">
        <v>196</v>
      </c>
      <c r="D52" t="s">
        <v>119</v>
      </c>
      <c r="E52">
        <v>10</v>
      </c>
      <c r="F52">
        <v>13</v>
      </c>
      <c r="G52">
        <v>0</v>
      </c>
      <c r="H52">
        <v>0</v>
      </c>
      <c r="I52">
        <v>0</v>
      </c>
      <c r="J52">
        <v>13</v>
      </c>
    </row>
    <row r="53" spans="1:10" x14ac:dyDescent="0.25">
      <c r="A53" t="s">
        <v>197</v>
      </c>
      <c r="B53" t="s">
        <v>198</v>
      </c>
      <c r="C53" t="s">
        <v>196</v>
      </c>
      <c r="D53" t="s">
        <v>199</v>
      </c>
      <c r="E53">
        <v>12.5</v>
      </c>
      <c r="F53">
        <v>2</v>
      </c>
      <c r="G53">
        <v>0</v>
      </c>
      <c r="H53">
        <v>0</v>
      </c>
      <c r="I53">
        <v>0</v>
      </c>
      <c r="J53">
        <v>2</v>
      </c>
    </row>
    <row r="54" spans="1:10" x14ac:dyDescent="0.25">
      <c r="A54" t="s">
        <v>8</v>
      </c>
      <c r="B54" t="s">
        <v>9</v>
      </c>
      <c r="C54" t="s">
        <v>7</v>
      </c>
      <c r="D54" t="s">
        <v>85</v>
      </c>
      <c r="E54">
        <v>1</v>
      </c>
      <c r="F54">
        <v>31</v>
      </c>
      <c r="G54">
        <v>32</v>
      </c>
      <c r="H54">
        <v>35</v>
      </c>
      <c r="I54">
        <v>35</v>
      </c>
      <c r="J54">
        <v>28</v>
      </c>
    </row>
    <row r="55" spans="1:10" x14ac:dyDescent="0.25">
      <c r="A55" t="s">
        <v>200</v>
      </c>
      <c r="B55" t="s">
        <v>201</v>
      </c>
      <c r="C55" t="s">
        <v>7</v>
      </c>
      <c r="D55" t="s">
        <v>85</v>
      </c>
      <c r="E55">
        <v>15</v>
      </c>
      <c r="F55">
        <v>9</v>
      </c>
      <c r="G55">
        <v>0</v>
      </c>
      <c r="H55">
        <v>10</v>
      </c>
      <c r="I55">
        <v>0.66666666666666663</v>
      </c>
      <c r="J55">
        <v>8.3333333333333339</v>
      </c>
    </row>
    <row r="56" spans="1:10" x14ac:dyDescent="0.25">
      <c r="A56" t="s">
        <v>202</v>
      </c>
      <c r="B56" t="s">
        <v>203</v>
      </c>
      <c r="C56" t="s">
        <v>7</v>
      </c>
      <c r="D56" t="s">
        <v>204</v>
      </c>
      <c r="E56">
        <v>12</v>
      </c>
      <c r="F56">
        <v>6.833333333333333</v>
      </c>
      <c r="G56">
        <v>0</v>
      </c>
      <c r="H56">
        <v>21.62</v>
      </c>
      <c r="I56">
        <v>1.8016666666666667</v>
      </c>
      <c r="J56">
        <v>5.0316666666666663</v>
      </c>
    </row>
    <row r="57" spans="1:10" x14ac:dyDescent="0.25">
      <c r="A57" t="s">
        <v>205</v>
      </c>
      <c r="B57" t="s">
        <v>206</v>
      </c>
      <c r="C57" t="s">
        <v>7</v>
      </c>
      <c r="D57" t="s">
        <v>207</v>
      </c>
      <c r="E57">
        <v>12</v>
      </c>
      <c r="F57">
        <v>5</v>
      </c>
      <c r="G57">
        <v>0</v>
      </c>
      <c r="H57">
        <v>1.7999999999999998</v>
      </c>
      <c r="I57">
        <v>0.15</v>
      </c>
      <c r="J57">
        <v>4.8499999999999996</v>
      </c>
    </row>
    <row r="58" spans="1:10" x14ac:dyDescent="0.25">
      <c r="A58" t="s">
        <v>208</v>
      </c>
      <c r="B58" t="s">
        <v>209</v>
      </c>
      <c r="C58" t="s">
        <v>7</v>
      </c>
      <c r="D58" t="s">
        <v>210</v>
      </c>
      <c r="E58">
        <v>8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211</v>
      </c>
      <c r="B59" t="s">
        <v>212</v>
      </c>
      <c r="C59" t="s">
        <v>7</v>
      </c>
      <c r="D59" t="s">
        <v>213</v>
      </c>
      <c r="E59">
        <v>15000</v>
      </c>
      <c r="F59">
        <v>4</v>
      </c>
      <c r="G59">
        <v>0</v>
      </c>
      <c r="H59">
        <v>12930.3</v>
      </c>
      <c r="I59">
        <v>0.8620199999999999</v>
      </c>
      <c r="J59">
        <v>3.1379800000000002</v>
      </c>
    </row>
    <row r="60" spans="1:10" x14ac:dyDescent="0.25">
      <c r="A60" t="s">
        <v>214</v>
      </c>
      <c r="B60" t="s">
        <v>215</v>
      </c>
      <c r="C60" t="s">
        <v>7</v>
      </c>
      <c r="D60" t="s">
        <v>213</v>
      </c>
      <c r="E60">
        <v>15</v>
      </c>
      <c r="F60">
        <v>12</v>
      </c>
      <c r="G60">
        <v>0</v>
      </c>
      <c r="H60">
        <v>75</v>
      </c>
      <c r="I60">
        <v>5</v>
      </c>
      <c r="J60">
        <v>7</v>
      </c>
    </row>
    <row r="61" spans="1:10" x14ac:dyDescent="0.25">
      <c r="A61" t="s">
        <v>216</v>
      </c>
      <c r="B61" t="s">
        <v>217</v>
      </c>
      <c r="C61" t="s">
        <v>7</v>
      </c>
      <c r="D61" t="s">
        <v>213</v>
      </c>
      <c r="E61">
        <v>15</v>
      </c>
      <c r="F61">
        <v>8</v>
      </c>
      <c r="G61">
        <v>0</v>
      </c>
      <c r="H61">
        <v>15</v>
      </c>
      <c r="I61">
        <v>1</v>
      </c>
      <c r="J61">
        <v>7</v>
      </c>
    </row>
    <row r="62" spans="1:10" x14ac:dyDescent="0.25">
      <c r="A62" t="s">
        <v>218</v>
      </c>
      <c r="B62" t="s">
        <v>219</v>
      </c>
      <c r="C62" t="s">
        <v>7</v>
      </c>
      <c r="D62" t="s">
        <v>213</v>
      </c>
      <c r="E62">
        <v>15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220</v>
      </c>
      <c r="B63" t="s">
        <v>221</v>
      </c>
      <c r="C63" t="s">
        <v>7</v>
      </c>
      <c r="D63" t="s">
        <v>213</v>
      </c>
      <c r="E63">
        <v>15</v>
      </c>
      <c r="F63">
        <v>1.2</v>
      </c>
      <c r="G63">
        <v>0</v>
      </c>
      <c r="H63">
        <v>0</v>
      </c>
      <c r="I63">
        <v>0</v>
      </c>
      <c r="J63">
        <v>1.2</v>
      </c>
    </row>
    <row r="64" spans="1:10" x14ac:dyDescent="0.25">
      <c r="A64" t="s">
        <v>10</v>
      </c>
      <c r="B64" t="s">
        <v>11</v>
      </c>
      <c r="C64" t="s">
        <v>7</v>
      </c>
      <c r="D64" t="s">
        <v>119</v>
      </c>
      <c r="E64">
        <v>10</v>
      </c>
      <c r="F64">
        <v>36.700000000000003</v>
      </c>
      <c r="G64">
        <v>0</v>
      </c>
      <c r="H64">
        <v>70.810000000000016</v>
      </c>
      <c r="I64">
        <v>7.0810000000000013</v>
      </c>
      <c r="J64">
        <v>29.619</v>
      </c>
    </row>
    <row r="65" spans="1:10" x14ac:dyDescent="0.25">
      <c r="A65" t="s">
        <v>222</v>
      </c>
      <c r="B65" t="s">
        <v>223</v>
      </c>
      <c r="C65" t="s">
        <v>224</v>
      </c>
      <c r="D65" t="s">
        <v>225</v>
      </c>
      <c r="E65">
        <v>1</v>
      </c>
      <c r="F65">
        <v>81</v>
      </c>
      <c r="G65">
        <v>145</v>
      </c>
      <c r="H65">
        <v>50</v>
      </c>
      <c r="I65">
        <v>50</v>
      </c>
      <c r="J65">
        <v>176</v>
      </c>
    </row>
    <row r="66" spans="1:10" x14ac:dyDescent="0.25">
      <c r="A66" t="s">
        <v>226</v>
      </c>
      <c r="B66" t="s">
        <v>227</v>
      </c>
      <c r="C66" t="s">
        <v>228</v>
      </c>
      <c r="D66" t="s">
        <v>229</v>
      </c>
      <c r="E66">
        <v>1</v>
      </c>
      <c r="F66">
        <v>76</v>
      </c>
      <c r="G66">
        <v>144</v>
      </c>
      <c r="H66">
        <v>182</v>
      </c>
      <c r="I66">
        <v>182</v>
      </c>
      <c r="J66">
        <v>38</v>
      </c>
    </row>
    <row r="67" spans="1:10" x14ac:dyDescent="0.25">
      <c r="A67" t="s">
        <v>230</v>
      </c>
      <c r="B67" t="s">
        <v>231</v>
      </c>
      <c r="C67" t="s">
        <v>232</v>
      </c>
      <c r="D67" t="s">
        <v>233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234</v>
      </c>
      <c r="B68" t="s">
        <v>235</v>
      </c>
      <c r="C68" t="s">
        <v>236</v>
      </c>
      <c r="D68" t="s">
        <v>237</v>
      </c>
      <c r="E68">
        <v>3</v>
      </c>
      <c r="F68">
        <v>60.333333333333336</v>
      </c>
      <c r="G68">
        <v>0</v>
      </c>
      <c r="H68">
        <v>45</v>
      </c>
      <c r="I68">
        <v>15</v>
      </c>
      <c r="J68">
        <v>45.333333333333336</v>
      </c>
    </row>
    <row r="69" spans="1:10" x14ac:dyDescent="0.25">
      <c r="A69" t="s">
        <v>238</v>
      </c>
      <c r="B69" t="s">
        <v>239</v>
      </c>
      <c r="C69" t="s">
        <v>236</v>
      </c>
      <c r="D69" t="s">
        <v>240</v>
      </c>
      <c r="E69">
        <v>5</v>
      </c>
      <c r="F69">
        <v>6</v>
      </c>
      <c r="G69">
        <v>0</v>
      </c>
      <c r="H69">
        <v>0</v>
      </c>
      <c r="I69">
        <v>0</v>
      </c>
      <c r="J69">
        <v>6</v>
      </c>
    </row>
    <row r="70" spans="1:10" x14ac:dyDescent="0.25">
      <c r="A70" t="s">
        <v>241</v>
      </c>
      <c r="B70" t="s">
        <v>242</v>
      </c>
      <c r="C70" t="s">
        <v>243</v>
      </c>
      <c r="D70" t="s">
        <v>244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245</v>
      </c>
      <c r="B71" t="s">
        <v>246</v>
      </c>
      <c r="C71" t="s">
        <v>243</v>
      </c>
      <c r="D71" t="s">
        <v>244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247</v>
      </c>
      <c r="B72" t="s">
        <v>248</v>
      </c>
      <c r="C72" t="s">
        <v>243</v>
      </c>
      <c r="D72" t="s">
        <v>244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249</v>
      </c>
      <c r="B73" t="s">
        <v>250</v>
      </c>
      <c r="C73" t="s">
        <v>243</v>
      </c>
      <c r="D73" t="s">
        <v>244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251</v>
      </c>
      <c r="B74" t="s">
        <v>252</v>
      </c>
      <c r="C74" t="s">
        <v>243</v>
      </c>
      <c r="D74" t="s">
        <v>244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69</v>
      </c>
      <c r="B75" t="s">
        <v>70</v>
      </c>
      <c r="C75" t="s">
        <v>243</v>
      </c>
      <c r="D75" t="s">
        <v>244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19</v>
      </c>
      <c r="B76" t="s">
        <v>20</v>
      </c>
      <c r="C76" t="s">
        <v>18</v>
      </c>
      <c r="D76" t="s">
        <v>253</v>
      </c>
      <c r="E76">
        <v>1</v>
      </c>
      <c r="F76">
        <v>42</v>
      </c>
      <c r="G76">
        <v>32</v>
      </c>
      <c r="H76">
        <v>25</v>
      </c>
      <c r="I76">
        <v>25</v>
      </c>
      <c r="J76">
        <v>49</v>
      </c>
    </row>
    <row r="77" spans="1:10" x14ac:dyDescent="0.25">
      <c r="A77" t="s">
        <v>254</v>
      </c>
      <c r="B77" t="s">
        <v>255</v>
      </c>
      <c r="C77" t="s">
        <v>18</v>
      </c>
      <c r="D77" t="s">
        <v>253</v>
      </c>
      <c r="E77">
        <v>1</v>
      </c>
      <c r="F77">
        <v>20</v>
      </c>
      <c r="G77">
        <v>32</v>
      </c>
      <c r="H77">
        <v>10</v>
      </c>
      <c r="I77">
        <v>10</v>
      </c>
      <c r="J77">
        <v>42</v>
      </c>
    </row>
    <row r="78" spans="1:10" x14ac:dyDescent="0.25">
      <c r="A78" t="s">
        <v>16</v>
      </c>
      <c r="B78" t="s">
        <v>17</v>
      </c>
      <c r="C78" t="s">
        <v>256</v>
      </c>
      <c r="D78" t="s">
        <v>257</v>
      </c>
      <c r="E78">
        <v>1</v>
      </c>
      <c r="F78">
        <v>92</v>
      </c>
      <c r="G78">
        <v>120</v>
      </c>
      <c r="H78">
        <v>96</v>
      </c>
      <c r="I78">
        <v>96</v>
      </c>
      <c r="J78">
        <v>116</v>
      </c>
    </row>
    <row r="79" spans="1:10" x14ac:dyDescent="0.25">
      <c r="A79" t="s">
        <v>258</v>
      </c>
      <c r="B79" t="s">
        <v>259</v>
      </c>
      <c r="C79" t="s">
        <v>260</v>
      </c>
      <c r="D79" t="s">
        <v>93</v>
      </c>
      <c r="E79">
        <v>1</v>
      </c>
      <c r="F79">
        <v>40</v>
      </c>
      <c r="G79">
        <v>60</v>
      </c>
      <c r="H79">
        <v>23</v>
      </c>
      <c r="I79">
        <v>23</v>
      </c>
      <c r="J79">
        <v>77</v>
      </c>
    </row>
    <row r="80" spans="1:10" x14ac:dyDescent="0.25">
      <c r="A80" t="s">
        <v>261</v>
      </c>
      <c r="B80" t="s">
        <v>262</v>
      </c>
      <c r="C80" t="s">
        <v>52</v>
      </c>
      <c r="D80" t="s">
        <v>263</v>
      </c>
      <c r="E80">
        <v>10</v>
      </c>
      <c r="F80">
        <v>187</v>
      </c>
      <c r="G80">
        <v>80</v>
      </c>
      <c r="H80">
        <v>1120</v>
      </c>
      <c r="I80">
        <v>112</v>
      </c>
      <c r="J80">
        <v>155</v>
      </c>
    </row>
    <row r="81" spans="1:10" x14ac:dyDescent="0.25">
      <c r="A81" t="s">
        <v>264</v>
      </c>
      <c r="B81" t="s">
        <v>265</v>
      </c>
      <c r="C81" t="s">
        <v>52</v>
      </c>
      <c r="D81" t="s">
        <v>266</v>
      </c>
      <c r="E81">
        <v>15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53</v>
      </c>
      <c r="B82" t="s">
        <v>54</v>
      </c>
      <c r="C82" t="s">
        <v>52</v>
      </c>
      <c r="D82" t="s">
        <v>119</v>
      </c>
      <c r="E82">
        <v>10</v>
      </c>
      <c r="F82">
        <v>22</v>
      </c>
      <c r="G82">
        <v>304</v>
      </c>
      <c r="H82">
        <v>1370</v>
      </c>
      <c r="I82">
        <v>137</v>
      </c>
      <c r="J82">
        <v>189</v>
      </c>
    </row>
    <row r="83" spans="1:10" x14ac:dyDescent="0.25">
      <c r="A83" t="s">
        <v>267</v>
      </c>
      <c r="B83" t="s">
        <v>268</v>
      </c>
      <c r="C83" t="s">
        <v>52</v>
      </c>
      <c r="D83" t="s">
        <v>116</v>
      </c>
      <c r="E83">
        <v>10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269</v>
      </c>
      <c r="B84" t="s">
        <v>270</v>
      </c>
      <c r="C84" t="s">
        <v>52</v>
      </c>
      <c r="D84" t="s">
        <v>85</v>
      </c>
      <c r="E84">
        <v>15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271</v>
      </c>
      <c r="B85" t="s">
        <v>272</v>
      </c>
      <c r="C85" t="s">
        <v>52</v>
      </c>
      <c r="D85" t="s">
        <v>116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273</v>
      </c>
      <c r="B86" t="s">
        <v>274</v>
      </c>
      <c r="C86" t="s">
        <v>52</v>
      </c>
      <c r="D86" t="s">
        <v>263</v>
      </c>
      <c r="E86">
        <v>10</v>
      </c>
      <c r="F86">
        <v>15</v>
      </c>
      <c r="G86">
        <v>0</v>
      </c>
      <c r="H86">
        <v>520</v>
      </c>
      <c r="I86">
        <v>52</v>
      </c>
      <c r="J86">
        <v>-37</v>
      </c>
    </row>
    <row r="87" spans="1:10" x14ac:dyDescent="0.25">
      <c r="A87" t="s">
        <v>275</v>
      </c>
      <c r="B87" t="s">
        <v>276</v>
      </c>
      <c r="C87" t="s">
        <v>52</v>
      </c>
      <c r="D87" t="s">
        <v>116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277</v>
      </c>
      <c r="B88" t="s">
        <v>278</v>
      </c>
      <c r="C88" t="s">
        <v>52</v>
      </c>
      <c r="D88" t="s">
        <v>263</v>
      </c>
      <c r="E88">
        <v>10</v>
      </c>
      <c r="F88">
        <v>76.7</v>
      </c>
      <c r="G88">
        <v>0</v>
      </c>
      <c r="H88">
        <v>117.75999999999999</v>
      </c>
      <c r="I88">
        <v>11.776</v>
      </c>
      <c r="J88">
        <v>64.924000000000007</v>
      </c>
    </row>
    <row r="89" spans="1:10" x14ac:dyDescent="0.25">
      <c r="A89" t="s">
        <v>55</v>
      </c>
      <c r="B89" t="s">
        <v>56</v>
      </c>
      <c r="C89" t="s">
        <v>52</v>
      </c>
      <c r="D89" t="s">
        <v>279</v>
      </c>
      <c r="E89">
        <v>10</v>
      </c>
      <c r="F89">
        <v>33</v>
      </c>
      <c r="G89">
        <v>72</v>
      </c>
      <c r="H89">
        <v>540</v>
      </c>
      <c r="I89">
        <v>54</v>
      </c>
      <c r="J89">
        <v>51</v>
      </c>
    </row>
    <row r="90" spans="1:10" x14ac:dyDescent="0.25">
      <c r="A90" t="s">
        <v>57</v>
      </c>
      <c r="B90" t="s">
        <v>280</v>
      </c>
      <c r="C90" t="s">
        <v>52</v>
      </c>
      <c r="D90" t="s">
        <v>279</v>
      </c>
      <c r="E90">
        <v>10</v>
      </c>
      <c r="F90">
        <v>60.8</v>
      </c>
      <c r="G90">
        <v>148</v>
      </c>
      <c r="H90">
        <v>752</v>
      </c>
      <c r="I90">
        <v>75.2</v>
      </c>
      <c r="J90">
        <v>133.60000000000002</v>
      </c>
    </row>
    <row r="91" spans="1:10" x14ac:dyDescent="0.25">
      <c r="A91" t="s">
        <v>281</v>
      </c>
      <c r="B91" t="s">
        <v>282</v>
      </c>
      <c r="C91" t="s">
        <v>52</v>
      </c>
      <c r="D91" t="s">
        <v>279</v>
      </c>
      <c r="E91">
        <v>10</v>
      </c>
      <c r="F91">
        <v>105</v>
      </c>
      <c r="G91">
        <v>70</v>
      </c>
      <c r="H91">
        <v>880</v>
      </c>
      <c r="I91">
        <v>88</v>
      </c>
      <c r="J91">
        <v>87</v>
      </c>
    </row>
    <row r="92" spans="1:10" x14ac:dyDescent="0.25">
      <c r="A92" t="s">
        <v>283</v>
      </c>
      <c r="B92" t="s">
        <v>284</v>
      </c>
      <c r="C92" t="s">
        <v>52</v>
      </c>
      <c r="D92" t="s">
        <v>279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285</v>
      </c>
      <c r="B93" t="s">
        <v>286</v>
      </c>
      <c r="C93" t="s">
        <v>52</v>
      </c>
      <c r="D93" t="s">
        <v>279</v>
      </c>
      <c r="E93">
        <v>10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287</v>
      </c>
      <c r="B94" t="s">
        <v>288</v>
      </c>
      <c r="C94" t="s">
        <v>52</v>
      </c>
      <c r="D94" t="s">
        <v>289</v>
      </c>
      <c r="E94">
        <v>15</v>
      </c>
      <c r="F94">
        <v>203</v>
      </c>
      <c r="G94">
        <v>297</v>
      </c>
      <c r="H94">
        <v>3454</v>
      </c>
      <c r="I94">
        <v>230.26666666666668</v>
      </c>
      <c r="J94">
        <v>269.73333333333335</v>
      </c>
    </row>
    <row r="95" spans="1:10" x14ac:dyDescent="0.25">
      <c r="A95" t="s">
        <v>290</v>
      </c>
      <c r="B95" t="s">
        <v>291</v>
      </c>
      <c r="C95" t="s">
        <v>292</v>
      </c>
      <c r="D95" t="s">
        <v>176</v>
      </c>
      <c r="E95">
        <v>10</v>
      </c>
      <c r="F95">
        <v>66</v>
      </c>
      <c r="G95">
        <v>132</v>
      </c>
      <c r="H95">
        <v>921</v>
      </c>
      <c r="I95">
        <v>92.1</v>
      </c>
      <c r="J95">
        <v>105.9</v>
      </c>
    </row>
    <row r="96" spans="1:10" x14ac:dyDescent="0.25">
      <c r="A96" t="s">
        <v>293</v>
      </c>
      <c r="B96" t="s">
        <v>294</v>
      </c>
      <c r="C96" t="s">
        <v>295</v>
      </c>
      <c r="D96" t="s">
        <v>296</v>
      </c>
      <c r="E96">
        <v>1</v>
      </c>
      <c r="F96">
        <v>0</v>
      </c>
      <c r="G96">
        <v>122</v>
      </c>
      <c r="H96">
        <v>26</v>
      </c>
      <c r="I96">
        <v>26</v>
      </c>
      <c r="J96">
        <v>96</v>
      </c>
    </row>
    <row r="97" spans="1:10" x14ac:dyDescent="0.25">
      <c r="A97" t="s">
        <v>297</v>
      </c>
      <c r="B97" t="s">
        <v>298</v>
      </c>
      <c r="C97" t="s">
        <v>295</v>
      </c>
      <c r="D97" t="s">
        <v>296</v>
      </c>
      <c r="E97">
        <v>1</v>
      </c>
      <c r="F97">
        <v>0</v>
      </c>
      <c r="G97">
        <v>17</v>
      </c>
      <c r="H97">
        <v>0</v>
      </c>
      <c r="I97">
        <v>0</v>
      </c>
      <c r="J97">
        <v>17</v>
      </c>
    </row>
    <row r="98" spans="1:10" x14ac:dyDescent="0.25">
      <c r="A98" t="s">
        <v>299</v>
      </c>
      <c r="B98" t="s">
        <v>300</v>
      </c>
      <c r="C98" t="s">
        <v>295</v>
      </c>
      <c r="D98" t="s">
        <v>301</v>
      </c>
      <c r="E98">
        <v>1</v>
      </c>
      <c r="F98">
        <v>24</v>
      </c>
      <c r="G98">
        <v>520</v>
      </c>
      <c r="H98">
        <v>461</v>
      </c>
      <c r="I98">
        <v>461</v>
      </c>
      <c r="J98">
        <v>83</v>
      </c>
    </row>
    <row r="99" spans="1:10" x14ac:dyDescent="0.25">
      <c r="A99" t="s">
        <v>302</v>
      </c>
      <c r="B99" t="s">
        <v>303</v>
      </c>
      <c r="C99" t="s">
        <v>295</v>
      </c>
      <c r="D99" t="s">
        <v>141</v>
      </c>
      <c r="E99">
        <v>1</v>
      </c>
      <c r="F99">
        <v>2</v>
      </c>
      <c r="G99">
        <v>38</v>
      </c>
      <c r="H99">
        <v>37</v>
      </c>
      <c r="I99">
        <v>37</v>
      </c>
      <c r="J99">
        <v>3</v>
      </c>
    </row>
    <row r="100" spans="1:10" x14ac:dyDescent="0.25">
      <c r="A100" t="s">
        <v>304</v>
      </c>
      <c r="B100" t="s">
        <v>305</v>
      </c>
      <c r="C100" t="s">
        <v>295</v>
      </c>
      <c r="D100" t="s">
        <v>306</v>
      </c>
      <c r="E100">
        <v>1</v>
      </c>
      <c r="F100">
        <v>0</v>
      </c>
      <c r="G100">
        <v>5</v>
      </c>
      <c r="H100">
        <v>2</v>
      </c>
      <c r="I100">
        <v>2</v>
      </c>
      <c r="J100">
        <v>3</v>
      </c>
    </row>
    <row r="101" spans="1:10" x14ac:dyDescent="0.25">
      <c r="A101" t="s">
        <v>307</v>
      </c>
      <c r="B101" t="s">
        <v>308</v>
      </c>
      <c r="C101" t="s">
        <v>309</v>
      </c>
      <c r="D101" t="s">
        <v>310</v>
      </c>
      <c r="E101">
        <v>1</v>
      </c>
      <c r="F101">
        <v>5</v>
      </c>
      <c r="G101">
        <v>0</v>
      </c>
      <c r="H101">
        <v>1</v>
      </c>
      <c r="I101">
        <v>1</v>
      </c>
      <c r="J101">
        <v>4</v>
      </c>
    </row>
    <row r="102" spans="1:10" x14ac:dyDescent="0.25">
      <c r="A102" t="s">
        <v>311</v>
      </c>
      <c r="B102" t="s">
        <v>312</v>
      </c>
      <c r="C102" t="s">
        <v>309</v>
      </c>
      <c r="D102" t="s">
        <v>313</v>
      </c>
      <c r="E102">
        <v>6</v>
      </c>
      <c r="F102">
        <v>2.8333333333333335</v>
      </c>
      <c r="G102">
        <v>0</v>
      </c>
      <c r="H102">
        <v>0</v>
      </c>
      <c r="I102">
        <v>0</v>
      </c>
      <c r="J102">
        <v>2.8333333333333335</v>
      </c>
    </row>
    <row r="103" spans="1:10" x14ac:dyDescent="0.25">
      <c r="A103" t="s">
        <v>314</v>
      </c>
      <c r="B103" t="s">
        <v>315</v>
      </c>
      <c r="C103" t="s">
        <v>316</v>
      </c>
      <c r="D103" t="s">
        <v>86</v>
      </c>
      <c r="E103">
        <v>25</v>
      </c>
      <c r="F103">
        <v>0.2</v>
      </c>
      <c r="G103">
        <v>0</v>
      </c>
      <c r="H103">
        <v>0</v>
      </c>
      <c r="I103">
        <v>0</v>
      </c>
      <c r="J103">
        <v>0.2</v>
      </c>
    </row>
    <row r="104" spans="1:10" x14ac:dyDescent="0.25">
      <c r="A104" t="s">
        <v>317</v>
      </c>
      <c r="B104" t="s">
        <v>318</v>
      </c>
      <c r="C104" t="s">
        <v>319</v>
      </c>
      <c r="D104" t="s">
        <v>320</v>
      </c>
      <c r="E104">
        <v>1</v>
      </c>
      <c r="F104">
        <v>140</v>
      </c>
      <c r="G104">
        <v>0</v>
      </c>
      <c r="H104">
        <v>42</v>
      </c>
      <c r="I104">
        <v>42</v>
      </c>
      <c r="J104">
        <v>98</v>
      </c>
    </row>
    <row r="105" spans="1:10" x14ac:dyDescent="0.25">
      <c r="A105" t="s">
        <v>321</v>
      </c>
      <c r="B105" t="s">
        <v>322</v>
      </c>
      <c r="C105" t="s">
        <v>323</v>
      </c>
      <c r="D105" t="s">
        <v>324</v>
      </c>
      <c r="E105">
        <v>10</v>
      </c>
      <c r="F105">
        <v>30.5</v>
      </c>
      <c r="G105">
        <v>240</v>
      </c>
      <c r="H105">
        <v>1615</v>
      </c>
      <c r="I105">
        <v>161.5</v>
      </c>
      <c r="J105">
        <v>109</v>
      </c>
    </row>
    <row r="106" spans="1:10" x14ac:dyDescent="0.25">
      <c r="A106" t="s">
        <v>325</v>
      </c>
      <c r="B106" t="s">
        <v>326</v>
      </c>
      <c r="C106" t="s">
        <v>323</v>
      </c>
      <c r="D106" t="s">
        <v>327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328</v>
      </c>
      <c r="B107" t="s">
        <v>329</v>
      </c>
      <c r="C107" t="s">
        <v>323</v>
      </c>
      <c r="D107" t="s">
        <v>324</v>
      </c>
      <c r="E107">
        <v>10</v>
      </c>
      <c r="F107">
        <v>70</v>
      </c>
      <c r="G107">
        <v>0</v>
      </c>
      <c r="H107">
        <v>460</v>
      </c>
      <c r="I107">
        <v>46</v>
      </c>
      <c r="J107">
        <v>24</v>
      </c>
    </row>
    <row r="108" spans="1:10" x14ac:dyDescent="0.25">
      <c r="A108" t="s">
        <v>330</v>
      </c>
      <c r="B108" t="s">
        <v>331</v>
      </c>
      <c r="C108" t="s">
        <v>332</v>
      </c>
      <c r="D108" t="s">
        <v>333</v>
      </c>
      <c r="E108">
        <v>1</v>
      </c>
      <c r="F108">
        <v>11</v>
      </c>
      <c r="G108">
        <v>20</v>
      </c>
      <c r="H108">
        <v>14</v>
      </c>
      <c r="I108">
        <v>14</v>
      </c>
      <c r="J108">
        <v>17</v>
      </c>
    </row>
    <row r="109" spans="1:10" x14ac:dyDescent="0.25">
      <c r="A109" t="s">
        <v>334</v>
      </c>
      <c r="B109" t="s">
        <v>335</v>
      </c>
      <c r="C109" t="s">
        <v>332</v>
      </c>
      <c r="D109" t="s">
        <v>336</v>
      </c>
      <c r="E109">
        <v>1</v>
      </c>
      <c r="F109">
        <v>0</v>
      </c>
      <c r="G109">
        <v>23</v>
      </c>
      <c r="H109">
        <v>23</v>
      </c>
      <c r="I109">
        <v>23</v>
      </c>
      <c r="J109">
        <v>0</v>
      </c>
    </row>
    <row r="110" spans="1:10" x14ac:dyDescent="0.25">
      <c r="A110" t="s">
        <v>337</v>
      </c>
      <c r="B110" t="s">
        <v>338</v>
      </c>
      <c r="C110" t="s">
        <v>339</v>
      </c>
      <c r="D110" t="s">
        <v>233</v>
      </c>
      <c r="E110">
        <v>2</v>
      </c>
      <c r="F110">
        <v>36</v>
      </c>
      <c r="G110">
        <v>1153.019</v>
      </c>
      <c r="H110">
        <v>3186.5</v>
      </c>
      <c r="I110">
        <v>1593.25</v>
      </c>
      <c r="J110">
        <v>-404.23099999999999</v>
      </c>
    </row>
    <row r="111" spans="1:10" x14ac:dyDescent="0.25">
      <c r="A111" t="s">
        <v>340</v>
      </c>
      <c r="B111" t="s">
        <v>341</v>
      </c>
      <c r="C111" t="s">
        <v>342</v>
      </c>
      <c r="D111" t="s">
        <v>343</v>
      </c>
      <c r="E111">
        <v>1</v>
      </c>
      <c r="F111">
        <v>60</v>
      </c>
      <c r="G111">
        <v>0</v>
      </c>
      <c r="H111">
        <v>0</v>
      </c>
      <c r="I111">
        <v>0</v>
      </c>
      <c r="J111">
        <v>60</v>
      </c>
    </row>
    <row r="112" spans="1:10" x14ac:dyDescent="0.25">
      <c r="A112" t="s">
        <v>344</v>
      </c>
      <c r="B112" t="s">
        <v>345</v>
      </c>
      <c r="C112" t="s">
        <v>346</v>
      </c>
      <c r="D112" t="s">
        <v>347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348</v>
      </c>
      <c r="B113" t="s">
        <v>349</v>
      </c>
      <c r="C113" t="s">
        <v>350</v>
      </c>
      <c r="D113" t="s">
        <v>351</v>
      </c>
      <c r="E113">
        <v>1</v>
      </c>
      <c r="F113">
        <v>90</v>
      </c>
      <c r="G113">
        <v>2715</v>
      </c>
      <c r="H113">
        <v>2565</v>
      </c>
      <c r="I113">
        <v>2565</v>
      </c>
      <c r="J113">
        <v>240</v>
      </c>
    </row>
    <row r="114" spans="1:10" x14ac:dyDescent="0.25">
      <c r="A114" t="s">
        <v>352</v>
      </c>
      <c r="B114" t="s">
        <v>353</v>
      </c>
      <c r="C114" t="s">
        <v>350</v>
      </c>
      <c r="D114" t="s">
        <v>351</v>
      </c>
      <c r="E114">
        <v>1</v>
      </c>
      <c r="F114">
        <v>555</v>
      </c>
      <c r="G114">
        <v>735</v>
      </c>
      <c r="H114">
        <v>1140</v>
      </c>
      <c r="I114">
        <v>1140</v>
      </c>
      <c r="J114">
        <v>150</v>
      </c>
    </row>
    <row r="115" spans="1:10" x14ac:dyDescent="0.25">
      <c r="A115" t="s">
        <v>354</v>
      </c>
      <c r="B115" t="s">
        <v>355</v>
      </c>
      <c r="C115" t="s">
        <v>350</v>
      </c>
      <c r="D115" t="s">
        <v>351</v>
      </c>
      <c r="E115">
        <v>1</v>
      </c>
      <c r="F115">
        <v>20</v>
      </c>
      <c r="G115">
        <v>0</v>
      </c>
      <c r="H115">
        <v>0</v>
      </c>
      <c r="I115">
        <v>0</v>
      </c>
      <c r="J115">
        <v>20</v>
      </c>
    </row>
    <row r="116" spans="1:10" x14ac:dyDescent="0.25">
      <c r="A116" t="s">
        <v>356</v>
      </c>
      <c r="B116" t="s">
        <v>357</v>
      </c>
      <c r="C116" t="s">
        <v>350</v>
      </c>
      <c r="D116" t="s">
        <v>351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358</v>
      </c>
      <c r="B117" t="s">
        <v>359</v>
      </c>
      <c r="C117" t="s">
        <v>350</v>
      </c>
      <c r="D117" t="s">
        <v>351</v>
      </c>
      <c r="E117">
        <v>1</v>
      </c>
      <c r="F117">
        <v>0</v>
      </c>
      <c r="G117">
        <v>0</v>
      </c>
      <c r="H117">
        <v>150</v>
      </c>
      <c r="I117">
        <v>150</v>
      </c>
      <c r="J117">
        <v>-150</v>
      </c>
    </row>
    <row r="118" spans="1:10" x14ac:dyDescent="0.25">
      <c r="A118" t="s">
        <v>66</v>
      </c>
      <c r="B118" t="s">
        <v>360</v>
      </c>
      <c r="C118" t="s">
        <v>350</v>
      </c>
      <c r="D118" t="s">
        <v>351</v>
      </c>
      <c r="E118">
        <v>1</v>
      </c>
      <c r="F118">
        <v>1200</v>
      </c>
      <c r="G118">
        <v>11374</v>
      </c>
      <c r="H118">
        <v>12104.5</v>
      </c>
      <c r="I118">
        <v>12104.5</v>
      </c>
      <c r="J118">
        <v>469.5</v>
      </c>
    </row>
    <row r="119" spans="1:10" x14ac:dyDescent="0.25">
      <c r="A119" t="s">
        <v>361</v>
      </c>
      <c r="B119" t="s">
        <v>362</v>
      </c>
      <c r="C119" t="s">
        <v>363</v>
      </c>
      <c r="D119" t="s">
        <v>101</v>
      </c>
      <c r="E119">
        <v>25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364</v>
      </c>
      <c r="B120" t="s">
        <v>365</v>
      </c>
      <c r="C120" t="s">
        <v>366</v>
      </c>
      <c r="D120" t="s">
        <v>367</v>
      </c>
      <c r="E120">
        <v>1</v>
      </c>
      <c r="F120">
        <v>0</v>
      </c>
      <c r="G120">
        <v>323</v>
      </c>
      <c r="H120">
        <v>323</v>
      </c>
      <c r="I120">
        <v>323</v>
      </c>
      <c r="J120">
        <v>0</v>
      </c>
    </row>
    <row r="121" spans="1:10" x14ac:dyDescent="0.25">
      <c r="A121" t="s">
        <v>368</v>
      </c>
      <c r="B121" t="s">
        <v>369</v>
      </c>
      <c r="C121" t="s">
        <v>366</v>
      </c>
      <c r="D121" t="s">
        <v>367</v>
      </c>
      <c r="E121">
        <v>1</v>
      </c>
      <c r="F121">
        <v>0</v>
      </c>
      <c r="G121">
        <v>100</v>
      </c>
      <c r="H121">
        <v>100</v>
      </c>
      <c r="I121">
        <v>100</v>
      </c>
      <c r="J121">
        <v>0</v>
      </c>
    </row>
    <row r="122" spans="1:10" x14ac:dyDescent="0.25">
      <c r="A122" t="s">
        <v>370</v>
      </c>
      <c r="B122" t="s">
        <v>371</v>
      </c>
      <c r="C122" t="s">
        <v>366</v>
      </c>
      <c r="D122" t="s">
        <v>367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372</v>
      </c>
      <c r="B123" t="s">
        <v>373</v>
      </c>
      <c r="C123" t="s">
        <v>366</v>
      </c>
      <c r="D123" t="s">
        <v>374</v>
      </c>
      <c r="E123">
        <v>1</v>
      </c>
      <c r="F123">
        <v>430</v>
      </c>
      <c r="G123">
        <v>1095</v>
      </c>
      <c r="H123">
        <v>722.5</v>
      </c>
      <c r="I123">
        <v>722.5</v>
      </c>
      <c r="J123">
        <v>802.5</v>
      </c>
    </row>
    <row r="124" spans="1:10" x14ac:dyDescent="0.25">
      <c r="A124" t="s">
        <v>375</v>
      </c>
      <c r="B124" t="s">
        <v>376</v>
      </c>
      <c r="C124" t="s">
        <v>377</v>
      </c>
      <c r="D124" t="s">
        <v>263</v>
      </c>
      <c r="E124">
        <v>10</v>
      </c>
      <c r="F124">
        <v>94</v>
      </c>
      <c r="G124">
        <v>110</v>
      </c>
      <c r="H124">
        <v>1520</v>
      </c>
      <c r="I124">
        <v>152</v>
      </c>
      <c r="J124">
        <v>52</v>
      </c>
    </row>
    <row r="125" spans="1:10" x14ac:dyDescent="0.25">
      <c r="A125" t="s">
        <v>378</v>
      </c>
      <c r="B125" t="s">
        <v>379</v>
      </c>
      <c r="C125" t="s">
        <v>377</v>
      </c>
      <c r="D125" t="s">
        <v>263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380</v>
      </c>
      <c r="B126" t="s">
        <v>381</v>
      </c>
      <c r="C126" t="s">
        <v>382</v>
      </c>
      <c r="D126" t="s">
        <v>383</v>
      </c>
      <c r="E126">
        <v>1</v>
      </c>
      <c r="F126">
        <v>45</v>
      </c>
      <c r="G126">
        <v>0</v>
      </c>
      <c r="H126">
        <v>10</v>
      </c>
      <c r="I126">
        <v>10</v>
      </c>
      <c r="J126">
        <v>35</v>
      </c>
    </row>
    <row r="127" spans="1:10" x14ac:dyDescent="0.25">
      <c r="A127" t="s">
        <v>384</v>
      </c>
      <c r="B127" t="s">
        <v>385</v>
      </c>
      <c r="C127" t="s">
        <v>382</v>
      </c>
      <c r="D127" t="s">
        <v>386</v>
      </c>
      <c r="E127">
        <v>1</v>
      </c>
      <c r="F127">
        <v>3</v>
      </c>
      <c r="G127">
        <v>0</v>
      </c>
      <c r="H127">
        <v>0</v>
      </c>
      <c r="I127">
        <v>0</v>
      </c>
      <c r="J127">
        <v>3</v>
      </c>
    </row>
    <row r="128" spans="1:10" x14ac:dyDescent="0.25">
      <c r="A128" t="s">
        <v>387</v>
      </c>
      <c r="B128" t="s">
        <v>388</v>
      </c>
      <c r="C128" t="s">
        <v>382</v>
      </c>
      <c r="D128" t="s">
        <v>386</v>
      </c>
      <c r="E128">
        <v>1</v>
      </c>
      <c r="F128">
        <v>14</v>
      </c>
      <c r="G128">
        <v>0</v>
      </c>
      <c r="H128">
        <v>6</v>
      </c>
      <c r="I128">
        <v>6</v>
      </c>
      <c r="J128">
        <v>8</v>
      </c>
    </row>
    <row r="129" spans="1:10" x14ac:dyDescent="0.25">
      <c r="A129" t="s">
        <v>389</v>
      </c>
      <c r="B129" t="s">
        <v>390</v>
      </c>
      <c r="C129" t="s">
        <v>391</v>
      </c>
      <c r="D129" t="s">
        <v>392</v>
      </c>
      <c r="E129">
        <v>2</v>
      </c>
      <c r="F129">
        <v>144.5</v>
      </c>
      <c r="G129">
        <v>0</v>
      </c>
      <c r="H129">
        <v>37</v>
      </c>
      <c r="I129">
        <v>18.5</v>
      </c>
      <c r="J129">
        <v>126</v>
      </c>
    </row>
    <row r="130" spans="1:10" x14ac:dyDescent="0.25">
      <c r="A130" t="s">
        <v>25</v>
      </c>
      <c r="B130" t="s">
        <v>393</v>
      </c>
      <c r="C130" t="s">
        <v>24</v>
      </c>
      <c r="D130" t="s">
        <v>101</v>
      </c>
      <c r="E130">
        <v>1</v>
      </c>
      <c r="F130">
        <v>45</v>
      </c>
      <c r="G130">
        <v>40</v>
      </c>
      <c r="H130">
        <v>48</v>
      </c>
      <c r="I130">
        <v>48</v>
      </c>
      <c r="J130">
        <v>37</v>
      </c>
    </row>
    <row r="131" spans="1:10" x14ac:dyDescent="0.25">
      <c r="A131" t="s">
        <v>27</v>
      </c>
      <c r="B131" t="s">
        <v>394</v>
      </c>
      <c r="C131" t="s">
        <v>24</v>
      </c>
      <c r="D131" t="s">
        <v>101</v>
      </c>
      <c r="E131">
        <v>1</v>
      </c>
      <c r="F131">
        <v>52</v>
      </c>
      <c r="G131">
        <v>49</v>
      </c>
      <c r="H131">
        <v>23</v>
      </c>
      <c r="I131">
        <v>23</v>
      </c>
      <c r="J131">
        <v>78</v>
      </c>
    </row>
    <row r="132" spans="1:10" x14ac:dyDescent="0.25">
      <c r="A132" t="s">
        <v>395</v>
      </c>
      <c r="B132" t="s">
        <v>396</v>
      </c>
      <c r="C132" t="s">
        <v>24</v>
      </c>
      <c r="D132" t="s">
        <v>101</v>
      </c>
      <c r="E132">
        <v>1</v>
      </c>
      <c r="F132">
        <v>0</v>
      </c>
      <c r="G132">
        <v>10</v>
      </c>
      <c r="H132">
        <v>2</v>
      </c>
      <c r="I132">
        <v>2</v>
      </c>
      <c r="J132">
        <v>8</v>
      </c>
    </row>
    <row r="133" spans="1:10" x14ac:dyDescent="0.25">
      <c r="A133" t="s">
        <v>397</v>
      </c>
      <c r="B133" t="s">
        <v>398</v>
      </c>
      <c r="C133" t="s">
        <v>24</v>
      </c>
      <c r="D133" t="s">
        <v>101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399</v>
      </c>
      <c r="B134" t="s">
        <v>400</v>
      </c>
      <c r="C134" t="s">
        <v>401</v>
      </c>
      <c r="D134" t="s">
        <v>402</v>
      </c>
      <c r="E134">
        <v>1</v>
      </c>
      <c r="F134">
        <v>55</v>
      </c>
      <c r="G134">
        <v>240</v>
      </c>
      <c r="H134">
        <v>122</v>
      </c>
      <c r="I134">
        <v>122</v>
      </c>
      <c r="J134">
        <v>173</v>
      </c>
    </row>
    <row r="135" spans="1:10" x14ac:dyDescent="0.25">
      <c r="A135" t="s">
        <v>50</v>
      </c>
      <c r="B135" t="s">
        <v>51</v>
      </c>
      <c r="C135" t="s">
        <v>49</v>
      </c>
      <c r="D135" t="s">
        <v>403</v>
      </c>
      <c r="E135">
        <v>1</v>
      </c>
      <c r="F135">
        <v>35</v>
      </c>
      <c r="G135">
        <v>96</v>
      </c>
      <c r="H135">
        <v>63</v>
      </c>
      <c r="I135">
        <v>63</v>
      </c>
      <c r="J135">
        <v>68</v>
      </c>
    </row>
    <row r="136" spans="1:10" x14ac:dyDescent="0.25">
      <c r="A136" t="s">
        <v>404</v>
      </c>
      <c r="B136" t="s">
        <v>405</v>
      </c>
      <c r="C136" t="s">
        <v>49</v>
      </c>
      <c r="D136" t="s">
        <v>116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406</v>
      </c>
      <c r="B137" t="s">
        <v>407</v>
      </c>
      <c r="C137" t="s">
        <v>49</v>
      </c>
      <c r="D137" t="s">
        <v>408</v>
      </c>
      <c r="E137">
        <v>1</v>
      </c>
      <c r="F137">
        <v>60</v>
      </c>
      <c r="G137">
        <v>147</v>
      </c>
      <c r="H137">
        <v>89</v>
      </c>
      <c r="I137">
        <v>89</v>
      </c>
      <c r="J137">
        <v>118</v>
      </c>
    </row>
    <row r="138" spans="1:10" x14ac:dyDescent="0.25">
      <c r="A138" t="s">
        <v>409</v>
      </c>
      <c r="B138" t="s">
        <v>410</v>
      </c>
      <c r="C138" t="s">
        <v>49</v>
      </c>
      <c r="D138" t="s">
        <v>408</v>
      </c>
      <c r="E138">
        <v>1</v>
      </c>
      <c r="F138">
        <v>42</v>
      </c>
      <c r="G138">
        <v>64</v>
      </c>
      <c r="H138">
        <v>46</v>
      </c>
      <c r="I138">
        <v>46</v>
      </c>
      <c r="J138">
        <v>60</v>
      </c>
    </row>
    <row r="139" spans="1:10" x14ac:dyDescent="0.25">
      <c r="A139" t="s">
        <v>411</v>
      </c>
      <c r="B139" t="s">
        <v>412</v>
      </c>
      <c r="C139" t="s">
        <v>49</v>
      </c>
      <c r="D139" t="s">
        <v>408</v>
      </c>
      <c r="E139">
        <v>1</v>
      </c>
      <c r="F139">
        <v>51</v>
      </c>
      <c r="G139">
        <v>96</v>
      </c>
      <c r="H139">
        <v>79</v>
      </c>
      <c r="I139">
        <v>79</v>
      </c>
      <c r="J139">
        <v>68</v>
      </c>
    </row>
    <row r="140" spans="1:10" x14ac:dyDescent="0.25">
      <c r="A140" t="s">
        <v>413</v>
      </c>
      <c r="B140" t="s">
        <v>414</v>
      </c>
      <c r="C140" t="s">
        <v>415</v>
      </c>
      <c r="D140" t="s">
        <v>119</v>
      </c>
      <c r="E140">
        <v>10</v>
      </c>
      <c r="F140">
        <v>3</v>
      </c>
      <c r="G140">
        <v>0</v>
      </c>
      <c r="H140">
        <v>0</v>
      </c>
      <c r="I140">
        <v>0</v>
      </c>
      <c r="J140">
        <v>3</v>
      </c>
    </row>
    <row r="141" spans="1:10" x14ac:dyDescent="0.25">
      <c r="A141" t="s">
        <v>416</v>
      </c>
      <c r="B141" t="s">
        <v>417</v>
      </c>
      <c r="C141" t="s">
        <v>415</v>
      </c>
      <c r="D141" t="s">
        <v>418</v>
      </c>
      <c r="E141">
        <v>12.5</v>
      </c>
      <c r="F141">
        <v>1.8399999999999999</v>
      </c>
      <c r="G141">
        <v>0</v>
      </c>
      <c r="H141">
        <v>0</v>
      </c>
      <c r="I141">
        <v>0</v>
      </c>
      <c r="J141">
        <v>1.8399999999999999</v>
      </c>
    </row>
    <row r="142" spans="1:10" x14ac:dyDescent="0.25">
      <c r="A142" t="s">
        <v>419</v>
      </c>
      <c r="B142" t="s">
        <v>420</v>
      </c>
      <c r="C142" t="s">
        <v>415</v>
      </c>
      <c r="D142" t="s">
        <v>418</v>
      </c>
      <c r="E142">
        <v>12.5</v>
      </c>
      <c r="F142">
        <v>3</v>
      </c>
      <c r="G142">
        <v>0</v>
      </c>
      <c r="H142">
        <v>12.5</v>
      </c>
      <c r="I142">
        <v>1</v>
      </c>
      <c r="J142">
        <v>2</v>
      </c>
    </row>
    <row r="143" spans="1:10" x14ac:dyDescent="0.25">
      <c r="A143" t="s">
        <v>421</v>
      </c>
      <c r="B143" t="s">
        <v>422</v>
      </c>
      <c r="C143" t="s">
        <v>415</v>
      </c>
      <c r="D143" t="s">
        <v>423</v>
      </c>
      <c r="E143">
        <v>12.5</v>
      </c>
      <c r="F143">
        <v>9</v>
      </c>
      <c r="G143">
        <v>0</v>
      </c>
      <c r="H143">
        <v>75</v>
      </c>
      <c r="I143">
        <v>6</v>
      </c>
      <c r="J143">
        <v>3</v>
      </c>
    </row>
    <row r="144" spans="1:10" x14ac:dyDescent="0.25">
      <c r="A144" t="s">
        <v>424</v>
      </c>
      <c r="B144" t="s">
        <v>425</v>
      </c>
      <c r="C144" t="s">
        <v>415</v>
      </c>
      <c r="D144" t="s">
        <v>423</v>
      </c>
      <c r="E144">
        <v>12.5</v>
      </c>
      <c r="F144">
        <v>12</v>
      </c>
      <c r="G144">
        <v>0</v>
      </c>
      <c r="H144">
        <v>87.5</v>
      </c>
      <c r="I144">
        <v>7</v>
      </c>
      <c r="J144">
        <v>5</v>
      </c>
    </row>
    <row r="145" spans="1:10" x14ac:dyDescent="0.25">
      <c r="A145" t="s">
        <v>426</v>
      </c>
      <c r="B145" t="s">
        <v>427</v>
      </c>
      <c r="C145" t="s">
        <v>415</v>
      </c>
      <c r="D145" t="s">
        <v>428</v>
      </c>
      <c r="E145">
        <v>11.34</v>
      </c>
      <c r="F145">
        <v>2.7936507936507935</v>
      </c>
      <c r="G145">
        <v>0</v>
      </c>
      <c r="H145">
        <v>0</v>
      </c>
      <c r="I145">
        <v>0</v>
      </c>
      <c r="J145">
        <v>2.7936507936507935</v>
      </c>
    </row>
    <row r="146" spans="1:10" x14ac:dyDescent="0.25">
      <c r="A146" t="s">
        <v>429</v>
      </c>
      <c r="B146" t="s">
        <v>430</v>
      </c>
      <c r="C146" t="s">
        <v>12</v>
      </c>
      <c r="D146" t="s">
        <v>431</v>
      </c>
      <c r="E146">
        <v>1</v>
      </c>
      <c r="F146">
        <v>9</v>
      </c>
      <c r="G146">
        <v>17</v>
      </c>
      <c r="H146">
        <v>16</v>
      </c>
      <c r="I146">
        <v>16</v>
      </c>
      <c r="J146">
        <v>10</v>
      </c>
    </row>
    <row r="147" spans="1:10" x14ac:dyDescent="0.25">
      <c r="A147" t="s">
        <v>432</v>
      </c>
      <c r="B147" t="s">
        <v>433</v>
      </c>
      <c r="C147" t="s">
        <v>12</v>
      </c>
      <c r="D147" t="s">
        <v>434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435</v>
      </c>
      <c r="B148" t="s">
        <v>436</v>
      </c>
      <c r="C148" t="s">
        <v>12</v>
      </c>
      <c r="D148" t="s">
        <v>437</v>
      </c>
      <c r="E148">
        <v>6</v>
      </c>
      <c r="F148">
        <v>69.166666666666671</v>
      </c>
      <c r="G148">
        <v>0</v>
      </c>
      <c r="H148">
        <v>54</v>
      </c>
      <c r="I148">
        <v>9</v>
      </c>
      <c r="J148">
        <v>60.166666666666671</v>
      </c>
    </row>
    <row r="149" spans="1:10" x14ac:dyDescent="0.25">
      <c r="A149" t="s">
        <v>438</v>
      </c>
      <c r="B149" t="s">
        <v>439</v>
      </c>
      <c r="C149" t="s">
        <v>12</v>
      </c>
      <c r="D149" t="s">
        <v>440</v>
      </c>
      <c r="E149">
        <v>1</v>
      </c>
      <c r="F149">
        <v>5</v>
      </c>
      <c r="G149">
        <v>0</v>
      </c>
      <c r="H149">
        <v>1</v>
      </c>
      <c r="I149">
        <v>1</v>
      </c>
      <c r="J149">
        <v>4</v>
      </c>
    </row>
    <row r="150" spans="1:10" x14ac:dyDescent="0.25">
      <c r="A150" t="s">
        <v>13</v>
      </c>
      <c r="B150" t="s">
        <v>441</v>
      </c>
      <c r="C150" t="s">
        <v>12</v>
      </c>
      <c r="D150" t="s">
        <v>442</v>
      </c>
      <c r="E150">
        <v>3</v>
      </c>
      <c r="F150">
        <v>46</v>
      </c>
      <c r="G150">
        <v>56</v>
      </c>
      <c r="H150">
        <v>123</v>
      </c>
      <c r="I150">
        <v>41</v>
      </c>
      <c r="J150">
        <v>61</v>
      </c>
    </row>
    <row r="151" spans="1:10" x14ac:dyDescent="0.25">
      <c r="A151" t="s">
        <v>443</v>
      </c>
      <c r="B151" t="s">
        <v>444</v>
      </c>
      <c r="C151" t="s">
        <v>445</v>
      </c>
      <c r="D151" t="s">
        <v>446</v>
      </c>
      <c r="E151">
        <v>6</v>
      </c>
      <c r="F151">
        <v>41.833333333333336</v>
      </c>
      <c r="G151">
        <v>0</v>
      </c>
      <c r="H151">
        <v>0</v>
      </c>
      <c r="I151">
        <v>0</v>
      </c>
      <c r="J151">
        <v>41.833333333333336</v>
      </c>
    </row>
    <row r="152" spans="1:10" x14ac:dyDescent="0.25">
      <c r="A152" t="s">
        <v>63</v>
      </c>
      <c r="B152" t="s">
        <v>64</v>
      </c>
      <c r="C152" t="s">
        <v>447</v>
      </c>
      <c r="D152" t="s">
        <v>448</v>
      </c>
      <c r="E152">
        <v>12</v>
      </c>
      <c r="F152">
        <v>25.5</v>
      </c>
      <c r="G152">
        <v>80</v>
      </c>
      <c r="H152">
        <v>817</v>
      </c>
      <c r="I152">
        <v>68.083333333333329</v>
      </c>
      <c r="J152">
        <v>37.416666666666671</v>
      </c>
    </row>
    <row r="153" spans="1:10" x14ac:dyDescent="0.25">
      <c r="A153" t="s">
        <v>449</v>
      </c>
      <c r="B153" t="s">
        <v>450</v>
      </c>
      <c r="C153" t="s">
        <v>451</v>
      </c>
      <c r="D153" t="s">
        <v>452</v>
      </c>
      <c r="E153">
        <v>20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453</v>
      </c>
      <c r="B154" t="s">
        <v>454</v>
      </c>
      <c r="C154" t="s">
        <v>451</v>
      </c>
      <c r="D154" t="s">
        <v>452</v>
      </c>
      <c r="E154">
        <v>20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455</v>
      </c>
      <c r="B155" t="s">
        <v>456</v>
      </c>
      <c r="C155" t="s">
        <v>451</v>
      </c>
      <c r="D155" t="s">
        <v>452</v>
      </c>
      <c r="E155">
        <v>20</v>
      </c>
      <c r="F155">
        <v>0</v>
      </c>
      <c r="G155">
        <v>38.370000000000005</v>
      </c>
      <c r="H155">
        <v>335</v>
      </c>
      <c r="I155">
        <v>16.75</v>
      </c>
      <c r="J155">
        <v>21.620000000000005</v>
      </c>
    </row>
    <row r="156" spans="1:10" x14ac:dyDescent="0.25">
      <c r="A156" t="s">
        <v>457</v>
      </c>
      <c r="B156" t="s">
        <v>458</v>
      </c>
      <c r="C156" t="s">
        <v>451</v>
      </c>
      <c r="D156" t="s">
        <v>452</v>
      </c>
      <c r="E156">
        <v>20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459</v>
      </c>
      <c r="B157" t="s">
        <v>460</v>
      </c>
      <c r="C157" t="s">
        <v>451</v>
      </c>
      <c r="D157" t="s">
        <v>452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461</v>
      </c>
      <c r="B158" t="s">
        <v>462</v>
      </c>
      <c r="C158" t="s">
        <v>451</v>
      </c>
      <c r="D158" t="s">
        <v>351</v>
      </c>
      <c r="E158">
        <v>1</v>
      </c>
      <c r="F158">
        <v>0</v>
      </c>
      <c r="G158">
        <v>525</v>
      </c>
      <c r="H158">
        <v>0</v>
      </c>
      <c r="I158">
        <v>0</v>
      </c>
      <c r="J158">
        <v>525</v>
      </c>
    </row>
    <row r="159" spans="1:10" x14ac:dyDescent="0.25">
      <c r="A159" t="s">
        <v>463</v>
      </c>
      <c r="B159" t="s">
        <v>464</v>
      </c>
      <c r="C159" t="s">
        <v>21</v>
      </c>
      <c r="D159" t="s">
        <v>465</v>
      </c>
      <c r="E159">
        <v>10</v>
      </c>
      <c r="F159">
        <v>17</v>
      </c>
      <c r="G159">
        <v>0</v>
      </c>
      <c r="H159">
        <v>50</v>
      </c>
      <c r="I159">
        <v>5</v>
      </c>
      <c r="J159">
        <v>12</v>
      </c>
    </row>
    <row r="160" spans="1:10" x14ac:dyDescent="0.25">
      <c r="A160" t="s">
        <v>466</v>
      </c>
      <c r="B160" t="s">
        <v>467</v>
      </c>
      <c r="C160" t="s">
        <v>21</v>
      </c>
      <c r="D160" t="s">
        <v>468</v>
      </c>
      <c r="E160">
        <v>22.7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469</v>
      </c>
      <c r="B161" t="s">
        <v>470</v>
      </c>
      <c r="C161" t="s">
        <v>21</v>
      </c>
      <c r="D161" t="s">
        <v>471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472</v>
      </c>
      <c r="B162" t="s">
        <v>473</v>
      </c>
      <c r="C162" t="s">
        <v>21</v>
      </c>
      <c r="D162" t="s">
        <v>93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22</v>
      </c>
      <c r="B163" t="s">
        <v>23</v>
      </c>
      <c r="C163" t="s">
        <v>21</v>
      </c>
      <c r="D163" t="s">
        <v>263</v>
      </c>
      <c r="E163">
        <v>1</v>
      </c>
      <c r="F163">
        <v>179</v>
      </c>
      <c r="G163">
        <v>504</v>
      </c>
      <c r="H163">
        <v>399</v>
      </c>
      <c r="I163">
        <v>399</v>
      </c>
      <c r="J163">
        <v>284</v>
      </c>
    </row>
    <row r="164" spans="1:10" x14ac:dyDescent="0.25">
      <c r="A164" t="s">
        <v>474</v>
      </c>
      <c r="B164" t="s">
        <v>475</v>
      </c>
      <c r="C164" t="s">
        <v>21</v>
      </c>
      <c r="D164" t="s">
        <v>476</v>
      </c>
      <c r="E164">
        <v>10</v>
      </c>
      <c r="F164">
        <v>0.9</v>
      </c>
      <c r="G164">
        <v>0</v>
      </c>
      <c r="H164">
        <v>1</v>
      </c>
      <c r="I164">
        <v>0.1</v>
      </c>
      <c r="J164">
        <v>0.8</v>
      </c>
    </row>
    <row r="165" spans="1:10" x14ac:dyDescent="0.25">
      <c r="A165" t="s">
        <v>477</v>
      </c>
      <c r="B165" t="s">
        <v>478</v>
      </c>
      <c r="C165" t="s">
        <v>21</v>
      </c>
      <c r="D165" t="s">
        <v>479</v>
      </c>
      <c r="E165">
        <v>1</v>
      </c>
      <c r="F165">
        <v>63</v>
      </c>
      <c r="G165">
        <v>0</v>
      </c>
      <c r="H165">
        <v>12</v>
      </c>
      <c r="I165">
        <v>12</v>
      </c>
      <c r="J165">
        <v>51</v>
      </c>
    </row>
    <row r="166" spans="1:10" x14ac:dyDescent="0.25">
      <c r="A166" t="s">
        <v>480</v>
      </c>
      <c r="B166" t="s">
        <v>481</v>
      </c>
      <c r="C166" t="s">
        <v>21</v>
      </c>
      <c r="D166" t="s">
        <v>479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482</v>
      </c>
      <c r="B167" t="s">
        <v>483</v>
      </c>
      <c r="C167" t="s">
        <v>484</v>
      </c>
      <c r="D167" t="s">
        <v>485</v>
      </c>
      <c r="E167">
        <v>1</v>
      </c>
      <c r="F167">
        <v>33</v>
      </c>
      <c r="G167">
        <v>0</v>
      </c>
      <c r="H167">
        <v>6</v>
      </c>
      <c r="I167">
        <v>6</v>
      </c>
      <c r="J167">
        <v>27</v>
      </c>
    </row>
    <row r="168" spans="1:10" x14ac:dyDescent="0.25">
      <c r="A168" t="s">
        <v>486</v>
      </c>
      <c r="B168" t="s">
        <v>487</v>
      </c>
      <c r="C168" t="s">
        <v>488</v>
      </c>
      <c r="D168" t="s">
        <v>489</v>
      </c>
      <c r="E168">
        <v>1</v>
      </c>
      <c r="F168">
        <v>30</v>
      </c>
      <c r="G168">
        <v>0</v>
      </c>
      <c r="H168">
        <v>0</v>
      </c>
      <c r="I168">
        <v>0</v>
      </c>
      <c r="J168">
        <v>30</v>
      </c>
    </row>
    <row r="169" spans="1:10" x14ac:dyDescent="0.25">
      <c r="A169" t="s">
        <v>490</v>
      </c>
      <c r="B169" t="s">
        <v>491</v>
      </c>
      <c r="C169" t="s">
        <v>492</v>
      </c>
      <c r="D169" t="s">
        <v>493</v>
      </c>
      <c r="E169">
        <v>10</v>
      </c>
      <c r="F169">
        <v>49.75</v>
      </c>
      <c r="G169">
        <v>0</v>
      </c>
      <c r="H169">
        <v>53</v>
      </c>
      <c r="I169">
        <v>5.3</v>
      </c>
      <c r="J169">
        <v>44.45</v>
      </c>
    </row>
    <row r="170" spans="1:10" x14ac:dyDescent="0.25">
      <c r="A170" t="s">
        <v>494</v>
      </c>
      <c r="B170" t="s">
        <v>495</v>
      </c>
      <c r="C170" t="s">
        <v>496</v>
      </c>
      <c r="D170" t="s">
        <v>497</v>
      </c>
      <c r="E170">
        <v>14</v>
      </c>
      <c r="F170">
        <v>2</v>
      </c>
      <c r="G170">
        <v>16</v>
      </c>
      <c r="H170">
        <v>2</v>
      </c>
      <c r="I170">
        <v>0.14285714285714285</v>
      </c>
      <c r="J170">
        <v>17.857142857142858</v>
      </c>
    </row>
    <row r="171" spans="1:10" x14ac:dyDescent="0.25">
      <c r="A171" t="s">
        <v>498</v>
      </c>
      <c r="B171" t="s">
        <v>499</v>
      </c>
      <c r="C171" t="s">
        <v>500</v>
      </c>
      <c r="D171" t="s">
        <v>501</v>
      </c>
      <c r="E171">
        <v>1</v>
      </c>
      <c r="F171">
        <v>0</v>
      </c>
      <c r="G171">
        <v>90</v>
      </c>
      <c r="H171">
        <v>0</v>
      </c>
      <c r="I171">
        <v>0</v>
      </c>
      <c r="J171">
        <v>90</v>
      </c>
    </row>
    <row r="172" spans="1:10" x14ac:dyDescent="0.25">
      <c r="A172" t="s">
        <v>502</v>
      </c>
      <c r="B172" t="s">
        <v>503</v>
      </c>
      <c r="C172" t="s">
        <v>500</v>
      </c>
      <c r="D172" t="s">
        <v>501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504</v>
      </c>
      <c r="B173" t="s">
        <v>505</v>
      </c>
      <c r="C173" t="s">
        <v>500</v>
      </c>
      <c r="D173" t="s">
        <v>501</v>
      </c>
      <c r="E173">
        <v>1</v>
      </c>
      <c r="F173">
        <v>14</v>
      </c>
      <c r="G173">
        <v>160</v>
      </c>
      <c r="H173">
        <v>69</v>
      </c>
      <c r="I173">
        <v>69</v>
      </c>
      <c r="J173">
        <v>105</v>
      </c>
    </row>
    <row r="174" spans="1:10" x14ac:dyDescent="0.25">
      <c r="A174" t="s">
        <v>506</v>
      </c>
      <c r="B174" t="s">
        <v>507</v>
      </c>
      <c r="C174" t="s">
        <v>500</v>
      </c>
      <c r="D174" t="s">
        <v>501</v>
      </c>
      <c r="E174">
        <v>1</v>
      </c>
      <c r="F174">
        <v>280</v>
      </c>
      <c r="G174">
        <v>0</v>
      </c>
      <c r="H174">
        <v>80</v>
      </c>
      <c r="I174">
        <v>80</v>
      </c>
      <c r="J174">
        <v>200</v>
      </c>
    </row>
    <row r="175" spans="1:10" x14ac:dyDescent="0.25">
      <c r="A175" t="s">
        <v>508</v>
      </c>
      <c r="B175" t="s">
        <v>509</v>
      </c>
      <c r="C175" t="s">
        <v>500</v>
      </c>
      <c r="D175" t="s">
        <v>510</v>
      </c>
      <c r="E175">
        <v>1</v>
      </c>
      <c r="F175">
        <v>0</v>
      </c>
      <c r="G175">
        <v>886</v>
      </c>
      <c r="H175">
        <v>393</v>
      </c>
      <c r="I175">
        <v>393</v>
      </c>
      <c r="J175">
        <v>493</v>
      </c>
    </row>
    <row r="176" spans="1:10" x14ac:dyDescent="0.25">
      <c r="A176" t="s">
        <v>511</v>
      </c>
      <c r="B176" t="s">
        <v>512</v>
      </c>
      <c r="C176" t="s">
        <v>500</v>
      </c>
      <c r="D176" t="s">
        <v>513</v>
      </c>
      <c r="E176">
        <v>1</v>
      </c>
      <c r="F176">
        <v>0</v>
      </c>
      <c r="G176">
        <v>280</v>
      </c>
      <c r="H176">
        <v>0</v>
      </c>
      <c r="I176">
        <v>0</v>
      </c>
      <c r="J176">
        <v>280</v>
      </c>
    </row>
    <row r="177" spans="1:10" x14ac:dyDescent="0.25">
      <c r="A177" t="s">
        <v>514</v>
      </c>
      <c r="B177" t="s">
        <v>515</v>
      </c>
      <c r="C177" t="s">
        <v>516</v>
      </c>
      <c r="D177" t="s">
        <v>199</v>
      </c>
      <c r="E177">
        <v>12.5</v>
      </c>
      <c r="F177">
        <v>63</v>
      </c>
      <c r="G177">
        <v>0</v>
      </c>
      <c r="H177">
        <v>266.5</v>
      </c>
      <c r="I177">
        <v>21.32</v>
      </c>
      <c r="J177">
        <v>41.68</v>
      </c>
    </row>
    <row r="178" spans="1:10" x14ac:dyDescent="0.25">
      <c r="A178" t="s">
        <v>517</v>
      </c>
      <c r="B178" t="s">
        <v>518</v>
      </c>
      <c r="C178" t="s">
        <v>59</v>
      </c>
      <c r="D178" t="s">
        <v>519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520</v>
      </c>
      <c r="B179" t="s">
        <v>521</v>
      </c>
      <c r="C179" t="s">
        <v>59</v>
      </c>
      <c r="D179" t="s">
        <v>522</v>
      </c>
      <c r="E179">
        <v>12</v>
      </c>
      <c r="F179">
        <v>52</v>
      </c>
      <c r="G179">
        <v>0</v>
      </c>
      <c r="H179">
        <v>138</v>
      </c>
      <c r="I179">
        <v>11.5</v>
      </c>
      <c r="J179">
        <v>40.5</v>
      </c>
    </row>
    <row r="180" spans="1:10" x14ac:dyDescent="0.25">
      <c r="A180" t="s">
        <v>523</v>
      </c>
      <c r="B180" t="s">
        <v>524</v>
      </c>
      <c r="C180" t="s">
        <v>59</v>
      </c>
      <c r="D180" t="s">
        <v>525</v>
      </c>
      <c r="E180">
        <v>1</v>
      </c>
      <c r="F180">
        <v>7</v>
      </c>
      <c r="G180">
        <v>10</v>
      </c>
      <c r="H180">
        <v>4</v>
      </c>
      <c r="I180">
        <v>4</v>
      </c>
      <c r="J180">
        <v>13</v>
      </c>
    </row>
    <row r="181" spans="1:10" x14ac:dyDescent="0.25">
      <c r="A181" t="s">
        <v>60</v>
      </c>
      <c r="B181" t="s">
        <v>61</v>
      </c>
      <c r="C181" t="s">
        <v>59</v>
      </c>
      <c r="D181" t="s">
        <v>526</v>
      </c>
      <c r="E181">
        <v>1</v>
      </c>
      <c r="F181">
        <v>28</v>
      </c>
      <c r="G181">
        <v>40</v>
      </c>
      <c r="H181">
        <v>21</v>
      </c>
      <c r="I181">
        <v>21</v>
      </c>
      <c r="J181">
        <v>47</v>
      </c>
    </row>
    <row r="182" spans="1:10" x14ac:dyDescent="0.25">
      <c r="A182" t="s">
        <v>527</v>
      </c>
      <c r="B182" t="s">
        <v>528</v>
      </c>
      <c r="C182" t="s">
        <v>59</v>
      </c>
      <c r="D182" t="s">
        <v>529</v>
      </c>
      <c r="E182">
        <v>1</v>
      </c>
      <c r="F182">
        <v>20.083333333333332</v>
      </c>
      <c r="G182">
        <v>0</v>
      </c>
      <c r="H182">
        <v>1.6666666666666665</v>
      </c>
      <c r="I182">
        <v>1.6666666666666665</v>
      </c>
      <c r="J182">
        <v>18.416666666666664</v>
      </c>
    </row>
    <row r="183" spans="1:10" x14ac:dyDescent="0.25">
      <c r="A183" t="s">
        <v>530</v>
      </c>
      <c r="B183" t="s">
        <v>531</v>
      </c>
      <c r="C183" t="s">
        <v>59</v>
      </c>
      <c r="D183" t="s">
        <v>448</v>
      </c>
      <c r="E183">
        <v>1</v>
      </c>
      <c r="F183">
        <v>9.0833333333333339</v>
      </c>
      <c r="G183">
        <v>0</v>
      </c>
      <c r="H183">
        <v>1.9166666666666665</v>
      </c>
      <c r="I183">
        <v>1.9166666666666665</v>
      </c>
      <c r="J183">
        <v>7.1666666666666679</v>
      </c>
    </row>
    <row r="184" spans="1:10" x14ac:dyDescent="0.25">
      <c r="A184" t="s">
        <v>532</v>
      </c>
      <c r="B184" t="s">
        <v>533</v>
      </c>
      <c r="C184" t="s">
        <v>59</v>
      </c>
      <c r="D184" t="s">
        <v>534</v>
      </c>
      <c r="E184">
        <v>4</v>
      </c>
      <c r="F184">
        <v>14.25</v>
      </c>
      <c r="G184">
        <v>0</v>
      </c>
      <c r="H184">
        <v>9</v>
      </c>
      <c r="I184">
        <v>2.25</v>
      </c>
      <c r="J184">
        <v>12</v>
      </c>
    </row>
    <row r="185" spans="1:10" x14ac:dyDescent="0.25">
      <c r="A185" t="s">
        <v>535</v>
      </c>
      <c r="B185" t="s">
        <v>536</v>
      </c>
      <c r="C185" t="s">
        <v>537</v>
      </c>
      <c r="D185" t="s">
        <v>538</v>
      </c>
      <c r="E185">
        <v>1</v>
      </c>
      <c r="F185">
        <v>750</v>
      </c>
      <c r="G185">
        <v>750</v>
      </c>
      <c r="H185">
        <v>875</v>
      </c>
      <c r="I185">
        <v>875</v>
      </c>
      <c r="J185">
        <v>625</v>
      </c>
    </row>
    <row r="186" spans="1:10" x14ac:dyDescent="0.25">
      <c r="A186" t="s">
        <v>539</v>
      </c>
      <c r="B186" t="s">
        <v>540</v>
      </c>
      <c r="C186" t="s">
        <v>541</v>
      </c>
      <c r="D186" t="s">
        <v>119</v>
      </c>
      <c r="E186">
        <v>1</v>
      </c>
      <c r="F186">
        <v>5</v>
      </c>
      <c r="G186">
        <v>311</v>
      </c>
      <c r="H186">
        <v>276</v>
      </c>
      <c r="I186">
        <v>276</v>
      </c>
      <c r="J186">
        <v>40</v>
      </c>
    </row>
    <row r="187" spans="1:10" x14ac:dyDescent="0.25">
      <c r="A187" t="s">
        <v>542</v>
      </c>
      <c r="B187" t="s">
        <v>543</v>
      </c>
      <c r="C187" t="s">
        <v>541</v>
      </c>
      <c r="D187" t="s">
        <v>119</v>
      </c>
      <c r="E187">
        <v>1</v>
      </c>
      <c r="F187">
        <v>92</v>
      </c>
      <c r="G187">
        <v>0</v>
      </c>
      <c r="H187">
        <v>23</v>
      </c>
      <c r="I187">
        <v>23</v>
      </c>
      <c r="J187">
        <v>69</v>
      </c>
    </row>
    <row r="188" spans="1:10" x14ac:dyDescent="0.25">
      <c r="A188" t="s">
        <v>544</v>
      </c>
      <c r="B188" t="s">
        <v>545</v>
      </c>
      <c r="C188" t="s">
        <v>541</v>
      </c>
      <c r="D188" t="s">
        <v>119</v>
      </c>
      <c r="E188">
        <v>1</v>
      </c>
      <c r="F188">
        <v>6</v>
      </c>
      <c r="G188">
        <v>5</v>
      </c>
      <c r="H188">
        <v>3</v>
      </c>
      <c r="I188">
        <v>3</v>
      </c>
      <c r="J188">
        <v>8</v>
      </c>
    </row>
    <row r="189" spans="1:10" x14ac:dyDescent="0.25">
      <c r="A189" t="s">
        <v>546</v>
      </c>
      <c r="B189" t="s">
        <v>547</v>
      </c>
      <c r="C189" t="s">
        <v>541</v>
      </c>
      <c r="D189" t="s">
        <v>548</v>
      </c>
      <c r="E189">
        <v>1</v>
      </c>
      <c r="F189">
        <v>51</v>
      </c>
      <c r="G189">
        <v>262</v>
      </c>
      <c r="H189">
        <v>286</v>
      </c>
      <c r="I189">
        <v>286</v>
      </c>
      <c r="J189">
        <v>27</v>
      </c>
    </row>
    <row r="190" spans="1:10" x14ac:dyDescent="0.25">
      <c r="A190" t="s">
        <v>549</v>
      </c>
      <c r="B190" t="s">
        <v>550</v>
      </c>
      <c r="C190" t="s">
        <v>541</v>
      </c>
      <c r="D190" t="s">
        <v>548</v>
      </c>
      <c r="E190">
        <v>1</v>
      </c>
      <c r="F190">
        <v>5</v>
      </c>
      <c r="G190">
        <v>232</v>
      </c>
      <c r="H190">
        <v>197</v>
      </c>
      <c r="I190">
        <v>197</v>
      </c>
      <c r="J190">
        <v>40</v>
      </c>
    </row>
    <row r="191" spans="1:10" x14ac:dyDescent="0.25">
      <c r="A191" t="s">
        <v>551</v>
      </c>
      <c r="B191" t="s">
        <v>552</v>
      </c>
      <c r="C191" t="s">
        <v>541</v>
      </c>
      <c r="D191" t="s">
        <v>548</v>
      </c>
      <c r="E191">
        <v>1</v>
      </c>
      <c r="F191">
        <v>19</v>
      </c>
      <c r="G191">
        <v>131</v>
      </c>
      <c r="H191">
        <v>121</v>
      </c>
      <c r="I191">
        <v>121</v>
      </c>
      <c r="J191">
        <v>29</v>
      </c>
    </row>
    <row r="192" spans="1:10" x14ac:dyDescent="0.25">
      <c r="A192" t="s">
        <v>553</v>
      </c>
      <c r="B192" t="s">
        <v>554</v>
      </c>
      <c r="C192" t="s">
        <v>541</v>
      </c>
      <c r="D192" t="s">
        <v>119</v>
      </c>
      <c r="E192">
        <v>1</v>
      </c>
      <c r="F192">
        <v>31</v>
      </c>
      <c r="G192">
        <v>0</v>
      </c>
      <c r="H192">
        <v>0</v>
      </c>
      <c r="I192">
        <v>0</v>
      </c>
      <c r="J192">
        <v>31</v>
      </c>
    </row>
    <row r="193" spans="1:10" x14ac:dyDescent="0.25">
      <c r="A193" t="s">
        <v>555</v>
      </c>
      <c r="B193" t="s">
        <v>556</v>
      </c>
      <c r="C193" t="s">
        <v>541</v>
      </c>
      <c r="D193" t="s">
        <v>119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557</v>
      </c>
      <c r="B194" t="s">
        <v>558</v>
      </c>
      <c r="C194" t="s">
        <v>541</v>
      </c>
      <c r="D194" t="s">
        <v>119</v>
      </c>
      <c r="E194">
        <v>1</v>
      </c>
      <c r="F194">
        <v>9</v>
      </c>
      <c r="G194">
        <v>0</v>
      </c>
      <c r="H194">
        <v>0</v>
      </c>
      <c r="I194">
        <v>0</v>
      </c>
      <c r="J194">
        <v>9</v>
      </c>
    </row>
    <row r="195" spans="1:10" x14ac:dyDescent="0.25">
      <c r="A195" t="s">
        <v>559</v>
      </c>
      <c r="B195" t="s">
        <v>560</v>
      </c>
      <c r="C195" t="s">
        <v>541</v>
      </c>
      <c r="D195" t="s">
        <v>119</v>
      </c>
      <c r="E195">
        <v>1</v>
      </c>
      <c r="F195">
        <v>120</v>
      </c>
      <c r="G195">
        <v>782</v>
      </c>
      <c r="H195">
        <v>901</v>
      </c>
      <c r="I195">
        <v>901</v>
      </c>
      <c r="J195">
        <v>1</v>
      </c>
    </row>
    <row r="196" spans="1:10" x14ac:dyDescent="0.25">
      <c r="A196" t="s">
        <v>561</v>
      </c>
      <c r="B196" t="s">
        <v>562</v>
      </c>
      <c r="C196" t="s">
        <v>541</v>
      </c>
      <c r="D196" t="s">
        <v>119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563</v>
      </c>
      <c r="B197" t="s">
        <v>564</v>
      </c>
      <c r="C197" t="s">
        <v>541</v>
      </c>
      <c r="D197" t="s">
        <v>263</v>
      </c>
      <c r="E197">
        <v>1</v>
      </c>
      <c r="F197">
        <v>5</v>
      </c>
      <c r="G197">
        <v>53</v>
      </c>
      <c r="H197">
        <v>30</v>
      </c>
      <c r="I197">
        <v>30</v>
      </c>
      <c r="J197">
        <v>28</v>
      </c>
    </row>
    <row r="198" spans="1:10" x14ac:dyDescent="0.25">
      <c r="A198" t="s">
        <v>565</v>
      </c>
      <c r="B198" t="s">
        <v>566</v>
      </c>
      <c r="C198" t="s">
        <v>541</v>
      </c>
      <c r="D198" t="s">
        <v>263</v>
      </c>
      <c r="E198">
        <v>1</v>
      </c>
      <c r="F198">
        <v>21</v>
      </c>
      <c r="G198">
        <v>0</v>
      </c>
      <c r="H198">
        <v>0</v>
      </c>
      <c r="I198">
        <v>0</v>
      </c>
      <c r="J198">
        <v>21</v>
      </c>
    </row>
    <row r="199" spans="1:10" x14ac:dyDescent="0.25">
      <c r="A199" t="s">
        <v>567</v>
      </c>
      <c r="B199" t="s">
        <v>568</v>
      </c>
      <c r="C199" t="s">
        <v>541</v>
      </c>
      <c r="D199" t="s">
        <v>263</v>
      </c>
      <c r="E199">
        <v>1</v>
      </c>
      <c r="F199">
        <v>41</v>
      </c>
      <c r="G199">
        <v>0</v>
      </c>
      <c r="H199">
        <v>0</v>
      </c>
      <c r="I199">
        <v>0</v>
      </c>
      <c r="J199">
        <v>41</v>
      </c>
    </row>
    <row r="200" spans="1:10" x14ac:dyDescent="0.25">
      <c r="A200" t="s">
        <v>569</v>
      </c>
      <c r="B200" t="s">
        <v>570</v>
      </c>
      <c r="C200" t="s">
        <v>541</v>
      </c>
      <c r="D200" t="s">
        <v>263</v>
      </c>
      <c r="E200">
        <v>1</v>
      </c>
      <c r="F200">
        <v>54</v>
      </c>
      <c r="G200">
        <v>218</v>
      </c>
      <c r="H200">
        <v>260</v>
      </c>
      <c r="I200">
        <v>260</v>
      </c>
      <c r="J200">
        <v>12</v>
      </c>
    </row>
    <row r="201" spans="1:10" x14ac:dyDescent="0.25">
      <c r="A201" t="s">
        <v>571</v>
      </c>
      <c r="B201" t="s">
        <v>572</v>
      </c>
      <c r="C201" t="s">
        <v>573</v>
      </c>
      <c r="D201" t="s">
        <v>263</v>
      </c>
      <c r="E201">
        <v>1</v>
      </c>
      <c r="F201">
        <v>0</v>
      </c>
      <c r="G201">
        <v>27.130000000000003</v>
      </c>
      <c r="H201">
        <v>27.130000000000003</v>
      </c>
      <c r="I201">
        <v>27.130000000000003</v>
      </c>
      <c r="J201">
        <v>0</v>
      </c>
    </row>
    <row r="202" spans="1:10" x14ac:dyDescent="0.25">
      <c r="A202" t="s">
        <v>574</v>
      </c>
      <c r="B202" t="s">
        <v>575</v>
      </c>
      <c r="C202" t="s">
        <v>573</v>
      </c>
      <c r="D202" t="s">
        <v>263</v>
      </c>
      <c r="E202">
        <v>1</v>
      </c>
      <c r="F202">
        <v>0</v>
      </c>
      <c r="G202">
        <v>1207</v>
      </c>
      <c r="H202">
        <v>1207</v>
      </c>
      <c r="I202">
        <v>1207</v>
      </c>
      <c r="J202">
        <v>0</v>
      </c>
    </row>
    <row r="203" spans="1:10" x14ac:dyDescent="0.25">
      <c r="A203" t="s">
        <v>576</v>
      </c>
      <c r="B203" t="s">
        <v>577</v>
      </c>
      <c r="C203" t="s">
        <v>573</v>
      </c>
      <c r="D203" t="s">
        <v>263</v>
      </c>
      <c r="E203">
        <v>1</v>
      </c>
      <c r="F203">
        <v>0</v>
      </c>
      <c r="G203">
        <v>231.6</v>
      </c>
      <c r="H203">
        <v>231.6</v>
      </c>
      <c r="I203">
        <v>231.6</v>
      </c>
      <c r="J203">
        <v>0</v>
      </c>
    </row>
    <row r="204" spans="1:10" x14ac:dyDescent="0.25">
      <c r="A204" t="s">
        <v>578</v>
      </c>
      <c r="B204" t="s">
        <v>579</v>
      </c>
      <c r="C204" t="s">
        <v>573</v>
      </c>
      <c r="D204" t="s">
        <v>263</v>
      </c>
      <c r="E204">
        <v>1</v>
      </c>
      <c r="F204">
        <v>0</v>
      </c>
      <c r="G204">
        <v>58.7</v>
      </c>
      <c r="H204">
        <v>58.7</v>
      </c>
      <c r="I204">
        <v>58.7</v>
      </c>
      <c r="J204">
        <v>0</v>
      </c>
    </row>
    <row r="205" spans="1:10" x14ac:dyDescent="0.25">
      <c r="A205" t="s">
        <v>580</v>
      </c>
      <c r="B205" t="s">
        <v>31</v>
      </c>
      <c r="C205" t="s">
        <v>573</v>
      </c>
      <c r="D205" t="s">
        <v>581</v>
      </c>
      <c r="E205">
        <v>1</v>
      </c>
      <c r="F205">
        <v>0</v>
      </c>
      <c r="G205">
        <v>65.44</v>
      </c>
      <c r="H205">
        <v>65.44</v>
      </c>
      <c r="I205">
        <v>65.44</v>
      </c>
      <c r="J205">
        <v>0</v>
      </c>
    </row>
    <row r="206" spans="1:10" x14ac:dyDescent="0.25">
      <c r="A206" t="s">
        <v>582</v>
      </c>
      <c r="B206" t="s">
        <v>583</v>
      </c>
      <c r="C206" t="s">
        <v>573</v>
      </c>
      <c r="D206" t="s">
        <v>263</v>
      </c>
      <c r="E206">
        <v>1</v>
      </c>
      <c r="F206">
        <v>0</v>
      </c>
      <c r="G206">
        <v>73.45</v>
      </c>
      <c r="H206">
        <v>73.45</v>
      </c>
      <c r="I206">
        <v>73.45</v>
      </c>
      <c r="J206">
        <v>0</v>
      </c>
    </row>
    <row r="207" spans="1:10" x14ac:dyDescent="0.25">
      <c r="A207" t="s">
        <v>584</v>
      </c>
      <c r="B207" t="s">
        <v>585</v>
      </c>
      <c r="C207" t="s">
        <v>573</v>
      </c>
      <c r="D207" t="s">
        <v>581</v>
      </c>
      <c r="E207">
        <v>1</v>
      </c>
      <c r="F207">
        <v>0</v>
      </c>
      <c r="G207">
        <v>5.49</v>
      </c>
      <c r="H207">
        <v>5.49</v>
      </c>
      <c r="I207">
        <v>5.49</v>
      </c>
      <c r="J207">
        <v>0</v>
      </c>
    </row>
    <row r="208" spans="1:10" x14ac:dyDescent="0.25">
      <c r="A208" t="s">
        <v>586</v>
      </c>
      <c r="B208" t="s">
        <v>587</v>
      </c>
      <c r="C208" t="s">
        <v>573</v>
      </c>
      <c r="D208" t="s">
        <v>263</v>
      </c>
      <c r="E208">
        <v>1</v>
      </c>
      <c r="F208">
        <v>0</v>
      </c>
      <c r="G208">
        <v>721</v>
      </c>
      <c r="H208">
        <v>721</v>
      </c>
      <c r="I208">
        <v>721</v>
      </c>
      <c r="J208">
        <v>0</v>
      </c>
    </row>
    <row r="209" spans="1:10" x14ac:dyDescent="0.25">
      <c r="A209" t="s">
        <v>588</v>
      </c>
      <c r="B209" t="s">
        <v>589</v>
      </c>
      <c r="C209" t="s">
        <v>573</v>
      </c>
      <c r="D209" t="s">
        <v>581</v>
      </c>
      <c r="E209">
        <v>1</v>
      </c>
      <c r="F209">
        <v>0</v>
      </c>
      <c r="G209">
        <v>86.59</v>
      </c>
      <c r="H209">
        <v>86.59</v>
      </c>
      <c r="I209">
        <v>86.59</v>
      </c>
      <c r="J209">
        <v>0</v>
      </c>
    </row>
    <row r="210" spans="1:10" x14ac:dyDescent="0.25">
      <c r="A210" t="s">
        <v>590</v>
      </c>
      <c r="B210" t="s">
        <v>591</v>
      </c>
      <c r="C210" t="s">
        <v>573</v>
      </c>
      <c r="D210" t="s">
        <v>263</v>
      </c>
      <c r="E210">
        <v>1</v>
      </c>
      <c r="F210">
        <v>0</v>
      </c>
      <c r="G210">
        <v>147.60999999999999</v>
      </c>
      <c r="H210">
        <v>147.60999999999999</v>
      </c>
      <c r="I210">
        <v>147.60999999999999</v>
      </c>
      <c r="J210">
        <v>0</v>
      </c>
    </row>
    <row r="211" spans="1:10" x14ac:dyDescent="0.25">
      <c r="A211" t="s">
        <v>592</v>
      </c>
      <c r="B211" t="s">
        <v>593</v>
      </c>
      <c r="C211" t="s">
        <v>573</v>
      </c>
      <c r="D211" t="s">
        <v>263</v>
      </c>
      <c r="E211">
        <v>1</v>
      </c>
      <c r="F211">
        <v>0</v>
      </c>
      <c r="G211">
        <v>188</v>
      </c>
      <c r="H211">
        <v>188</v>
      </c>
      <c r="I211">
        <v>188</v>
      </c>
      <c r="J211">
        <v>0</v>
      </c>
    </row>
    <row r="212" spans="1:10" x14ac:dyDescent="0.25">
      <c r="A212" t="s">
        <v>594</v>
      </c>
      <c r="B212" t="s">
        <v>595</v>
      </c>
      <c r="C212" t="s">
        <v>573</v>
      </c>
      <c r="D212" t="s">
        <v>581</v>
      </c>
      <c r="E212">
        <v>1</v>
      </c>
      <c r="F212">
        <v>0</v>
      </c>
      <c r="G212">
        <v>3.6100000000000008</v>
      </c>
      <c r="H212">
        <v>3.6100000000000008</v>
      </c>
      <c r="I212">
        <v>3.6100000000000008</v>
      </c>
      <c r="J212">
        <v>0</v>
      </c>
    </row>
    <row r="213" spans="1:10" x14ac:dyDescent="0.25">
      <c r="A213" t="s">
        <v>596</v>
      </c>
      <c r="B213" t="s">
        <v>597</v>
      </c>
      <c r="C213" t="s">
        <v>573</v>
      </c>
      <c r="D213" t="s">
        <v>581</v>
      </c>
      <c r="E213">
        <v>1</v>
      </c>
      <c r="F213">
        <v>0</v>
      </c>
      <c r="G213">
        <v>7.28</v>
      </c>
      <c r="H213">
        <v>7.28</v>
      </c>
      <c r="I213">
        <v>7.28</v>
      </c>
      <c r="J213">
        <v>0</v>
      </c>
    </row>
    <row r="214" spans="1:10" x14ac:dyDescent="0.25">
      <c r="A214" t="s">
        <v>598</v>
      </c>
      <c r="B214" t="s">
        <v>599</v>
      </c>
      <c r="C214" t="s">
        <v>573</v>
      </c>
      <c r="D214" t="s">
        <v>581</v>
      </c>
      <c r="E214">
        <v>1</v>
      </c>
      <c r="F214">
        <v>0</v>
      </c>
      <c r="G214">
        <v>0.65200000000000002</v>
      </c>
      <c r="H214">
        <v>0.65200000000000002</v>
      </c>
      <c r="I214">
        <v>0.65200000000000002</v>
      </c>
      <c r="J214">
        <v>0</v>
      </c>
    </row>
    <row r="215" spans="1:10" x14ac:dyDescent="0.25">
      <c r="A215" t="s">
        <v>600</v>
      </c>
      <c r="B215" t="s">
        <v>601</v>
      </c>
      <c r="C215" t="s">
        <v>573</v>
      </c>
      <c r="D215" t="s">
        <v>581</v>
      </c>
      <c r="E215">
        <v>1</v>
      </c>
      <c r="F215">
        <v>0</v>
      </c>
      <c r="G215">
        <v>11.991999999999999</v>
      </c>
      <c r="H215">
        <v>11.991999999999999</v>
      </c>
      <c r="I215">
        <v>11.991999999999999</v>
      </c>
      <c r="J215">
        <v>0</v>
      </c>
    </row>
    <row r="216" spans="1:10" x14ac:dyDescent="0.25">
      <c r="A216" t="s">
        <v>602</v>
      </c>
      <c r="B216" t="s">
        <v>603</v>
      </c>
      <c r="C216" t="s">
        <v>573</v>
      </c>
      <c r="D216" t="s">
        <v>263</v>
      </c>
      <c r="E216">
        <v>1</v>
      </c>
      <c r="F216">
        <v>0</v>
      </c>
      <c r="G216">
        <v>31.080000000000002</v>
      </c>
      <c r="H216">
        <v>31.080000000000002</v>
      </c>
      <c r="I216">
        <v>31.080000000000002</v>
      </c>
      <c r="J216">
        <v>0</v>
      </c>
    </row>
    <row r="217" spans="1:10" x14ac:dyDescent="0.25">
      <c r="A217" t="s">
        <v>604</v>
      </c>
      <c r="B217" t="s">
        <v>605</v>
      </c>
      <c r="C217" t="s">
        <v>573</v>
      </c>
      <c r="D217" t="s">
        <v>581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606</v>
      </c>
      <c r="B218" t="s">
        <v>607</v>
      </c>
      <c r="C218" t="s">
        <v>573</v>
      </c>
      <c r="D218" t="s">
        <v>581</v>
      </c>
      <c r="E218">
        <v>1</v>
      </c>
      <c r="F218">
        <v>0</v>
      </c>
      <c r="G218">
        <v>166</v>
      </c>
      <c r="H218">
        <v>166</v>
      </c>
      <c r="I218">
        <v>166</v>
      </c>
      <c r="J218">
        <v>0</v>
      </c>
    </row>
    <row r="219" spans="1:10" x14ac:dyDescent="0.25">
      <c r="A219" t="s">
        <v>608</v>
      </c>
      <c r="B219" t="s">
        <v>609</v>
      </c>
      <c r="C219" t="s">
        <v>573</v>
      </c>
      <c r="D219" t="s">
        <v>263</v>
      </c>
      <c r="E219">
        <v>1</v>
      </c>
      <c r="F219">
        <v>0</v>
      </c>
      <c r="G219">
        <v>2513</v>
      </c>
      <c r="H219">
        <v>2513</v>
      </c>
      <c r="I219">
        <v>2513</v>
      </c>
      <c r="J219">
        <v>0</v>
      </c>
    </row>
    <row r="220" spans="1:10" x14ac:dyDescent="0.25">
      <c r="A220" t="s">
        <v>610</v>
      </c>
      <c r="B220" t="s">
        <v>611</v>
      </c>
      <c r="C220" t="s">
        <v>573</v>
      </c>
      <c r="D220" t="s">
        <v>581</v>
      </c>
      <c r="E220">
        <v>1</v>
      </c>
      <c r="F220">
        <v>0</v>
      </c>
      <c r="G220">
        <v>10.68</v>
      </c>
      <c r="H220">
        <v>10.68</v>
      </c>
      <c r="I220">
        <v>10.68</v>
      </c>
      <c r="J220">
        <v>0</v>
      </c>
    </row>
    <row r="221" spans="1:10" x14ac:dyDescent="0.25">
      <c r="A221" t="s">
        <v>612</v>
      </c>
      <c r="B221" t="s">
        <v>613</v>
      </c>
      <c r="C221" t="s">
        <v>573</v>
      </c>
      <c r="D221" t="s">
        <v>581</v>
      </c>
      <c r="E221">
        <v>1</v>
      </c>
      <c r="F221">
        <v>0</v>
      </c>
      <c r="G221">
        <v>7.97</v>
      </c>
      <c r="H221">
        <v>7.97</v>
      </c>
      <c r="I221">
        <v>7.97</v>
      </c>
      <c r="J221">
        <v>0</v>
      </c>
    </row>
    <row r="222" spans="1:10" x14ac:dyDescent="0.25">
      <c r="A222" t="s">
        <v>614</v>
      </c>
      <c r="B222" t="s">
        <v>615</v>
      </c>
      <c r="C222" t="s">
        <v>573</v>
      </c>
      <c r="D222" t="s">
        <v>263</v>
      </c>
      <c r="E222">
        <v>1</v>
      </c>
      <c r="F222">
        <v>0</v>
      </c>
      <c r="G222">
        <v>6.12</v>
      </c>
      <c r="H222">
        <v>6.12</v>
      </c>
      <c r="I222">
        <v>6.12</v>
      </c>
      <c r="J222">
        <v>0</v>
      </c>
    </row>
    <row r="223" spans="1:10" x14ac:dyDescent="0.25">
      <c r="A223" t="s">
        <v>616</v>
      </c>
      <c r="B223" t="s">
        <v>617</v>
      </c>
      <c r="C223" t="s">
        <v>573</v>
      </c>
      <c r="D223" t="s">
        <v>351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618</v>
      </c>
      <c r="B224" t="s">
        <v>619</v>
      </c>
      <c r="C224" t="s">
        <v>620</v>
      </c>
      <c r="D224" t="s">
        <v>621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622</v>
      </c>
      <c r="B225" t="s">
        <v>623</v>
      </c>
      <c r="C225" t="s">
        <v>620</v>
      </c>
      <c r="D225" t="s">
        <v>621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624</v>
      </c>
      <c r="B226" t="s">
        <v>625</v>
      </c>
      <c r="C226" t="s">
        <v>620</v>
      </c>
      <c r="D226" t="s">
        <v>621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626</v>
      </c>
      <c r="B227" t="s">
        <v>627</v>
      </c>
      <c r="C227" t="s">
        <v>620</v>
      </c>
      <c r="D227" t="s">
        <v>621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628</v>
      </c>
      <c r="B228" t="s">
        <v>629</v>
      </c>
      <c r="C228" t="s">
        <v>620</v>
      </c>
      <c r="D228" t="s">
        <v>621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630</v>
      </c>
      <c r="B229" t="s">
        <v>631</v>
      </c>
      <c r="C229" t="s">
        <v>632</v>
      </c>
      <c r="D229" t="s">
        <v>633</v>
      </c>
      <c r="E229">
        <v>1</v>
      </c>
      <c r="F229">
        <v>0</v>
      </c>
      <c r="G229">
        <v>6370</v>
      </c>
      <c r="H229">
        <v>0</v>
      </c>
      <c r="I229">
        <v>0</v>
      </c>
      <c r="J229">
        <v>6370</v>
      </c>
    </row>
    <row r="230" spans="1:10" x14ac:dyDescent="0.25">
      <c r="A230" t="s">
        <v>634</v>
      </c>
      <c r="B230" t="s">
        <v>635</v>
      </c>
      <c r="C230" t="s">
        <v>636</v>
      </c>
      <c r="D230" t="s">
        <v>637</v>
      </c>
      <c r="E230">
        <v>20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638</v>
      </c>
      <c r="B231" t="s">
        <v>639</v>
      </c>
      <c r="C231" t="s">
        <v>640</v>
      </c>
      <c r="D231" t="s">
        <v>641</v>
      </c>
      <c r="E231">
        <v>25</v>
      </c>
      <c r="F231">
        <v>1.8</v>
      </c>
      <c r="G231">
        <v>0</v>
      </c>
      <c r="H231">
        <v>4</v>
      </c>
      <c r="I231">
        <v>0.16</v>
      </c>
      <c r="J231">
        <v>1.6400000000000001</v>
      </c>
    </row>
    <row r="232" spans="1:10" x14ac:dyDescent="0.25">
      <c r="A232" t="s">
        <v>642</v>
      </c>
      <c r="B232" t="s">
        <v>643</v>
      </c>
      <c r="C232" t="s">
        <v>640</v>
      </c>
      <c r="D232" t="s">
        <v>644</v>
      </c>
      <c r="E232">
        <v>6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645</v>
      </c>
      <c r="B233" t="s">
        <v>646</v>
      </c>
      <c r="C233" t="s">
        <v>640</v>
      </c>
      <c r="D233" t="s">
        <v>86</v>
      </c>
      <c r="E233">
        <v>25</v>
      </c>
      <c r="F233">
        <v>3</v>
      </c>
      <c r="G233">
        <v>2</v>
      </c>
      <c r="H233">
        <v>33.5</v>
      </c>
      <c r="I233">
        <v>1.34</v>
      </c>
      <c r="J233">
        <v>3.66</v>
      </c>
    </row>
    <row r="234" spans="1:10" x14ac:dyDescent="0.25">
      <c r="A234" t="s">
        <v>647</v>
      </c>
      <c r="B234" t="s">
        <v>648</v>
      </c>
      <c r="C234" t="s">
        <v>640</v>
      </c>
      <c r="D234" t="s">
        <v>86</v>
      </c>
      <c r="E234">
        <v>25</v>
      </c>
      <c r="F234">
        <v>1.74</v>
      </c>
      <c r="G234">
        <v>0</v>
      </c>
      <c r="H234">
        <v>0</v>
      </c>
      <c r="I234">
        <v>0</v>
      </c>
      <c r="J234">
        <v>1.74</v>
      </c>
    </row>
    <row r="235" spans="1:10" x14ac:dyDescent="0.25">
      <c r="A235" t="s">
        <v>649</v>
      </c>
      <c r="B235" t="s">
        <v>650</v>
      </c>
      <c r="C235" t="s">
        <v>640</v>
      </c>
      <c r="D235" t="s">
        <v>119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651</v>
      </c>
      <c r="B236" t="s">
        <v>652</v>
      </c>
      <c r="C236" t="s">
        <v>640</v>
      </c>
      <c r="D236" t="s">
        <v>653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654</v>
      </c>
      <c r="B237" t="s">
        <v>655</v>
      </c>
      <c r="C237" t="s">
        <v>640</v>
      </c>
      <c r="D237" t="s">
        <v>641</v>
      </c>
      <c r="E237">
        <v>25</v>
      </c>
      <c r="F237">
        <v>4</v>
      </c>
      <c r="G237">
        <v>0</v>
      </c>
      <c r="H237">
        <v>0</v>
      </c>
      <c r="I237">
        <v>0</v>
      </c>
      <c r="J237">
        <v>4</v>
      </c>
    </row>
    <row r="238" spans="1:10" x14ac:dyDescent="0.25">
      <c r="A238" t="s">
        <v>656</v>
      </c>
      <c r="B238" t="s">
        <v>657</v>
      </c>
      <c r="C238" t="s">
        <v>640</v>
      </c>
      <c r="D238" t="s">
        <v>658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659</v>
      </c>
      <c r="B239" t="s">
        <v>660</v>
      </c>
      <c r="C239" t="s">
        <v>640</v>
      </c>
      <c r="D239" t="s">
        <v>661</v>
      </c>
      <c r="E239">
        <v>20</v>
      </c>
      <c r="F239">
        <v>1.75</v>
      </c>
      <c r="G239">
        <v>3</v>
      </c>
      <c r="H239">
        <v>12</v>
      </c>
      <c r="I239">
        <v>0.6</v>
      </c>
      <c r="J239">
        <v>4.1500000000000004</v>
      </c>
    </row>
    <row r="240" spans="1:10" x14ac:dyDescent="0.25">
      <c r="A240" t="s">
        <v>662</v>
      </c>
      <c r="B240" t="s">
        <v>663</v>
      </c>
      <c r="C240" t="s">
        <v>640</v>
      </c>
      <c r="D240" t="s">
        <v>664</v>
      </c>
      <c r="E240">
        <v>10</v>
      </c>
      <c r="F240">
        <v>5.6</v>
      </c>
      <c r="G240">
        <v>0</v>
      </c>
      <c r="H240">
        <v>6</v>
      </c>
      <c r="I240">
        <v>0.6</v>
      </c>
      <c r="J240">
        <v>5</v>
      </c>
    </row>
    <row r="241" spans="1:10" x14ac:dyDescent="0.25">
      <c r="A241" t="s">
        <v>665</v>
      </c>
      <c r="B241" t="s">
        <v>666</v>
      </c>
      <c r="C241" t="s">
        <v>640</v>
      </c>
      <c r="D241" t="s">
        <v>644</v>
      </c>
      <c r="E241">
        <v>6</v>
      </c>
      <c r="F241">
        <v>1.5</v>
      </c>
      <c r="G241">
        <v>0</v>
      </c>
      <c r="H241">
        <v>0</v>
      </c>
      <c r="I241">
        <v>0</v>
      </c>
      <c r="J241">
        <v>1.5</v>
      </c>
    </row>
    <row r="242" spans="1:10" x14ac:dyDescent="0.25">
      <c r="A242" t="s">
        <v>667</v>
      </c>
      <c r="B242" t="s">
        <v>668</v>
      </c>
      <c r="C242" t="s">
        <v>640</v>
      </c>
      <c r="D242" t="s">
        <v>664</v>
      </c>
      <c r="E242">
        <v>10</v>
      </c>
      <c r="F242">
        <v>1.6</v>
      </c>
      <c r="G242">
        <v>1</v>
      </c>
      <c r="H242">
        <v>8</v>
      </c>
      <c r="I242">
        <v>0.8</v>
      </c>
      <c r="J242">
        <v>1.8</v>
      </c>
    </row>
    <row r="243" spans="1:10" x14ac:dyDescent="0.25">
      <c r="A243" t="s">
        <v>669</v>
      </c>
      <c r="B243" t="s">
        <v>670</v>
      </c>
      <c r="C243" t="s">
        <v>640</v>
      </c>
      <c r="D243" t="s">
        <v>671</v>
      </c>
      <c r="E243">
        <v>20</v>
      </c>
      <c r="F243">
        <v>4.5</v>
      </c>
      <c r="G243">
        <v>0</v>
      </c>
      <c r="H243">
        <v>29</v>
      </c>
      <c r="I243">
        <v>1.45</v>
      </c>
      <c r="J243">
        <v>3.05</v>
      </c>
    </row>
    <row r="244" spans="1:10" x14ac:dyDescent="0.25">
      <c r="A244" t="s">
        <v>672</v>
      </c>
      <c r="B244" t="s">
        <v>673</v>
      </c>
      <c r="C244" t="s">
        <v>640</v>
      </c>
      <c r="D244" t="s">
        <v>674</v>
      </c>
      <c r="E244">
        <v>6</v>
      </c>
      <c r="F244">
        <v>2</v>
      </c>
      <c r="G244">
        <v>0</v>
      </c>
      <c r="H244">
        <v>0</v>
      </c>
      <c r="I244">
        <v>0</v>
      </c>
      <c r="J244">
        <v>2</v>
      </c>
    </row>
    <row r="245" spans="1:10" x14ac:dyDescent="0.25">
      <c r="A245" t="s">
        <v>675</v>
      </c>
      <c r="B245" t="s">
        <v>676</v>
      </c>
      <c r="C245" t="s">
        <v>640</v>
      </c>
      <c r="D245" t="s">
        <v>674</v>
      </c>
      <c r="E245">
        <v>6</v>
      </c>
      <c r="F245">
        <v>1.6666666666666665</v>
      </c>
      <c r="G245">
        <v>0</v>
      </c>
      <c r="H245">
        <v>0</v>
      </c>
      <c r="I245">
        <v>0</v>
      </c>
      <c r="J245">
        <v>1.6666666666666665</v>
      </c>
    </row>
    <row r="246" spans="1:10" x14ac:dyDescent="0.25">
      <c r="A246" t="s">
        <v>677</v>
      </c>
      <c r="B246" t="s">
        <v>678</v>
      </c>
      <c r="C246" t="s">
        <v>640</v>
      </c>
      <c r="D246" t="s">
        <v>679</v>
      </c>
      <c r="E246">
        <v>10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680</v>
      </c>
      <c r="B247" t="s">
        <v>681</v>
      </c>
      <c r="C247" t="s">
        <v>640</v>
      </c>
      <c r="D247" t="s">
        <v>679</v>
      </c>
      <c r="E247">
        <v>10</v>
      </c>
      <c r="F247">
        <v>3.5</v>
      </c>
      <c r="G247">
        <v>2</v>
      </c>
      <c r="H247">
        <v>12</v>
      </c>
      <c r="I247">
        <v>1.2</v>
      </c>
      <c r="J247">
        <v>4.3</v>
      </c>
    </row>
    <row r="248" spans="1:10" x14ac:dyDescent="0.25">
      <c r="A248" t="s">
        <v>682</v>
      </c>
      <c r="B248" t="s">
        <v>683</v>
      </c>
      <c r="C248" t="s">
        <v>640</v>
      </c>
      <c r="D248" t="s">
        <v>684</v>
      </c>
      <c r="E248">
        <v>22.67</v>
      </c>
      <c r="F248">
        <v>0</v>
      </c>
      <c r="G248">
        <v>1</v>
      </c>
      <c r="H248">
        <v>0</v>
      </c>
      <c r="I248">
        <v>0</v>
      </c>
      <c r="J248">
        <v>1</v>
      </c>
    </row>
    <row r="249" spans="1:10" x14ac:dyDescent="0.25">
      <c r="A249" t="s">
        <v>685</v>
      </c>
      <c r="B249" t="s">
        <v>686</v>
      </c>
      <c r="C249" t="s">
        <v>640</v>
      </c>
      <c r="D249" t="s">
        <v>637</v>
      </c>
      <c r="E249">
        <v>20</v>
      </c>
      <c r="F249">
        <v>1</v>
      </c>
      <c r="G249">
        <v>1</v>
      </c>
      <c r="H249">
        <v>0</v>
      </c>
      <c r="I249">
        <v>0</v>
      </c>
      <c r="J249">
        <v>2</v>
      </c>
    </row>
    <row r="250" spans="1:10" x14ac:dyDescent="0.25">
      <c r="A250" t="s">
        <v>687</v>
      </c>
      <c r="B250" t="s">
        <v>688</v>
      </c>
      <c r="C250" t="s">
        <v>640</v>
      </c>
      <c r="D250" t="s">
        <v>689</v>
      </c>
      <c r="E250">
        <v>6</v>
      </c>
      <c r="F250">
        <v>1.8333333333333335</v>
      </c>
      <c r="G250">
        <v>0</v>
      </c>
      <c r="H250">
        <v>2</v>
      </c>
      <c r="I250">
        <v>0.33333333333333331</v>
      </c>
      <c r="J250">
        <v>1.5000000000000002</v>
      </c>
    </row>
    <row r="251" spans="1:10" x14ac:dyDescent="0.25">
      <c r="A251" t="s">
        <v>690</v>
      </c>
      <c r="B251" t="s">
        <v>691</v>
      </c>
      <c r="C251" t="s">
        <v>640</v>
      </c>
      <c r="D251" t="s">
        <v>692</v>
      </c>
      <c r="E251">
        <v>10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693</v>
      </c>
      <c r="B252" t="s">
        <v>694</v>
      </c>
      <c r="C252" t="s">
        <v>640</v>
      </c>
      <c r="D252" t="s">
        <v>695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696</v>
      </c>
      <c r="B253" t="s">
        <v>697</v>
      </c>
      <c r="C253" t="s">
        <v>640</v>
      </c>
      <c r="D253" t="s">
        <v>689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698</v>
      </c>
      <c r="B254" t="s">
        <v>699</v>
      </c>
      <c r="C254" t="s">
        <v>640</v>
      </c>
      <c r="D254" t="s">
        <v>692</v>
      </c>
      <c r="E254">
        <v>10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700</v>
      </c>
      <c r="B255" t="s">
        <v>701</v>
      </c>
      <c r="C255" t="s">
        <v>640</v>
      </c>
      <c r="D255" t="s">
        <v>695</v>
      </c>
      <c r="E255">
        <v>20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702</v>
      </c>
      <c r="B256" t="s">
        <v>703</v>
      </c>
      <c r="C256" t="s">
        <v>640</v>
      </c>
      <c r="D256" t="s">
        <v>704</v>
      </c>
      <c r="E256">
        <v>20</v>
      </c>
      <c r="F256">
        <v>1.05</v>
      </c>
      <c r="G256">
        <v>0</v>
      </c>
      <c r="H256">
        <v>1</v>
      </c>
      <c r="I256">
        <v>0.05</v>
      </c>
      <c r="J256">
        <v>1</v>
      </c>
    </row>
    <row r="257" spans="1:10" x14ac:dyDescent="0.25">
      <c r="A257" t="s">
        <v>705</v>
      </c>
      <c r="B257" t="s">
        <v>706</v>
      </c>
      <c r="C257" t="s">
        <v>640</v>
      </c>
      <c r="D257" t="s">
        <v>707</v>
      </c>
      <c r="E257">
        <v>25</v>
      </c>
      <c r="F257">
        <v>2.1800000000000002</v>
      </c>
      <c r="G257">
        <v>0</v>
      </c>
      <c r="H257">
        <v>5.5</v>
      </c>
      <c r="I257">
        <v>0.22</v>
      </c>
      <c r="J257">
        <v>1.9600000000000002</v>
      </c>
    </row>
    <row r="258" spans="1:10" x14ac:dyDescent="0.25">
      <c r="A258" t="s">
        <v>708</v>
      </c>
      <c r="B258" t="s">
        <v>709</v>
      </c>
      <c r="C258" t="s">
        <v>710</v>
      </c>
      <c r="D258" t="s">
        <v>711</v>
      </c>
      <c r="E258">
        <v>1</v>
      </c>
      <c r="F258">
        <v>15</v>
      </c>
      <c r="G258">
        <v>15</v>
      </c>
      <c r="H258">
        <v>16</v>
      </c>
      <c r="I258">
        <v>16</v>
      </c>
      <c r="J258">
        <v>14</v>
      </c>
    </row>
    <row r="259" spans="1:10" x14ac:dyDescent="0.25">
      <c r="A259" t="s">
        <v>47</v>
      </c>
      <c r="B259" t="s">
        <v>712</v>
      </c>
      <c r="C259" t="s">
        <v>713</v>
      </c>
      <c r="D259" t="s">
        <v>86</v>
      </c>
      <c r="E259">
        <v>25</v>
      </c>
      <c r="F259">
        <v>17</v>
      </c>
      <c r="G259">
        <v>20</v>
      </c>
      <c r="H259">
        <v>250</v>
      </c>
      <c r="I259">
        <v>10</v>
      </c>
      <c r="J259">
        <v>27</v>
      </c>
    </row>
    <row r="260" spans="1:10" x14ac:dyDescent="0.25">
      <c r="A260" t="s">
        <v>714</v>
      </c>
      <c r="B260" t="s">
        <v>715</v>
      </c>
      <c r="C260" t="s">
        <v>716</v>
      </c>
      <c r="D260" t="s">
        <v>717</v>
      </c>
      <c r="E260">
        <v>1</v>
      </c>
      <c r="F260">
        <v>63</v>
      </c>
      <c r="G260">
        <v>0</v>
      </c>
      <c r="H260">
        <v>11</v>
      </c>
      <c r="I260">
        <v>11</v>
      </c>
      <c r="J260">
        <v>52</v>
      </c>
    </row>
    <row r="261" spans="1:10" x14ac:dyDescent="0.25">
      <c r="A261" t="s">
        <v>718</v>
      </c>
      <c r="B261" t="s">
        <v>719</v>
      </c>
      <c r="C261" t="s">
        <v>720</v>
      </c>
      <c r="D261" t="s">
        <v>721</v>
      </c>
      <c r="E261">
        <v>20</v>
      </c>
      <c r="F261">
        <v>5</v>
      </c>
      <c r="G261">
        <v>5</v>
      </c>
      <c r="H261">
        <v>60</v>
      </c>
      <c r="I261">
        <v>3</v>
      </c>
      <c r="J261">
        <v>7</v>
      </c>
    </row>
    <row r="262" spans="1:10" x14ac:dyDescent="0.25">
      <c r="A262" t="s">
        <v>722</v>
      </c>
      <c r="B262" t="s">
        <v>723</v>
      </c>
      <c r="C262" t="s">
        <v>720</v>
      </c>
      <c r="D262" t="s">
        <v>641</v>
      </c>
      <c r="E262">
        <v>1</v>
      </c>
      <c r="F262">
        <v>8</v>
      </c>
      <c r="G262">
        <v>10</v>
      </c>
      <c r="H262">
        <v>9</v>
      </c>
      <c r="I262">
        <v>9</v>
      </c>
      <c r="J262">
        <v>9</v>
      </c>
    </row>
    <row r="263" spans="1:10" x14ac:dyDescent="0.25">
      <c r="A263" t="s">
        <v>724</v>
      </c>
      <c r="B263" t="s">
        <v>725</v>
      </c>
      <c r="C263" t="s">
        <v>720</v>
      </c>
      <c r="D263" t="s">
        <v>641</v>
      </c>
      <c r="E263">
        <v>25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726</v>
      </c>
      <c r="B264" t="s">
        <v>727</v>
      </c>
      <c r="C264" t="s">
        <v>720</v>
      </c>
      <c r="D264" t="s">
        <v>641</v>
      </c>
      <c r="E264">
        <v>1</v>
      </c>
      <c r="F264">
        <v>17</v>
      </c>
      <c r="G264">
        <v>15</v>
      </c>
      <c r="H264">
        <v>8</v>
      </c>
      <c r="I264">
        <v>8</v>
      </c>
      <c r="J264">
        <v>24</v>
      </c>
    </row>
    <row r="265" spans="1:10" x14ac:dyDescent="0.25">
      <c r="A265" t="s">
        <v>728</v>
      </c>
      <c r="B265" t="s">
        <v>729</v>
      </c>
      <c r="C265" t="s">
        <v>720</v>
      </c>
      <c r="D265" t="s">
        <v>721</v>
      </c>
      <c r="E265">
        <v>1</v>
      </c>
      <c r="F265">
        <v>14</v>
      </c>
      <c r="G265">
        <v>0</v>
      </c>
      <c r="H265">
        <v>9</v>
      </c>
      <c r="I265">
        <v>9</v>
      </c>
      <c r="J265">
        <v>5</v>
      </c>
    </row>
    <row r="266" spans="1:10" x14ac:dyDescent="0.25">
      <c r="A266" t="s">
        <v>730</v>
      </c>
      <c r="B266" t="s">
        <v>731</v>
      </c>
      <c r="C266" t="s">
        <v>720</v>
      </c>
      <c r="D266" t="s">
        <v>119</v>
      </c>
      <c r="E266">
        <v>10</v>
      </c>
      <c r="F266">
        <v>0.9</v>
      </c>
      <c r="G266">
        <v>0</v>
      </c>
      <c r="H266">
        <v>0</v>
      </c>
      <c r="I266">
        <v>0</v>
      </c>
      <c r="J266">
        <v>0.9</v>
      </c>
    </row>
    <row r="267" spans="1:10" x14ac:dyDescent="0.25">
      <c r="A267" t="s">
        <v>732</v>
      </c>
      <c r="B267" t="s">
        <v>733</v>
      </c>
      <c r="C267" t="s">
        <v>720</v>
      </c>
      <c r="D267" t="s">
        <v>119</v>
      </c>
      <c r="E267">
        <v>1</v>
      </c>
      <c r="F267">
        <v>90</v>
      </c>
      <c r="G267">
        <v>180</v>
      </c>
      <c r="H267">
        <v>71</v>
      </c>
      <c r="I267">
        <v>71</v>
      </c>
      <c r="J267">
        <v>199</v>
      </c>
    </row>
    <row r="268" spans="1:10" x14ac:dyDescent="0.25">
      <c r="A268" t="s">
        <v>734</v>
      </c>
      <c r="B268" t="s">
        <v>735</v>
      </c>
      <c r="C268" t="s">
        <v>720</v>
      </c>
      <c r="D268" t="s">
        <v>736</v>
      </c>
      <c r="E268">
        <v>1</v>
      </c>
      <c r="F268">
        <v>3</v>
      </c>
      <c r="G268">
        <v>2</v>
      </c>
      <c r="H268">
        <v>2</v>
      </c>
      <c r="I268">
        <v>2</v>
      </c>
      <c r="J268">
        <v>3</v>
      </c>
    </row>
    <row r="269" spans="1:10" x14ac:dyDescent="0.25">
      <c r="A269" t="s">
        <v>737</v>
      </c>
      <c r="B269" t="s">
        <v>738</v>
      </c>
      <c r="C269" t="s">
        <v>720</v>
      </c>
      <c r="D269" t="s">
        <v>739</v>
      </c>
      <c r="E269">
        <v>25</v>
      </c>
      <c r="F269">
        <v>1</v>
      </c>
      <c r="G269">
        <v>0</v>
      </c>
      <c r="H269">
        <v>0</v>
      </c>
      <c r="I269">
        <v>0</v>
      </c>
      <c r="J269">
        <v>1</v>
      </c>
    </row>
    <row r="270" spans="1:10" x14ac:dyDescent="0.25">
      <c r="A270" t="s">
        <v>740</v>
      </c>
      <c r="B270" t="s">
        <v>741</v>
      </c>
      <c r="C270" t="s">
        <v>720</v>
      </c>
      <c r="D270" t="s">
        <v>86</v>
      </c>
      <c r="E270">
        <v>25</v>
      </c>
      <c r="F270">
        <v>2</v>
      </c>
      <c r="G270">
        <v>1</v>
      </c>
      <c r="H270">
        <v>17.3</v>
      </c>
      <c r="I270">
        <v>0.69200000000000006</v>
      </c>
      <c r="J270">
        <v>2.3079999999999998</v>
      </c>
    </row>
    <row r="271" spans="1:10" x14ac:dyDescent="0.25">
      <c r="A271" t="s">
        <v>742</v>
      </c>
      <c r="B271" t="s">
        <v>743</v>
      </c>
      <c r="C271" t="s">
        <v>720</v>
      </c>
      <c r="D271" t="s">
        <v>744</v>
      </c>
      <c r="E271">
        <v>1</v>
      </c>
      <c r="F271">
        <v>205</v>
      </c>
      <c r="G271">
        <v>240</v>
      </c>
      <c r="H271">
        <v>316</v>
      </c>
      <c r="I271">
        <v>316</v>
      </c>
      <c r="J271">
        <v>129</v>
      </c>
    </row>
    <row r="272" spans="1:10" x14ac:dyDescent="0.25">
      <c r="A272" t="s">
        <v>745</v>
      </c>
      <c r="B272" t="s">
        <v>746</v>
      </c>
      <c r="C272" t="s">
        <v>720</v>
      </c>
      <c r="D272" t="s">
        <v>93</v>
      </c>
      <c r="E272">
        <v>20</v>
      </c>
      <c r="F272">
        <v>1</v>
      </c>
      <c r="G272">
        <v>0</v>
      </c>
      <c r="H272">
        <v>0</v>
      </c>
      <c r="I272">
        <v>0</v>
      </c>
      <c r="J272">
        <v>1</v>
      </c>
    </row>
    <row r="273" spans="1:10" x14ac:dyDescent="0.25">
      <c r="A273" t="s">
        <v>747</v>
      </c>
      <c r="B273" t="s">
        <v>748</v>
      </c>
      <c r="C273" t="s">
        <v>720</v>
      </c>
      <c r="D273" t="s">
        <v>116</v>
      </c>
      <c r="E273">
        <v>10</v>
      </c>
      <c r="F273">
        <v>1</v>
      </c>
      <c r="G273">
        <v>0</v>
      </c>
      <c r="H273">
        <v>2</v>
      </c>
      <c r="I273">
        <v>0.2</v>
      </c>
      <c r="J273">
        <v>0.8</v>
      </c>
    </row>
    <row r="274" spans="1:10" x14ac:dyDescent="0.25">
      <c r="A274" t="s">
        <v>749</v>
      </c>
      <c r="B274" t="s">
        <v>750</v>
      </c>
      <c r="C274" t="s">
        <v>720</v>
      </c>
      <c r="D274" t="s">
        <v>751</v>
      </c>
      <c r="E274">
        <v>12.5</v>
      </c>
      <c r="F274">
        <v>1.32</v>
      </c>
      <c r="G274">
        <v>3</v>
      </c>
      <c r="H274">
        <v>12.95</v>
      </c>
      <c r="I274">
        <v>1.036</v>
      </c>
      <c r="J274">
        <v>3.2840000000000003</v>
      </c>
    </row>
    <row r="275" spans="1:10" x14ac:dyDescent="0.25">
      <c r="A275" t="s">
        <v>752</v>
      </c>
      <c r="B275" t="s">
        <v>753</v>
      </c>
      <c r="C275" t="s">
        <v>720</v>
      </c>
      <c r="D275" t="s">
        <v>754</v>
      </c>
      <c r="E275">
        <v>6</v>
      </c>
      <c r="F275">
        <v>4</v>
      </c>
      <c r="G275">
        <v>0</v>
      </c>
      <c r="H275">
        <v>6</v>
      </c>
      <c r="I275">
        <v>1</v>
      </c>
      <c r="J275">
        <v>3</v>
      </c>
    </row>
    <row r="276" spans="1:10" x14ac:dyDescent="0.25">
      <c r="A276" t="s">
        <v>755</v>
      </c>
      <c r="B276" t="s">
        <v>756</v>
      </c>
      <c r="C276" t="s">
        <v>720</v>
      </c>
      <c r="D276" t="s">
        <v>116</v>
      </c>
      <c r="E276">
        <v>1</v>
      </c>
      <c r="F276">
        <v>44</v>
      </c>
      <c r="G276">
        <v>0</v>
      </c>
      <c r="H276">
        <v>1</v>
      </c>
      <c r="I276">
        <v>1</v>
      </c>
      <c r="J276">
        <v>43</v>
      </c>
    </row>
    <row r="277" spans="1:10" x14ac:dyDescent="0.25">
      <c r="A277" t="s">
        <v>757</v>
      </c>
      <c r="B277" t="s">
        <v>758</v>
      </c>
      <c r="C277" t="s">
        <v>720</v>
      </c>
      <c r="D277" t="s">
        <v>116</v>
      </c>
      <c r="E277">
        <v>1</v>
      </c>
      <c r="F277">
        <v>16</v>
      </c>
      <c r="G277">
        <v>0</v>
      </c>
      <c r="H277">
        <v>1</v>
      </c>
      <c r="I277">
        <v>1</v>
      </c>
      <c r="J277">
        <v>15</v>
      </c>
    </row>
    <row r="278" spans="1:10" x14ac:dyDescent="0.25">
      <c r="A278" t="s">
        <v>759</v>
      </c>
      <c r="B278" t="s">
        <v>760</v>
      </c>
      <c r="C278" t="s">
        <v>720</v>
      </c>
      <c r="D278" t="s">
        <v>213</v>
      </c>
      <c r="E278">
        <v>1</v>
      </c>
      <c r="F278">
        <v>14</v>
      </c>
      <c r="G278">
        <v>0</v>
      </c>
      <c r="H278">
        <v>3</v>
      </c>
      <c r="I278">
        <v>3</v>
      </c>
      <c r="J278">
        <v>11</v>
      </c>
    </row>
    <row r="279" spans="1:10" x14ac:dyDescent="0.25">
      <c r="A279" t="s">
        <v>761</v>
      </c>
      <c r="B279" t="s">
        <v>762</v>
      </c>
      <c r="C279" t="s">
        <v>720</v>
      </c>
      <c r="D279" t="s">
        <v>763</v>
      </c>
      <c r="E279">
        <v>1</v>
      </c>
      <c r="F279">
        <v>4.75</v>
      </c>
      <c r="G279">
        <v>18</v>
      </c>
      <c r="H279">
        <v>6.75</v>
      </c>
      <c r="I279">
        <v>6.75</v>
      </c>
      <c r="J279">
        <v>16</v>
      </c>
    </row>
    <row r="280" spans="1:10" x14ac:dyDescent="0.25">
      <c r="A280" t="s">
        <v>764</v>
      </c>
      <c r="B280" t="s">
        <v>765</v>
      </c>
      <c r="C280" t="s">
        <v>720</v>
      </c>
      <c r="D280" t="s">
        <v>86</v>
      </c>
      <c r="E280">
        <v>25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766</v>
      </c>
      <c r="B281" t="s">
        <v>767</v>
      </c>
      <c r="C281" t="s">
        <v>720</v>
      </c>
      <c r="D281" t="s">
        <v>768</v>
      </c>
      <c r="E281">
        <v>5</v>
      </c>
      <c r="F281">
        <v>1</v>
      </c>
      <c r="G281">
        <v>0</v>
      </c>
      <c r="H281">
        <v>0</v>
      </c>
      <c r="I281">
        <v>0</v>
      </c>
      <c r="J281">
        <v>1</v>
      </c>
    </row>
    <row r="282" spans="1:10" x14ac:dyDescent="0.25">
      <c r="A282" t="s">
        <v>769</v>
      </c>
      <c r="B282" t="s">
        <v>770</v>
      </c>
      <c r="C282" t="s">
        <v>720</v>
      </c>
      <c r="D282" t="s">
        <v>86</v>
      </c>
      <c r="E282">
        <v>25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t="s">
        <v>771</v>
      </c>
      <c r="B283" t="s">
        <v>772</v>
      </c>
      <c r="C283" t="s">
        <v>720</v>
      </c>
      <c r="D283" t="s">
        <v>86</v>
      </c>
      <c r="E283">
        <v>25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773</v>
      </c>
      <c r="B284" t="s">
        <v>774</v>
      </c>
      <c r="C284" t="s">
        <v>720</v>
      </c>
      <c r="D284" t="s">
        <v>141</v>
      </c>
      <c r="E284">
        <v>10</v>
      </c>
      <c r="F284">
        <v>2.1800000000000002</v>
      </c>
      <c r="G284">
        <v>0</v>
      </c>
      <c r="H284">
        <v>0.75</v>
      </c>
      <c r="I284">
        <v>7.4999999999999997E-2</v>
      </c>
      <c r="J284">
        <v>2.105</v>
      </c>
    </row>
    <row r="285" spans="1:10" x14ac:dyDescent="0.25">
      <c r="A285" t="s">
        <v>775</v>
      </c>
      <c r="B285" t="s">
        <v>776</v>
      </c>
      <c r="C285" t="s">
        <v>720</v>
      </c>
      <c r="D285" t="s">
        <v>86</v>
      </c>
      <c r="E285">
        <v>25</v>
      </c>
      <c r="F285">
        <v>3</v>
      </c>
      <c r="G285">
        <v>0</v>
      </c>
      <c r="H285">
        <v>0</v>
      </c>
      <c r="I285">
        <v>0</v>
      </c>
      <c r="J285">
        <v>3</v>
      </c>
    </row>
    <row r="286" spans="1:10" x14ac:dyDescent="0.25">
      <c r="A286" t="s">
        <v>777</v>
      </c>
      <c r="B286" t="s">
        <v>778</v>
      </c>
      <c r="C286" t="s">
        <v>720</v>
      </c>
      <c r="D286" t="s">
        <v>86</v>
      </c>
      <c r="E286">
        <v>25</v>
      </c>
      <c r="F286">
        <v>0.56000000000000005</v>
      </c>
      <c r="G286">
        <v>0</v>
      </c>
      <c r="H286">
        <v>0</v>
      </c>
      <c r="I286">
        <v>0</v>
      </c>
      <c r="J286">
        <v>0.56000000000000005</v>
      </c>
    </row>
    <row r="287" spans="1:10" x14ac:dyDescent="0.25">
      <c r="A287" t="s">
        <v>779</v>
      </c>
      <c r="B287" t="s">
        <v>780</v>
      </c>
      <c r="C287" t="s">
        <v>720</v>
      </c>
      <c r="D287" t="s">
        <v>86</v>
      </c>
      <c r="E287">
        <v>25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781</v>
      </c>
      <c r="B288" t="s">
        <v>782</v>
      </c>
      <c r="C288" t="s">
        <v>720</v>
      </c>
      <c r="D288" t="s">
        <v>86</v>
      </c>
      <c r="E288">
        <v>25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783</v>
      </c>
      <c r="B289" t="s">
        <v>784</v>
      </c>
      <c r="C289" t="s">
        <v>720</v>
      </c>
      <c r="D289" t="s">
        <v>86</v>
      </c>
      <c r="E289">
        <v>25</v>
      </c>
      <c r="F289">
        <v>4</v>
      </c>
      <c r="G289">
        <v>0</v>
      </c>
      <c r="H289">
        <v>0</v>
      </c>
      <c r="I289">
        <v>0</v>
      </c>
      <c r="J289">
        <v>4</v>
      </c>
    </row>
    <row r="290" spans="1:10" x14ac:dyDescent="0.25">
      <c r="A290" t="s">
        <v>785</v>
      </c>
      <c r="B290" t="s">
        <v>786</v>
      </c>
      <c r="C290" t="s">
        <v>720</v>
      </c>
      <c r="D290" t="s">
        <v>86</v>
      </c>
      <c r="E290">
        <v>25</v>
      </c>
      <c r="F290">
        <v>8</v>
      </c>
      <c r="G290">
        <v>0</v>
      </c>
      <c r="H290">
        <v>25</v>
      </c>
      <c r="I290">
        <v>1</v>
      </c>
      <c r="J290">
        <v>7</v>
      </c>
    </row>
    <row r="291" spans="1:10" x14ac:dyDescent="0.25">
      <c r="A291" t="s">
        <v>787</v>
      </c>
      <c r="B291" t="s">
        <v>788</v>
      </c>
      <c r="C291" t="s">
        <v>720</v>
      </c>
      <c r="D291" t="s">
        <v>116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789</v>
      </c>
      <c r="B292" t="s">
        <v>790</v>
      </c>
      <c r="C292" t="s">
        <v>720</v>
      </c>
      <c r="D292" t="s">
        <v>86</v>
      </c>
      <c r="E292">
        <v>1</v>
      </c>
      <c r="F292">
        <v>9</v>
      </c>
      <c r="G292">
        <v>5</v>
      </c>
      <c r="H292">
        <v>6</v>
      </c>
      <c r="I292">
        <v>6</v>
      </c>
      <c r="J292">
        <v>8</v>
      </c>
    </row>
    <row r="293" spans="1:10" x14ac:dyDescent="0.25">
      <c r="A293" t="s">
        <v>791</v>
      </c>
      <c r="B293" t="s">
        <v>248</v>
      </c>
      <c r="C293" t="s">
        <v>720</v>
      </c>
      <c r="D293" t="s">
        <v>86</v>
      </c>
      <c r="E293">
        <v>1</v>
      </c>
      <c r="F293">
        <v>7</v>
      </c>
      <c r="G293">
        <v>0</v>
      </c>
      <c r="H293">
        <v>2</v>
      </c>
      <c r="I293">
        <v>2</v>
      </c>
      <c r="J293">
        <v>5</v>
      </c>
    </row>
    <row r="294" spans="1:10" x14ac:dyDescent="0.25">
      <c r="A294" t="s">
        <v>792</v>
      </c>
      <c r="B294" t="s">
        <v>246</v>
      </c>
      <c r="C294" t="s">
        <v>720</v>
      </c>
      <c r="D294" t="s">
        <v>86</v>
      </c>
      <c r="E294">
        <v>1</v>
      </c>
      <c r="F294">
        <v>4</v>
      </c>
      <c r="G294">
        <v>15</v>
      </c>
      <c r="H294">
        <v>10</v>
      </c>
      <c r="I294">
        <v>10</v>
      </c>
      <c r="J294">
        <v>9</v>
      </c>
    </row>
    <row r="295" spans="1:10" x14ac:dyDescent="0.25">
      <c r="A295" t="s">
        <v>793</v>
      </c>
      <c r="B295" t="s">
        <v>794</v>
      </c>
      <c r="C295" t="s">
        <v>720</v>
      </c>
      <c r="D295" t="s">
        <v>86</v>
      </c>
      <c r="E295">
        <v>1</v>
      </c>
      <c r="F295">
        <v>1</v>
      </c>
      <c r="G295">
        <v>5</v>
      </c>
      <c r="H295">
        <v>2</v>
      </c>
      <c r="I295">
        <v>2</v>
      </c>
      <c r="J295">
        <v>4</v>
      </c>
    </row>
    <row r="296" spans="1:10" x14ac:dyDescent="0.25">
      <c r="A296" t="s">
        <v>795</v>
      </c>
      <c r="B296" t="s">
        <v>796</v>
      </c>
      <c r="C296" t="s">
        <v>720</v>
      </c>
      <c r="D296" t="s">
        <v>86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3</v>
      </c>
    </row>
    <row r="297" spans="1:10" x14ac:dyDescent="0.25">
      <c r="A297" t="s">
        <v>797</v>
      </c>
      <c r="B297" t="s">
        <v>798</v>
      </c>
      <c r="C297" t="s">
        <v>720</v>
      </c>
      <c r="D297" t="s">
        <v>739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0" x14ac:dyDescent="0.25">
      <c r="A298" t="s">
        <v>799</v>
      </c>
      <c r="B298" t="s">
        <v>800</v>
      </c>
      <c r="C298" t="s">
        <v>720</v>
      </c>
      <c r="D298" t="s">
        <v>263</v>
      </c>
      <c r="E298">
        <v>1</v>
      </c>
      <c r="F298">
        <v>2.38</v>
      </c>
      <c r="G298">
        <v>0</v>
      </c>
      <c r="H298">
        <v>0.41799999999999998</v>
      </c>
      <c r="I298">
        <v>0.41799999999999998</v>
      </c>
      <c r="J298">
        <v>1.962</v>
      </c>
    </row>
    <row r="299" spans="1:10" x14ac:dyDescent="0.25">
      <c r="A299" t="s">
        <v>801</v>
      </c>
      <c r="B299" t="s">
        <v>802</v>
      </c>
      <c r="C299" t="s">
        <v>720</v>
      </c>
      <c r="D299" t="s">
        <v>101</v>
      </c>
      <c r="E299">
        <v>25</v>
      </c>
      <c r="F299">
        <v>1</v>
      </c>
      <c r="G299">
        <v>0</v>
      </c>
      <c r="H299">
        <v>0</v>
      </c>
      <c r="I299">
        <v>0</v>
      </c>
      <c r="J299">
        <v>1</v>
      </c>
    </row>
    <row r="300" spans="1:10" x14ac:dyDescent="0.25">
      <c r="A300" t="s">
        <v>803</v>
      </c>
      <c r="B300" t="s">
        <v>804</v>
      </c>
      <c r="C300" t="s">
        <v>720</v>
      </c>
      <c r="D300" t="s">
        <v>101</v>
      </c>
      <c r="E300">
        <v>25</v>
      </c>
      <c r="F300">
        <v>2</v>
      </c>
      <c r="G300">
        <v>2</v>
      </c>
      <c r="H300">
        <v>1</v>
      </c>
      <c r="I300">
        <v>0.04</v>
      </c>
      <c r="J300">
        <v>3.96</v>
      </c>
    </row>
    <row r="301" spans="1:10" x14ac:dyDescent="0.25">
      <c r="A301" t="s">
        <v>805</v>
      </c>
      <c r="B301" t="s">
        <v>806</v>
      </c>
      <c r="C301" t="s">
        <v>720</v>
      </c>
      <c r="D301" t="s">
        <v>263</v>
      </c>
      <c r="E301">
        <v>10</v>
      </c>
      <c r="F301">
        <v>35</v>
      </c>
      <c r="G301">
        <v>0</v>
      </c>
      <c r="H301">
        <v>40</v>
      </c>
      <c r="I301">
        <v>4</v>
      </c>
      <c r="J301">
        <v>31</v>
      </c>
    </row>
    <row r="302" spans="1:10" x14ac:dyDescent="0.25">
      <c r="A302" t="s">
        <v>807</v>
      </c>
      <c r="B302" t="s">
        <v>808</v>
      </c>
      <c r="C302" t="s">
        <v>720</v>
      </c>
      <c r="D302" t="s">
        <v>479</v>
      </c>
      <c r="E302">
        <v>20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809</v>
      </c>
      <c r="B303" t="s">
        <v>810</v>
      </c>
      <c r="C303" t="s">
        <v>720</v>
      </c>
      <c r="D303" t="s">
        <v>263</v>
      </c>
      <c r="E303">
        <v>10</v>
      </c>
      <c r="F303">
        <v>7</v>
      </c>
      <c r="G303">
        <v>0</v>
      </c>
      <c r="H303">
        <v>0</v>
      </c>
      <c r="I303">
        <v>0</v>
      </c>
      <c r="J303">
        <v>7</v>
      </c>
    </row>
    <row r="304" spans="1:10" x14ac:dyDescent="0.25">
      <c r="A304" t="s">
        <v>811</v>
      </c>
      <c r="B304" t="s">
        <v>812</v>
      </c>
      <c r="C304" t="s">
        <v>813</v>
      </c>
      <c r="D304" t="s">
        <v>814</v>
      </c>
      <c r="E304">
        <v>1</v>
      </c>
      <c r="F304">
        <v>85</v>
      </c>
      <c r="G304">
        <v>0</v>
      </c>
      <c r="H304">
        <v>10</v>
      </c>
      <c r="I304">
        <v>10</v>
      </c>
      <c r="J304">
        <v>75</v>
      </c>
    </row>
    <row r="305" spans="1:10" x14ac:dyDescent="0.25">
      <c r="A305" t="s">
        <v>815</v>
      </c>
      <c r="B305" t="s">
        <v>816</v>
      </c>
      <c r="C305" t="s">
        <v>813</v>
      </c>
      <c r="D305" t="s">
        <v>817</v>
      </c>
      <c r="E305">
        <v>1</v>
      </c>
      <c r="F305">
        <v>78</v>
      </c>
      <c r="G305">
        <v>0</v>
      </c>
      <c r="H305">
        <v>10</v>
      </c>
      <c r="I305">
        <v>10</v>
      </c>
      <c r="J305">
        <v>68</v>
      </c>
    </row>
    <row r="306" spans="1:10" x14ac:dyDescent="0.25">
      <c r="A306" t="s">
        <v>818</v>
      </c>
      <c r="B306" t="s">
        <v>819</v>
      </c>
      <c r="C306" t="s">
        <v>813</v>
      </c>
      <c r="D306">
        <v>9.6</v>
      </c>
      <c r="E306">
        <v>1</v>
      </c>
      <c r="F306">
        <v>49</v>
      </c>
      <c r="G306">
        <v>108</v>
      </c>
      <c r="H306">
        <v>69</v>
      </c>
      <c r="I306">
        <v>69</v>
      </c>
      <c r="J306">
        <v>88</v>
      </c>
    </row>
    <row r="307" spans="1:10" x14ac:dyDescent="0.25">
      <c r="A307" t="s">
        <v>820</v>
      </c>
      <c r="B307" t="s">
        <v>821</v>
      </c>
      <c r="C307" t="s">
        <v>813</v>
      </c>
      <c r="D307">
        <v>8.4</v>
      </c>
      <c r="E307">
        <v>1</v>
      </c>
      <c r="F307">
        <v>54</v>
      </c>
      <c r="G307">
        <v>48</v>
      </c>
      <c r="H307">
        <v>39</v>
      </c>
      <c r="I307">
        <v>39</v>
      </c>
      <c r="J307">
        <v>63</v>
      </c>
    </row>
    <row r="308" spans="1:10" x14ac:dyDescent="0.25">
      <c r="A308" t="s">
        <v>822</v>
      </c>
      <c r="B308" t="s">
        <v>823</v>
      </c>
      <c r="C308" t="s">
        <v>813</v>
      </c>
      <c r="D308">
        <v>8.4</v>
      </c>
      <c r="E308">
        <v>1</v>
      </c>
      <c r="F308">
        <v>61</v>
      </c>
      <c r="G308">
        <v>165</v>
      </c>
      <c r="H308">
        <v>85</v>
      </c>
      <c r="I308">
        <v>85</v>
      </c>
      <c r="J308">
        <v>141</v>
      </c>
    </row>
    <row r="309" spans="1:10" x14ac:dyDescent="0.25">
      <c r="A309" t="s">
        <v>824</v>
      </c>
      <c r="B309" t="s">
        <v>825</v>
      </c>
      <c r="C309" t="s">
        <v>813</v>
      </c>
      <c r="D309">
        <v>8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826</v>
      </c>
      <c r="B310" t="s">
        <v>827</v>
      </c>
      <c r="C310" t="s">
        <v>828</v>
      </c>
      <c r="D310" t="s">
        <v>86</v>
      </c>
      <c r="E310">
        <v>1</v>
      </c>
      <c r="F310">
        <v>51</v>
      </c>
      <c r="G310">
        <v>0</v>
      </c>
      <c r="H310">
        <v>14</v>
      </c>
      <c r="I310">
        <v>14</v>
      </c>
      <c r="J310">
        <v>37</v>
      </c>
    </row>
    <row r="311" spans="1:10" x14ac:dyDescent="0.25">
      <c r="A311" t="s">
        <v>829</v>
      </c>
      <c r="B311" t="s">
        <v>830</v>
      </c>
      <c r="C311" t="s">
        <v>828</v>
      </c>
      <c r="D311" t="s">
        <v>93</v>
      </c>
      <c r="E311">
        <v>1</v>
      </c>
      <c r="F311">
        <v>50</v>
      </c>
      <c r="G311">
        <v>0</v>
      </c>
      <c r="H311">
        <v>14</v>
      </c>
      <c r="I311">
        <v>14</v>
      </c>
      <c r="J311">
        <v>36</v>
      </c>
    </row>
    <row r="312" spans="1:10" x14ac:dyDescent="0.25">
      <c r="A312" t="s">
        <v>831</v>
      </c>
      <c r="B312" t="s">
        <v>832</v>
      </c>
      <c r="C312" t="s">
        <v>828</v>
      </c>
      <c r="D312" t="s">
        <v>833</v>
      </c>
      <c r="E312">
        <v>6</v>
      </c>
      <c r="F312">
        <v>25.666666666666668</v>
      </c>
      <c r="G312">
        <v>0</v>
      </c>
      <c r="H312">
        <v>65</v>
      </c>
      <c r="I312">
        <v>10.833333333333334</v>
      </c>
      <c r="J312">
        <v>14.833333333333334</v>
      </c>
    </row>
    <row r="313" spans="1:10" x14ac:dyDescent="0.25">
      <c r="A313" t="s">
        <v>834</v>
      </c>
      <c r="B313" t="s">
        <v>835</v>
      </c>
      <c r="C313" t="s">
        <v>828</v>
      </c>
      <c r="D313" t="s">
        <v>836</v>
      </c>
      <c r="E313">
        <v>1</v>
      </c>
      <c r="F313">
        <v>0</v>
      </c>
      <c r="G313">
        <v>40</v>
      </c>
      <c r="H313">
        <v>10</v>
      </c>
      <c r="I313">
        <v>10</v>
      </c>
      <c r="J313">
        <v>30</v>
      </c>
    </row>
    <row r="314" spans="1:10" x14ac:dyDescent="0.25">
      <c r="A314" t="s">
        <v>837</v>
      </c>
      <c r="B314" t="s">
        <v>838</v>
      </c>
      <c r="C314" t="s">
        <v>839</v>
      </c>
      <c r="D314" t="s">
        <v>840</v>
      </c>
      <c r="E314">
        <v>1</v>
      </c>
      <c r="F314">
        <v>94</v>
      </c>
      <c r="G314">
        <v>195</v>
      </c>
      <c r="H314">
        <v>133</v>
      </c>
      <c r="I314">
        <v>133</v>
      </c>
      <c r="J314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5588-288B-443C-A8A4-5CD41EA57FD3}">
  <dimension ref="A1:J321"/>
  <sheetViews>
    <sheetView topLeftCell="A33" workbookViewId="0">
      <selection activeCell="A50" sqref="A50"/>
    </sheetView>
  </sheetViews>
  <sheetFormatPr defaultRowHeight="15" x14ac:dyDescent="0.25"/>
  <cols>
    <col min="1" max="1" width="13.28515625" bestFit="1" customWidth="1"/>
    <col min="2" max="2" width="74.42578125" bestFit="1" customWidth="1"/>
    <col min="3" max="3" width="33.140625" bestFit="1" customWidth="1"/>
    <col min="5" max="5" width="9.42578125" bestFit="1" customWidth="1"/>
    <col min="7" max="7" width="13.85546875" bestFit="1" customWidth="1"/>
    <col min="10" max="10" width="12.42578125" bestFit="1" customWidth="1"/>
  </cols>
  <sheetData>
    <row r="1" spans="1:10" x14ac:dyDescent="0.25">
      <c r="A1" t="s">
        <v>73</v>
      </c>
      <c r="B1" t="s">
        <v>74</v>
      </c>
      <c r="C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25">
      <c r="A2" t="s">
        <v>858</v>
      </c>
    </row>
    <row r="3" spans="1:10" x14ac:dyDescent="0.25">
      <c r="A3" t="s">
        <v>875</v>
      </c>
      <c r="B3" t="s">
        <v>876</v>
      </c>
      <c r="C3" t="s">
        <v>877</v>
      </c>
      <c r="D3" t="s">
        <v>878</v>
      </c>
      <c r="E3" t="s">
        <v>879</v>
      </c>
      <c r="F3">
        <v>1</v>
      </c>
      <c r="G3">
        <v>2220</v>
      </c>
      <c r="H3">
        <v>18025</v>
      </c>
      <c r="I3">
        <v>14925</v>
      </c>
      <c r="J3">
        <v>5320</v>
      </c>
    </row>
    <row r="4" spans="1:10" x14ac:dyDescent="0.25">
      <c r="A4" t="s">
        <v>880</v>
      </c>
      <c r="B4" t="s">
        <v>881</v>
      </c>
      <c r="C4" t="s">
        <v>877</v>
      </c>
      <c r="D4" t="s">
        <v>878</v>
      </c>
      <c r="E4" t="s">
        <v>882</v>
      </c>
      <c r="F4">
        <v>1</v>
      </c>
      <c r="G4">
        <v>2880</v>
      </c>
      <c r="H4">
        <v>2110</v>
      </c>
      <c r="I4">
        <v>3070</v>
      </c>
      <c r="J4">
        <v>1920</v>
      </c>
    </row>
    <row r="5" spans="1:10" x14ac:dyDescent="0.25">
      <c r="A5" t="s">
        <v>883</v>
      </c>
      <c r="B5" t="s">
        <v>884</v>
      </c>
      <c r="C5" t="s">
        <v>877</v>
      </c>
      <c r="D5" t="s">
        <v>878</v>
      </c>
      <c r="E5" t="s">
        <v>879</v>
      </c>
      <c r="F5">
        <v>1</v>
      </c>
      <c r="G5">
        <v>1720</v>
      </c>
      <c r="H5">
        <v>1920</v>
      </c>
      <c r="I5">
        <v>2160</v>
      </c>
      <c r="J5">
        <v>1480</v>
      </c>
    </row>
    <row r="6" spans="1:10" x14ac:dyDescent="0.25">
      <c r="A6" t="s">
        <v>885</v>
      </c>
      <c r="B6" t="s">
        <v>886</v>
      </c>
      <c r="C6" t="s">
        <v>877</v>
      </c>
      <c r="D6" t="s">
        <v>878</v>
      </c>
      <c r="E6" t="s">
        <v>887</v>
      </c>
      <c r="F6">
        <v>1</v>
      </c>
      <c r="G6">
        <v>1200</v>
      </c>
      <c r="H6">
        <v>2240</v>
      </c>
      <c r="I6">
        <v>620</v>
      </c>
      <c r="J6">
        <v>2820</v>
      </c>
    </row>
    <row r="7" spans="1:10" x14ac:dyDescent="0.25">
      <c r="A7" t="s">
        <v>888</v>
      </c>
      <c r="B7" t="s">
        <v>889</v>
      </c>
      <c r="C7" t="s">
        <v>877</v>
      </c>
      <c r="D7" t="s">
        <v>878</v>
      </c>
      <c r="E7" t="s">
        <v>890</v>
      </c>
      <c r="F7">
        <v>1</v>
      </c>
      <c r="G7">
        <v>1025</v>
      </c>
      <c r="H7">
        <v>2100</v>
      </c>
      <c r="I7">
        <v>2500</v>
      </c>
      <c r="J7">
        <v>625</v>
      </c>
    </row>
    <row r="8" spans="1:10" x14ac:dyDescent="0.25">
      <c r="A8" t="s">
        <v>891</v>
      </c>
      <c r="B8" t="s">
        <v>892</v>
      </c>
      <c r="C8" t="s">
        <v>877</v>
      </c>
      <c r="D8" t="s">
        <v>878</v>
      </c>
      <c r="E8" t="s">
        <v>893</v>
      </c>
      <c r="F8">
        <v>1</v>
      </c>
      <c r="G8">
        <v>320</v>
      </c>
      <c r="H8">
        <v>1280</v>
      </c>
      <c r="I8">
        <v>960</v>
      </c>
      <c r="J8">
        <v>640</v>
      </c>
    </row>
    <row r="9" spans="1:10" x14ac:dyDescent="0.25">
      <c r="A9" t="s">
        <v>894</v>
      </c>
      <c r="B9" t="s">
        <v>895</v>
      </c>
      <c r="C9" t="s">
        <v>877</v>
      </c>
      <c r="D9" t="s">
        <v>878</v>
      </c>
      <c r="E9" t="s">
        <v>896</v>
      </c>
      <c r="F9">
        <v>1</v>
      </c>
      <c r="G9">
        <v>2075</v>
      </c>
      <c r="H9">
        <v>0</v>
      </c>
      <c r="I9">
        <v>375</v>
      </c>
      <c r="J9">
        <v>1700</v>
      </c>
    </row>
    <row r="10" spans="1:10" x14ac:dyDescent="0.25">
      <c r="A10" t="s">
        <v>897</v>
      </c>
      <c r="B10" t="s">
        <v>898</v>
      </c>
      <c r="C10" t="s">
        <v>877</v>
      </c>
      <c r="D10" t="s">
        <v>878</v>
      </c>
      <c r="E10" t="s">
        <v>899</v>
      </c>
      <c r="F10">
        <v>1</v>
      </c>
      <c r="G10">
        <v>0</v>
      </c>
      <c r="H10">
        <v>2400</v>
      </c>
      <c r="I10">
        <v>1200</v>
      </c>
      <c r="J10">
        <v>1200</v>
      </c>
    </row>
    <row r="11" spans="1:10" x14ac:dyDescent="0.25">
      <c r="A11" t="s">
        <v>900</v>
      </c>
      <c r="B11" t="s">
        <v>901</v>
      </c>
      <c r="C11" t="s">
        <v>877</v>
      </c>
      <c r="D11" t="s">
        <v>878</v>
      </c>
      <c r="E11" t="s">
        <v>896</v>
      </c>
      <c r="F11">
        <v>1</v>
      </c>
      <c r="G11">
        <v>1925</v>
      </c>
      <c r="H11">
        <v>0</v>
      </c>
      <c r="I11">
        <v>125</v>
      </c>
      <c r="J11">
        <v>1800</v>
      </c>
    </row>
    <row r="12" spans="1:10" x14ac:dyDescent="0.25">
      <c r="A12" t="s">
        <v>902</v>
      </c>
      <c r="B12" t="s">
        <v>903</v>
      </c>
      <c r="C12" t="s">
        <v>877</v>
      </c>
      <c r="D12" t="s">
        <v>878</v>
      </c>
      <c r="E12" t="s">
        <v>904</v>
      </c>
      <c r="F12">
        <v>1</v>
      </c>
      <c r="G12">
        <v>1050</v>
      </c>
      <c r="H12">
        <v>8530</v>
      </c>
      <c r="I12">
        <v>7480</v>
      </c>
      <c r="J12">
        <v>2100</v>
      </c>
    </row>
    <row r="13" spans="1:10" x14ac:dyDescent="0.25">
      <c r="A13" t="s">
        <v>905</v>
      </c>
      <c r="B13" t="s">
        <v>906</v>
      </c>
      <c r="C13" t="s">
        <v>877</v>
      </c>
      <c r="D13" t="s">
        <v>878</v>
      </c>
      <c r="E13" t="s">
        <v>904</v>
      </c>
      <c r="F13">
        <v>1</v>
      </c>
      <c r="G13">
        <v>1200</v>
      </c>
      <c r="H13">
        <v>0</v>
      </c>
      <c r="I13">
        <v>-100</v>
      </c>
      <c r="J13">
        <v>1300</v>
      </c>
    </row>
    <row r="14" spans="1:10" x14ac:dyDescent="0.25">
      <c r="A14" t="s">
        <v>907</v>
      </c>
      <c r="B14" t="s">
        <v>908</v>
      </c>
      <c r="C14" t="s">
        <v>877</v>
      </c>
      <c r="D14" t="s">
        <v>878</v>
      </c>
      <c r="E14" t="s">
        <v>909</v>
      </c>
      <c r="F14">
        <v>1</v>
      </c>
      <c r="G14">
        <v>1200</v>
      </c>
      <c r="H14">
        <v>1515</v>
      </c>
      <c r="I14">
        <v>1400</v>
      </c>
      <c r="J14">
        <v>1315</v>
      </c>
    </row>
    <row r="15" spans="1:10" x14ac:dyDescent="0.25">
      <c r="A15" t="s">
        <v>910</v>
      </c>
      <c r="B15" t="s">
        <v>911</v>
      </c>
      <c r="C15" t="s">
        <v>877</v>
      </c>
      <c r="D15" t="s">
        <v>878</v>
      </c>
      <c r="E15" t="s">
        <v>899</v>
      </c>
      <c r="F15">
        <v>1</v>
      </c>
      <c r="G15">
        <v>1700</v>
      </c>
      <c r="H15">
        <v>3200</v>
      </c>
      <c r="I15">
        <v>3700</v>
      </c>
      <c r="J15">
        <v>1200</v>
      </c>
    </row>
    <row r="16" spans="1:10" x14ac:dyDescent="0.25">
      <c r="A16" t="s">
        <v>912</v>
      </c>
      <c r="B16" t="s">
        <v>913</v>
      </c>
      <c r="C16" t="s">
        <v>877</v>
      </c>
      <c r="D16" t="s">
        <v>878</v>
      </c>
      <c r="E16" t="s">
        <v>914</v>
      </c>
      <c r="F16">
        <v>1</v>
      </c>
      <c r="G16">
        <v>2800</v>
      </c>
      <c r="H16">
        <v>16800</v>
      </c>
      <c r="I16">
        <v>15400</v>
      </c>
      <c r="J16">
        <v>4200</v>
      </c>
    </row>
    <row r="17" spans="1:10" x14ac:dyDescent="0.25">
      <c r="A17" t="s">
        <v>915</v>
      </c>
      <c r="B17" t="s">
        <v>916</v>
      </c>
      <c r="C17" t="s">
        <v>877</v>
      </c>
      <c r="D17" t="s">
        <v>878</v>
      </c>
      <c r="E17" t="s">
        <v>917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918</v>
      </c>
      <c r="B18" t="s">
        <v>919</v>
      </c>
      <c r="C18" t="s">
        <v>877</v>
      </c>
      <c r="D18" t="s">
        <v>878</v>
      </c>
      <c r="E18" t="s">
        <v>879</v>
      </c>
      <c r="F18">
        <v>1</v>
      </c>
      <c r="G18">
        <v>440</v>
      </c>
      <c r="H18">
        <v>1280</v>
      </c>
      <c r="I18">
        <v>1220</v>
      </c>
      <c r="J18">
        <v>500</v>
      </c>
    </row>
    <row r="19" spans="1:10" x14ac:dyDescent="0.25">
      <c r="A19" t="s">
        <v>920</v>
      </c>
      <c r="B19" t="s">
        <v>921</v>
      </c>
      <c r="C19" t="s">
        <v>877</v>
      </c>
      <c r="D19" t="s">
        <v>922</v>
      </c>
      <c r="E19" t="s">
        <v>923</v>
      </c>
      <c r="F19">
        <v>1</v>
      </c>
      <c r="G19">
        <v>1200</v>
      </c>
      <c r="H19">
        <v>0</v>
      </c>
      <c r="I19">
        <v>0</v>
      </c>
      <c r="J19">
        <v>1200</v>
      </c>
    </row>
    <row r="20" spans="1:10" x14ac:dyDescent="0.25">
      <c r="A20" t="s">
        <v>924</v>
      </c>
      <c r="B20" t="s">
        <v>925</v>
      </c>
      <c r="C20" t="s">
        <v>877</v>
      </c>
      <c r="D20" t="s">
        <v>878</v>
      </c>
      <c r="E20" t="s">
        <v>926</v>
      </c>
      <c r="F20">
        <v>1</v>
      </c>
      <c r="G20">
        <v>1840</v>
      </c>
      <c r="H20">
        <v>0</v>
      </c>
      <c r="I20">
        <v>1840</v>
      </c>
      <c r="J20">
        <v>0</v>
      </c>
    </row>
    <row r="21" spans="1:10" x14ac:dyDescent="0.25">
      <c r="A21" t="s">
        <v>927</v>
      </c>
      <c r="B21" t="s">
        <v>928</v>
      </c>
      <c r="C21" t="s">
        <v>877</v>
      </c>
      <c r="D21" t="s">
        <v>878</v>
      </c>
      <c r="E21" t="s">
        <v>929</v>
      </c>
      <c r="F21">
        <v>1</v>
      </c>
      <c r="G21">
        <v>1080</v>
      </c>
      <c r="H21">
        <v>1400</v>
      </c>
      <c r="I21">
        <v>2480</v>
      </c>
      <c r="J21">
        <v>0</v>
      </c>
    </row>
    <row r="22" spans="1:10" x14ac:dyDescent="0.25">
      <c r="A22" t="s">
        <v>930</v>
      </c>
      <c r="B22" t="s">
        <v>931</v>
      </c>
      <c r="C22" t="s">
        <v>877</v>
      </c>
      <c r="D22" t="s">
        <v>878</v>
      </c>
      <c r="E22" t="s">
        <v>932</v>
      </c>
      <c r="F22">
        <v>1</v>
      </c>
      <c r="G22">
        <v>2620</v>
      </c>
      <c r="H22">
        <v>0</v>
      </c>
      <c r="I22">
        <v>2020</v>
      </c>
      <c r="J22">
        <v>600</v>
      </c>
    </row>
    <row r="23" spans="1:10" x14ac:dyDescent="0.25">
      <c r="A23" t="s">
        <v>855</v>
      </c>
      <c r="B23" t="s">
        <v>933</v>
      </c>
      <c r="C23" t="s">
        <v>877</v>
      </c>
      <c r="D23" t="s">
        <v>878</v>
      </c>
      <c r="E23" t="s">
        <v>934</v>
      </c>
      <c r="F23">
        <v>1</v>
      </c>
      <c r="G23">
        <v>0</v>
      </c>
      <c r="H23">
        <v>4480</v>
      </c>
      <c r="I23">
        <v>3200</v>
      </c>
      <c r="J23">
        <v>1280</v>
      </c>
    </row>
    <row r="24" spans="1:10" x14ac:dyDescent="0.25">
      <c r="A24" t="s">
        <v>935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936</v>
      </c>
      <c r="B25" t="s">
        <v>937</v>
      </c>
      <c r="C25" t="s">
        <v>938</v>
      </c>
      <c r="D25" t="s">
        <v>862</v>
      </c>
      <c r="E25" t="s">
        <v>887</v>
      </c>
      <c r="F25">
        <v>1</v>
      </c>
      <c r="G25">
        <v>24600</v>
      </c>
      <c r="H25">
        <v>24000</v>
      </c>
      <c r="I25">
        <v>19800</v>
      </c>
      <c r="J25">
        <v>28800</v>
      </c>
    </row>
    <row r="26" spans="1:10" x14ac:dyDescent="0.25">
      <c r="A26" t="s">
        <v>939</v>
      </c>
      <c r="B26" t="s">
        <v>940</v>
      </c>
      <c r="C26" t="s">
        <v>938</v>
      </c>
      <c r="D26" t="s">
        <v>862</v>
      </c>
      <c r="E26" t="s">
        <v>941</v>
      </c>
      <c r="F26">
        <v>1</v>
      </c>
      <c r="G26">
        <v>21500</v>
      </c>
      <c r="H26">
        <v>30000</v>
      </c>
      <c r="I26">
        <v>40500</v>
      </c>
      <c r="J26">
        <v>11000</v>
      </c>
    </row>
    <row r="27" spans="1:10" x14ac:dyDescent="0.25">
      <c r="A27" t="s">
        <v>942</v>
      </c>
      <c r="B27" t="s">
        <v>943</v>
      </c>
      <c r="C27" t="s">
        <v>938</v>
      </c>
      <c r="D27" t="s">
        <v>862</v>
      </c>
      <c r="E27" t="s">
        <v>904</v>
      </c>
      <c r="F27">
        <v>1</v>
      </c>
      <c r="G27">
        <v>47250</v>
      </c>
      <c r="H27">
        <v>0</v>
      </c>
      <c r="I27">
        <v>5250</v>
      </c>
      <c r="J27">
        <v>42000</v>
      </c>
    </row>
    <row r="28" spans="1:10" x14ac:dyDescent="0.25">
      <c r="A28" t="s">
        <v>944</v>
      </c>
      <c r="B28" t="s">
        <v>945</v>
      </c>
      <c r="C28" t="s">
        <v>938</v>
      </c>
      <c r="D28" t="s">
        <v>862</v>
      </c>
      <c r="E28" t="s">
        <v>946</v>
      </c>
      <c r="F28">
        <v>1</v>
      </c>
      <c r="G28">
        <v>108000</v>
      </c>
      <c r="H28">
        <v>230400</v>
      </c>
      <c r="I28">
        <v>135000</v>
      </c>
      <c r="J28">
        <v>203400</v>
      </c>
    </row>
    <row r="29" spans="1:10" x14ac:dyDescent="0.25">
      <c r="A29" t="s">
        <v>947</v>
      </c>
      <c r="B29" t="s">
        <v>948</v>
      </c>
      <c r="C29" t="s">
        <v>938</v>
      </c>
      <c r="D29" t="s">
        <v>862</v>
      </c>
      <c r="E29" t="s">
        <v>949</v>
      </c>
      <c r="F29">
        <v>1</v>
      </c>
      <c r="G29">
        <v>9920</v>
      </c>
      <c r="H29">
        <v>9600</v>
      </c>
      <c r="I29">
        <v>9600</v>
      </c>
      <c r="J29">
        <v>9920</v>
      </c>
    </row>
    <row r="30" spans="1:10" x14ac:dyDescent="0.25">
      <c r="A30" t="s">
        <v>950</v>
      </c>
      <c r="B30" t="s">
        <v>951</v>
      </c>
      <c r="C30" t="s">
        <v>938</v>
      </c>
      <c r="D30" t="s">
        <v>862</v>
      </c>
      <c r="E30" t="s">
        <v>952</v>
      </c>
      <c r="F30">
        <v>1</v>
      </c>
      <c r="G30">
        <v>3840</v>
      </c>
      <c r="H30">
        <v>48000</v>
      </c>
      <c r="I30">
        <v>31520</v>
      </c>
      <c r="J30">
        <v>20320</v>
      </c>
    </row>
    <row r="31" spans="1:10" x14ac:dyDescent="0.25">
      <c r="A31" t="s">
        <v>953</v>
      </c>
      <c r="B31" t="s">
        <v>954</v>
      </c>
      <c r="C31" t="s">
        <v>938</v>
      </c>
      <c r="D31" t="s">
        <v>862</v>
      </c>
      <c r="E31" t="s">
        <v>955</v>
      </c>
      <c r="F31">
        <v>1</v>
      </c>
      <c r="G31">
        <v>12400</v>
      </c>
      <c r="H31">
        <v>24000</v>
      </c>
      <c r="I31">
        <v>-12000</v>
      </c>
      <c r="J31">
        <v>48400</v>
      </c>
    </row>
    <row r="32" spans="1:10" x14ac:dyDescent="0.25">
      <c r="A32" t="s">
        <v>956</v>
      </c>
      <c r="B32" t="s">
        <v>957</v>
      </c>
      <c r="C32" t="s">
        <v>958</v>
      </c>
      <c r="D32" t="s">
        <v>862</v>
      </c>
      <c r="E32" t="s">
        <v>959</v>
      </c>
      <c r="F32">
        <v>1</v>
      </c>
      <c r="G32">
        <v>36755</v>
      </c>
      <c r="H32">
        <v>0</v>
      </c>
      <c r="I32">
        <v>-745</v>
      </c>
      <c r="J32">
        <v>37500</v>
      </c>
    </row>
    <row r="33" spans="1:10" x14ac:dyDescent="0.25">
      <c r="A33" t="s">
        <v>960</v>
      </c>
      <c r="B33" t="s">
        <v>961</v>
      </c>
      <c r="C33" t="s">
        <v>962</v>
      </c>
      <c r="D33" t="s">
        <v>862</v>
      </c>
      <c r="E33" t="s">
        <v>963</v>
      </c>
      <c r="F33">
        <v>1</v>
      </c>
      <c r="G33">
        <v>7920</v>
      </c>
      <c r="H33">
        <v>0</v>
      </c>
      <c r="I33">
        <v>0</v>
      </c>
      <c r="J33">
        <v>7920</v>
      </c>
    </row>
    <row r="34" spans="1:10" x14ac:dyDescent="0.25">
      <c r="A34" t="s">
        <v>964</v>
      </c>
      <c r="B34" t="s">
        <v>965</v>
      </c>
      <c r="C34" t="s">
        <v>966</v>
      </c>
      <c r="D34" t="s">
        <v>862</v>
      </c>
      <c r="E34" t="s">
        <v>967</v>
      </c>
      <c r="F34">
        <v>1</v>
      </c>
      <c r="G34">
        <v>19950</v>
      </c>
      <c r="H34">
        <v>0</v>
      </c>
      <c r="I34">
        <v>1050</v>
      </c>
      <c r="J34">
        <v>18900</v>
      </c>
    </row>
    <row r="35" spans="1:10" x14ac:dyDescent="0.25">
      <c r="A35" t="s">
        <v>968</v>
      </c>
      <c r="B35" t="s">
        <v>969</v>
      </c>
      <c r="C35" t="s">
        <v>966</v>
      </c>
      <c r="D35" t="s">
        <v>862</v>
      </c>
      <c r="E35" t="s">
        <v>923</v>
      </c>
      <c r="F35">
        <v>1</v>
      </c>
      <c r="G35">
        <v>24000</v>
      </c>
      <c r="H35">
        <v>0</v>
      </c>
      <c r="I35">
        <v>1200</v>
      </c>
      <c r="J35">
        <v>22800</v>
      </c>
    </row>
    <row r="36" spans="1:10" x14ac:dyDescent="0.25">
      <c r="A36" t="s">
        <v>970</v>
      </c>
      <c r="B36" t="s">
        <v>971</v>
      </c>
      <c r="C36" t="s">
        <v>966</v>
      </c>
      <c r="D36" t="s">
        <v>862</v>
      </c>
      <c r="E36" t="s">
        <v>972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973</v>
      </c>
      <c r="B37" t="s">
        <v>974</v>
      </c>
      <c r="C37" t="s">
        <v>966</v>
      </c>
      <c r="D37" t="s">
        <v>862</v>
      </c>
      <c r="E37" t="s">
        <v>975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976</v>
      </c>
      <c r="B38" t="s">
        <v>977</v>
      </c>
      <c r="C38" t="s">
        <v>966</v>
      </c>
      <c r="D38" t="s">
        <v>862</v>
      </c>
      <c r="E38" t="s">
        <v>978</v>
      </c>
      <c r="F38">
        <v>1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979</v>
      </c>
      <c r="B39" t="s">
        <v>980</v>
      </c>
      <c r="C39" t="s">
        <v>966</v>
      </c>
      <c r="D39" t="s">
        <v>862</v>
      </c>
      <c r="E39" t="s">
        <v>981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982</v>
      </c>
      <c r="B40" t="s">
        <v>983</v>
      </c>
      <c r="C40" t="s">
        <v>984</v>
      </c>
      <c r="D40" t="s">
        <v>862</v>
      </c>
      <c r="E40" t="s">
        <v>985</v>
      </c>
      <c r="F40">
        <v>1</v>
      </c>
      <c r="G40">
        <v>7040</v>
      </c>
      <c r="H40">
        <v>5280</v>
      </c>
      <c r="I40">
        <v>5170</v>
      </c>
      <c r="J40">
        <v>7150</v>
      </c>
    </row>
    <row r="41" spans="1:10" x14ac:dyDescent="0.25">
      <c r="A41" t="s">
        <v>986</v>
      </c>
      <c r="B41" t="s">
        <v>987</v>
      </c>
      <c r="C41" t="s">
        <v>984</v>
      </c>
      <c r="D41" t="s">
        <v>862</v>
      </c>
      <c r="E41" t="s">
        <v>988</v>
      </c>
      <c r="F41">
        <v>1</v>
      </c>
      <c r="G41">
        <v>2210</v>
      </c>
      <c r="H41">
        <v>3400</v>
      </c>
      <c r="I41">
        <v>1700</v>
      </c>
      <c r="J41">
        <v>3910</v>
      </c>
    </row>
    <row r="42" spans="1:10" x14ac:dyDescent="0.25">
      <c r="A42" t="s">
        <v>989</v>
      </c>
      <c r="B42" t="s">
        <v>990</v>
      </c>
      <c r="C42" t="s">
        <v>991</v>
      </c>
      <c r="D42" t="s">
        <v>862</v>
      </c>
      <c r="E42" t="s">
        <v>992</v>
      </c>
      <c r="F42">
        <v>1</v>
      </c>
      <c r="G42">
        <v>12144</v>
      </c>
      <c r="H42">
        <v>0</v>
      </c>
      <c r="I42">
        <v>2792</v>
      </c>
      <c r="J42">
        <v>9352</v>
      </c>
    </row>
    <row r="43" spans="1:10" x14ac:dyDescent="0.25">
      <c r="A43" t="s">
        <v>993</v>
      </c>
      <c r="B43" t="s">
        <v>994</v>
      </c>
      <c r="C43" t="s">
        <v>991</v>
      </c>
      <c r="D43" t="s">
        <v>862</v>
      </c>
      <c r="E43" t="s">
        <v>995</v>
      </c>
      <c r="F43">
        <v>1</v>
      </c>
      <c r="G43">
        <v>31800</v>
      </c>
      <c r="H43">
        <v>11400</v>
      </c>
      <c r="I43">
        <v>10232</v>
      </c>
      <c r="J43">
        <v>32968</v>
      </c>
    </row>
    <row r="44" spans="1:10" x14ac:dyDescent="0.25">
      <c r="A44" t="s">
        <v>996</v>
      </c>
      <c r="B44" t="s">
        <v>997</v>
      </c>
      <c r="C44" t="s">
        <v>991</v>
      </c>
      <c r="D44" t="s">
        <v>862</v>
      </c>
      <c r="E44" t="s">
        <v>998</v>
      </c>
      <c r="F44">
        <v>1</v>
      </c>
      <c r="G44">
        <v>37232</v>
      </c>
      <c r="H44">
        <v>41600</v>
      </c>
      <c r="I44">
        <v>23088</v>
      </c>
      <c r="J44">
        <v>55744</v>
      </c>
    </row>
    <row r="45" spans="1:10" x14ac:dyDescent="0.25">
      <c r="A45" t="s">
        <v>999</v>
      </c>
      <c r="B45" t="s">
        <v>1000</v>
      </c>
      <c r="C45" t="s">
        <v>991</v>
      </c>
      <c r="D45" t="s">
        <v>862</v>
      </c>
      <c r="E45" t="s">
        <v>1001</v>
      </c>
      <c r="F45">
        <v>1</v>
      </c>
      <c r="G45">
        <v>26712</v>
      </c>
      <c r="H45">
        <v>0</v>
      </c>
      <c r="I45">
        <v>8012</v>
      </c>
      <c r="J45">
        <v>18700</v>
      </c>
    </row>
    <row r="46" spans="1:10" x14ac:dyDescent="0.25">
      <c r="A46" t="s">
        <v>1002</v>
      </c>
      <c r="B46" t="s">
        <v>1003</v>
      </c>
      <c r="C46" t="s">
        <v>991</v>
      </c>
      <c r="D46" t="s">
        <v>862</v>
      </c>
      <c r="E46" t="s">
        <v>1004</v>
      </c>
      <c r="F46">
        <v>1</v>
      </c>
      <c r="G46">
        <v>0</v>
      </c>
      <c r="H46">
        <v>0</v>
      </c>
      <c r="I46">
        <v>9440</v>
      </c>
      <c r="J46">
        <v>-9440</v>
      </c>
    </row>
    <row r="47" spans="1:10" x14ac:dyDescent="0.25">
      <c r="A47" t="s">
        <v>1005</v>
      </c>
      <c r="B47" t="s">
        <v>1006</v>
      </c>
      <c r="C47" t="s">
        <v>991</v>
      </c>
      <c r="D47" t="s">
        <v>862</v>
      </c>
      <c r="E47" t="s">
        <v>1007</v>
      </c>
      <c r="F47">
        <v>1</v>
      </c>
      <c r="G47">
        <v>10332</v>
      </c>
      <c r="H47">
        <v>0</v>
      </c>
      <c r="I47">
        <v>0</v>
      </c>
      <c r="J47">
        <v>10332</v>
      </c>
    </row>
    <row r="48" spans="1:10" x14ac:dyDescent="0.25">
      <c r="A48" t="s">
        <v>1008</v>
      </c>
      <c r="B48" t="s">
        <v>1009</v>
      </c>
      <c r="C48" t="s">
        <v>1010</v>
      </c>
      <c r="D48" t="s">
        <v>862</v>
      </c>
      <c r="E48" t="s">
        <v>1011</v>
      </c>
      <c r="F48">
        <v>1</v>
      </c>
      <c r="G48">
        <v>7044</v>
      </c>
      <c r="H48">
        <v>0</v>
      </c>
      <c r="I48">
        <v>0</v>
      </c>
      <c r="J48">
        <v>7044</v>
      </c>
    </row>
    <row r="49" spans="1:10" x14ac:dyDescent="0.25">
      <c r="A49" t="s">
        <v>1012</v>
      </c>
      <c r="B49" t="s">
        <v>1013</v>
      </c>
      <c r="C49" t="s">
        <v>1010</v>
      </c>
      <c r="D49" t="s">
        <v>862</v>
      </c>
      <c r="E49" t="s">
        <v>1014</v>
      </c>
      <c r="F49">
        <v>1</v>
      </c>
      <c r="G49">
        <v>0</v>
      </c>
      <c r="H49">
        <v>40</v>
      </c>
      <c r="I49">
        <v>9</v>
      </c>
      <c r="J49">
        <v>31</v>
      </c>
    </row>
    <row r="50" spans="1:10" x14ac:dyDescent="0.25">
      <c r="A50" t="s">
        <v>872</v>
      </c>
      <c r="B50" t="s">
        <v>873</v>
      </c>
      <c r="C50" t="s">
        <v>869</v>
      </c>
      <c r="D50" t="s">
        <v>862</v>
      </c>
      <c r="E50" t="s">
        <v>1015</v>
      </c>
      <c r="F50">
        <v>1</v>
      </c>
      <c r="G50">
        <v>25830</v>
      </c>
      <c r="H50">
        <v>0</v>
      </c>
      <c r="I50">
        <v>11340</v>
      </c>
      <c r="J50">
        <v>14490</v>
      </c>
    </row>
    <row r="51" spans="1:10" x14ac:dyDescent="0.25">
      <c r="A51" t="s">
        <v>868</v>
      </c>
      <c r="B51" t="s">
        <v>870</v>
      </c>
      <c r="C51" t="s">
        <v>869</v>
      </c>
      <c r="D51" t="s">
        <v>862</v>
      </c>
      <c r="E51" t="s">
        <v>1016</v>
      </c>
      <c r="F51">
        <v>1</v>
      </c>
      <c r="G51">
        <v>25500</v>
      </c>
      <c r="H51">
        <v>54000</v>
      </c>
      <c r="I51">
        <v>47250</v>
      </c>
      <c r="J51">
        <v>32250</v>
      </c>
    </row>
    <row r="52" spans="1:10" x14ac:dyDescent="0.25">
      <c r="A52" t="s">
        <v>1017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1018</v>
      </c>
      <c r="B53" t="s">
        <v>1019</v>
      </c>
      <c r="C53" t="s">
        <v>1020</v>
      </c>
      <c r="D53" t="s">
        <v>1021</v>
      </c>
      <c r="E53" t="s">
        <v>1022</v>
      </c>
      <c r="F53">
        <v>1</v>
      </c>
      <c r="G53">
        <v>66</v>
      </c>
      <c r="H53">
        <v>0</v>
      </c>
      <c r="I53">
        <v>2</v>
      </c>
      <c r="J53">
        <v>64</v>
      </c>
    </row>
    <row r="54" spans="1:10" x14ac:dyDescent="0.25">
      <c r="A54" t="s">
        <v>1023</v>
      </c>
      <c r="B54" t="s">
        <v>1024</v>
      </c>
      <c r="C54" t="s">
        <v>1025</v>
      </c>
      <c r="D54" t="s">
        <v>1021</v>
      </c>
      <c r="E54" t="s">
        <v>1022</v>
      </c>
      <c r="F54">
        <v>1</v>
      </c>
      <c r="G54">
        <v>13</v>
      </c>
      <c r="H54">
        <v>0</v>
      </c>
      <c r="I54">
        <v>0</v>
      </c>
      <c r="J54">
        <v>13</v>
      </c>
    </row>
    <row r="55" spans="1:10" x14ac:dyDescent="0.25">
      <c r="A55" t="s">
        <v>1026</v>
      </c>
      <c r="B55" t="s">
        <v>1027</v>
      </c>
      <c r="C55" t="s">
        <v>1025</v>
      </c>
      <c r="D55" t="s">
        <v>1021</v>
      </c>
      <c r="E55" t="s">
        <v>1022</v>
      </c>
      <c r="F55">
        <v>1</v>
      </c>
      <c r="G55">
        <v>0</v>
      </c>
      <c r="H55">
        <v>42</v>
      </c>
      <c r="I55">
        <v>14</v>
      </c>
      <c r="J55">
        <v>28</v>
      </c>
    </row>
    <row r="56" spans="1:10" x14ac:dyDescent="0.25">
      <c r="A56" t="s">
        <v>1028</v>
      </c>
      <c r="B56" t="s">
        <v>1029</v>
      </c>
      <c r="C56" t="s">
        <v>1030</v>
      </c>
      <c r="D56" t="s">
        <v>1021</v>
      </c>
      <c r="E56" t="s">
        <v>1022</v>
      </c>
      <c r="F56">
        <v>1</v>
      </c>
      <c r="G56">
        <v>129</v>
      </c>
      <c r="H56">
        <v>0</v>
      </c>
      <c r="I56">
        <v>18</v>
      </c>
      <c r="J56">
        <v>111</v>
      </c>
    </row>
    <row r="57" spans="1:10" x14ac:dyDescent="0.25">
      <c r="A57" t="s">
        <v>1031</v>
      </c>
      <c r="B57" t="s">
        <v>1032</v>
      </c>
      <c r="C57" t="s">
        <v>1030</v>
      </c>
      <c r="D57" t="s">
        <v>1021</v>
      </c>
      <c r="E57" t="s">
        <v>1033</v>
      </c>
      <c r="F57">
        <v>1</v>
      </c>
      <c r="G57">
        <v>25</v>
      </c>
      <c r="H57">
        <v>0</v>
      </c>
      <c r="I57">
        <v>4</v>
      </c>
      <c r="J57">
        <v>21</v>
      </c>
    </row>
    <row r="58" spans="1:10" x14ac:dyDescent="0.25">
      <c r="A58" t="s">
        <v>1034</v>
      </c>
      <c r="B58" t="s">
        <v>1035</v>
      </c>
      <c r="C58" t="s">
        <v>1030</v>
      </c>
      <c r="D58" t="s">
        <v>1021</v>
      </c>
      <c r="E58" t="s">
        <v>1036</v>
      </c>
      <c r="F58">
        <v>1</v>
      </c>
      <c r="G58">
        <v>90</v>
      </c>
      <c r="H58">
        <v>0</v>
      </c>
      <c r="I58">
        <v>3</v>
      </c>
      <c r="J58">
        <v>87</v>
      </c>
    </row>
    <row r="59" spans="1:10" x14ac:dyDescent="0.25">
      <c r="A59" t="s">
        <v>1037</v>
      </c>
      <c r="B59" t="s">
        <v>1038</v>
      </c>
      <c r="C59" t="s">
        <v>1030</v>
      </c>
      <c r="D59" t="s">
        <v>1021</v>
      </c>
      <c r="E59" t="s">
        <v>1036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1039</v>
      </c>
      <c r="B60" t="s">
        <v>1040</v>
      </c>
      <c r="C60" t="s">
        <v>1030</v>
      </c>
      <c r="D60" t="s">
        <v>1021</v>
      </c>
      <c r="E60" t="s">
        <v>1036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1041</v>
      </c>
      <c r="B61" t="s">
        <v>1042</v>
      </c>
      <c r="C61" t="s">
        <v>1030</v>
      </c>
      <c r="D61" t="s">
        <v>1021</v>
      </c>
      <c r="E61" t="s">
        <v>1036</v>
      </c>
      <c r="F61">
        <v>1</v>
      </c>
      <c r="G61">
        <v>235</v>
      </c>
      <c r="H61">
        <v>0</v>
      </c>
      <c r="I61">
        <v>31</v>
      </c>
      <c r="J61">
        <v>204</v>
      </c>
    </row>
    <row r="62" spans="1:10" x14ac:dyDescent="0.25">
      <c r="A62" t="s">
        <v>1043</v>
      </c>
      <c r="B62" t="s">
        <v>1044</v>
      </c>
      <c r="C62" t="s">
        <v>1030</v>
      </c>
      <c r="D62" t="s">
        <v>1021</v>
      </c>
      <c r="E62" t="s">
        <v>1045</v>
      </c>
      <c r="F62">
        <v>1</v>
      </c>
      <c r="G62">
        <v>0</v>
      </c>
      <c r="H62">
        <v>40</v>
      </c>
      <c r="I62">
        <v>14</v>
      </c>
      <c r="J62">
        <v>26</v>
      </c>
    </row>
    <row r="63" spans="1:10" x14ac:dyDescent="0.25">
      <c r="A63" t="s">
        <v>1046</v>
      </c>
      <c r="B63" t="s">
        <v>1047</v>
      </c>
      <c r="C63" t="s">
        <v>1048</v>
      </c>
      <c r="D63" t="s">
        <v>1021</v>
      </c>
      <c r="E63" t="s">
        <v>1049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1050</v>
      </c>
      <c r="B64" t="s">
        <v>1051</v>
      </c>
      <c r="C64" t="s">
        <v>984</v>
      </c>
      <c r="D64" t="s">
        <v>1021</v>
      </c>
      <c r="E64" t="s">
        <v>1036</v>
      </c>
      <c r="F64">
        <v>1</v>
      </c>
      <c r="G64">
        <v>16</v>
      </c>
      <c r="H64">
        <v>10</v>
      </c>
      <c r="I64">
        <v>11</v>
      </c>
      <c r="J64">
        <v>15</v>
      </c>
    </row>
    <row r="65" spans="1:10" x14ac:dyDescent="0.25">
      <c r="A65" t="s">
        <v>1052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1053</v>
      </c>
      <c r="B66" t="s">
        <v>1054</v>
      </c>
      <c r="C66" t="s">
        <v>1055</v>
      </c>
      <c r="D66" t="s">
        <v>1056</v>
      </c>
      <c r="E66" t="s">
        <v>1057</v>
      </c>
      <c r="F66">
        <v>1</v>
      </c>
      <c r="G66">
        <v>9000</v>
      </c>
      <c r="H66">
        <v>0</v>
      </c>
      <c r="I66">
        <v>2400</v>
      </c>
      <c r="J66">
        <v>6600</v>
      </c>
    </row>
    <row r="67" spans="1:10" x14ac:dyDescent="0.25">
      <c r="A67" t="s">
        <v>1058</v>
      </c>
      <c r="B67" t="s">
        <v>1059</v>
      </c>
      <c r="C67" t="s">
        <v>1060</v>
      </c>
      <c r="D67" t="s">
        <v>1056</v>
      </c>
      <c r="E67" t="s">
        <v>1061</v>
      </c>
      <c r="F67">
        <v>1</v>
      </c>
      <c r="G67">
        <v>4410</v>
      </c>
      <c r="H67">
        <v>0</v>
      </c>
      <c r="I67">
        <v>0</v>
      </c>
      <c r="J67">
        <v>4410</v>
      </c>
    </row>
    <row r="68" spans="1:10" x14ac:dyDescent="0.25">
      <c r="A68" t="s">
        <v>1062</v>
      </c>
      <c r="B68" t="s">
        <v>1063</v>
      </c>
      <c r="C68" t="s">
        <v>1064</v>
      </c>
      <c r="D68" t="s">
        <v>1056</v>
      </c>
      <c r="E68" t="s">
        <v>1065</v>
      </c>
      <c r="F68">
        <v>1</v>
      </c>
      <c r="G68">
        <v>7</v>
      </c>
      <c r="H68">
        <v>0</v>
      </c>
      <c r="I68">
        <v>2</v>
      </c>
      <c r="J68">
        <v>5</v>
      </c>
    </row>
    <row r="69" spans="1:10" x14ac:dyDescent="0.25">
      <c r="A69" t="s">
        <v>1066</v>
      </c>
      <c r="B69" t="s">
        <v>1067</v>
      </c>
      <c r="C69" t="s">
        <v>1064</v>
      </c>
      <c r="D69" t="s">
        <v>1056</v>
      </c>
      <c r="E69" t="s">
        <v>1065</v>
      </c>
      <c r="F69">
        <v>1</v>
      </c>
      <c r="G69">
        <v>5</v>
      </c>
      <c r="H69">
        <v>144</v>
      </c>
      <c r="I69">
        <v>3</v>
      </c>
      <c r="J69">
        <v>146</v>
      </c>
    </row>
    <row r="70" spans="1:10" x14ac:dyDescent="0.25">
      <c r="A70" t="s">
        <v>1068</v>
      </c>
      <c r="B70" t="s">
        <v>1069</v>
      </c>
      <c r="C70" t="s">
        <v>1064</v>
      </c>
      <c r="D70" t="s">
        <v>1056</v>
      </c>
      <c r="E70" t="s">
        <v>1065</v>
      </c>
      <c r="F70">
        <v>1</v>
      </c>
      <c r="G70">
        <v>11</v>
      </c>
      <c r="H70">
        <v>0</v>
      </c>
      <c r="I70">
        <v>1</v>
      </c>
      <c r="J70">
        <v>10</v>
      </c>
    </row>
    <row r="71" spans="1:10" x14ac:dyDescent="0.25">
      <c r="A71" t="s">
        <v>1070</v>
      </c>
      <c r="B71" t="s">
        <v>1071</v>
      </c>
      <c r="C71" t="s">
        <v>1064</v>
      </c>
      <c r="D71" t="s">
        <v>1056</v>
      </c>
      <c r="E71" t="s">
        <v>1072</v>
      </c>
      <c r="F71">
        <v>1</v>
      </c>
      <c r="G71">
        <v>14</v>
      </c>
      <c r="H71">
        <v>0</v>
      </c>
      <c r="I71">
        <v>1</v>
      </c>
      <c r="J71">
        <v>13</v>
      </c>
    </row>
    <row r="72" spans="1:10" x14ac:dyDescent="0.25">
      <c r="A72" t="s">
        <v>1073</v>
      </c>
      <c r="B72" t="s">
        <v>1074</v>
      </c>
      <c r="C72" t="s">
        <v>1075</v>
      </c>
      <c r="D72" t="s">
        <v>1056</v>
      </c>
      <c r="E72" t="s">
        <v>1076</v>
      </c>
      <c r="F72">
        <v>1</v>
      </c>
      <c r="G72">
        <v>26</v>
      </c>
      <c r="H72">
        <v>66</v>
      </c>
      <c r="I72">
        <v>22</v>
      </c>
      <c r="J72">
        <v>70</v>
      </c>
    </row>
    <row r="73" spans="1:10" x14ac:dyDescent="0.25">
      <c r="A73" t="s">
        <v>1077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1078</v>
      </c>
      <c r="B74" t="s">
        <v>1079</v>
      </c>
      <c r="C74" t="s">
        <v>1080</v>
      </c>
      <c r="D74" t="s">
        <v>1077</v>
      </c>
      <c r="E74" t="s">
        <v>1033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1081</v>
      </c>
      <c r="B75" t="s">
        <v>1082</v>
      </c>
      <c r="C75" t="s">
        <v>1080</v>
      </c>
      <c r="D75" t="s">
        <v>1077</v>
      </c>
      <c r="E75" t="s">
        <v>1033</v>
      </c>
      <c r="F75">
        <v>1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1083</v>
      </c>
      <c r="B76" t="s">
        <v>1084</v>
      </c>
      <c r="C76" t="s">
        <v>1085</v>
      </c>
      <c r="D76" t="s">
        <v>1077</v>
      </c>
      <c r="E76" t="s">
        <v>1036</v>
      </c>
      <c r="F76">
        <v>1</v>
      </c>
      <c r="G76">
        <v>0</v>
      </c>
      <c r="H76">
        <v>0</v>
      </c>
      <c r="I76">
        <v>60000</v>
      </c>
      <c r="J76">
        <v>-60000</v>
      </c>
    </row>
    <row r="77" spans="1:10" x14ac:dyDescent="0.25">
      <c r="A77" t="s">
        <v>1086</v>
      </c>
      <c r="B77" t="s">
        <v>1087</v>
      </c>
      <c r="C77" t="s">
        <v>1085</v>
      </c>
      <c r="D77" t="s">
        <v>1077</v>
      </c>
      <c r="E77" t="s">
        <v>1036</v>
      </c>
      <c r="F77">
        <v>1</v>
      </c>
      <c r="G77">
        <v>0</v>
      </c>
      <c r="H77">
        <v>0</v>
      </c>
      <c r="I77">
        <v>7000</v>
      </c>
      <c r="J77">
        <v>-7000</v>
      </c>
    </row>
    <row r="78" spans="1:10" x14ac:dyDescent="0.25">
      <c r="A78" t="s">
        <v>1088</v>
      </c>
      <c r="B78" t="s">
        <v>1089</v>
      </c>
      <c r="C78" t="s">
        <v>1085</v>
      </c>
      <c r="D78" t="s">
        <v>1077</v>
      </c>
      <c r="E78" t="s">
        <v>1036</v>
      </c>
      <c r="F78">
        <v>1</v>
      </c>
      <c r="G78">
        <v>0</v>
      </c>
      <c r="H78">
        <v>0</v>
      </c>
      <c r="I78">
        <v>44000</v>
      </c>
      <c r="J78">
        <v>-44000</v>
      </c>
    </row>
    <row r="79" spans="1:10" x14ac:dyDescent="0.25">
      <c r="A79" t="s">
        <v>1090</v>
      </c>
      <c r="B79" t="s">
        <v>1091</v>
      </c>
      <c r="C79" t="s">
        <v>1085</v>
      </c>
      <c r="D79" t="s">
        <v>1077</v>
      </c>
      <c r="E79" t="s">
        <v>1036</v>
      </c>
      <c r="F79">
        <v>1</v>
      </c>
      <c r="G79">
        <v>0</v>
      </c>
      <c r="H79">
        <v>0</v>
      </c>
      <c r="I79">
        <v>1000</v>
      </c>
      <c r="J79">
        <v>-1000</v>
      </c>
    </row>
    <row r="80" spans="1:10" x14ac:dyDescent="0.25">
      <c r="A80" t="s">
        <v>1092</v>
      </c>
      <c r="B80" t="s">
        <v>1093</v>
      </c>
      <c r="C80" t="s">
        <v>1085</v>
      </c>
      <c r="D80" t="s">
        <v>1077</v>
      </c>
      <c r="E80" t="s">
        <v>1036</v>
      </c>
      <c r="F80">
        <v>1</v>
      </c>
      <c r="G80">
        <v>0</v>
      </c>
      <c r="H80">
        <v>0</v>
      </c>
      <c r="I80">
        <v>2000</v>
      </c>
      <c r="J80">
        <v>-2000</v>
      </c>
    </row>
    <row r="81" spans="1:10" x14ac:dyDescent="0.25">
      <c r="A81" t="s">
        <v>1094</v>
      </c>
      <c r="B81" t="s">
        <v>1095</v>
      </c>
      <c r="C81" t="s">
        <v>1085</v>
      </c>
      <c r="D81" t="s">
        <v>1077</v>
      </c>
      <c r="E81" t="s">
        <v>1036</v>
      </c>
      <c r="F81">
        <v>1</v>
      </c>
      <c r="G81">
        <v>0</v>
      </c>
      <c r="H81">
        <v>0</v>
      </c>
      <c r="I81">
        <v>12000</v>
      </c>
      <c r="J81">
        <v>-12000</v>
      </c>
    </row>
    <row r="82" spans="1:10" x14ac:dyDescent="0.25">
      <c r="A82" t="s">
        <v>1096</v>
      </c>
      <c r="B82" t="s">
        <v>1097</v>
      </c>
      <c r="C82" t="s">
        <v>1085</v>
      </c>
      <c r="D82" t="s">
        <v>1077</v>
      </c>
      <c r="E82" t="s">
        <v>1036</v>
      </c>
      <c r="F82">
        <v>1</v>
      </c>
      <c r="G82">
        <v>0</v>
      </c>
      <c r="H82">
        <v>0</v>
      </c>
      <c r="I82">
        <v>8000</v>
      </c>
      <c r="J82">
        <v>-8000</v>
      </c>
    </row>
    <row r="83" spans="1:10" x14ac:dyDescent="0.25">
      <c r="A83" t="s">
        <v>1098</v>
      </c>
      <c r="B83" t="s">
        <v>1099</v>
      </c>
      <c r="C83" t="s">
        <v>1085</v>
      </c>
      <c r="D83" t="s">
        <v>1077</v>
      </c>
      <c r="E83" t="s">
        <v>1036</v>
      </c>
      <c r="F83">
        <v>1</v>
      </c>
      <c r="G83">
        <v>0</v>
      </c>
      <c r="H83">
        <v>21000</v>
      </c>
      <c r="I83">
        <v>0</v>
      </c>
      <c r="J83">
        <v>21000</v>
      </c>
    </row>
    <row r="84" spans="1:10" x14ac:dyDescent="0.25">
      <c r="A84" t="s">
        <v>1100</v>
      </c>
      <c r="B84" t="s">
        <v>1101</v>
      </c>
      <c r="C84" t="s">
        <v>1085</v>
      </c>
      <c r="D84" t="s">
        <v>1077</v>
      </c>
      <c r="E84" t="s">
        <v>1036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1102</v>
      </c>
      <c r="B85" t="s">
        <v>1103</v>
      </c>
      <c r="C85" t="s">
        <v>1085</v>
      </c>
      <c r="D85" t="s">
        <v>1077</v>
      </c>
      <c r="E85" t="s">
        <v>1036</v>
      </c>
      <c r="F85">
        <v>1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1104</v>
      </c>
      <c r="B86" t="s">
        <v>1105</v>
      </c>
      <c r="C86" t="s">
        <v>1085</v>
      </c>
      <c r="D86" t="s">
        <v>1077</v>
      </c>
      <c r="E86" t="s">
        <v>1036</v>
      </c>
      <c r="F86">
        <v>1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1106</v>
      </c>
      <c r="B87" t="s">
        <v>1107</v>
      </c>
      <c r="C87" t="s">
        <v>1085</v>
      </c>
      <c r="D87" t="s">
        <v>1077</v>
      </c>
      <c r="E87" t="s">
        <v>1036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1108</v>
      </c>
      <c r="B88" t="s">
        <v>1109</v>
      </c>
      <c r="C88" t="s">
        <v>1085</v>
      </c>
      <c r="D88" t="s">
        <v>1077</v>
      </c>
      <c r="E88" t="s">
        <v>1036</v>
      </c>
      <c r="F88">
        <v>1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1110</v>
      </c>
      <c r="B89" t="s">
        <v>1111</v>
      </c>
      <c r="C89" t="s">
        <v>1075</v>
      </c>
      <c r="D89" t="s">
        <v>1077</v>
      </c>
      <c r="E89" t="s">
        <v>1036</v>
      </c>
      <c r="F89">
        <v>1</v>
      </c>
      <c r="G89">
        <v>0</v>
      </c>
      <c r="H89">
        <v>72000</v>
      </c>
      <c r="I89">
        <v>17660</v>
      </c>
      <c r="J89">
        <v>54340</v>
      </c>
    </row>
    <row r="90" spans="1:10" x14ac:dyDescent="0.25">
      <c r="A90" t="s">
        <v>1112</v>
      </c>
      <c r="B90" t="s">
        <v>1113</v>
      </c>
      <c r="C90" t="s">
        <v>1075</v>
      </c>
      <c r="D90" t="s">
        <v>1077</v>
      </c>
      <c r="E90" t="s">
        <v>1036</v>
      </c>
      <c r="F90">
        <v>1</v>
      </c>
      <c r="G90">
        <v>0</v>
      </c>
      <c r="H90">
        <v>30000</v>
      </c>
      <c r="I90">
        <v>7000</v>
      </c>
      <c r="J90">
        <v>23000</v>
      </c>
    </row>
    <row r="91" spans="1:10" x14ac:dyDescent="0.25">
      <c r="A91" t="s">
        <v>1114</v>
      </c>
      <c r="B91" t="s">
        <v>1115</v>
      </c>
      <c r="C91" t="s">
        <v>1075</v>
      </c>
      <c r="D91" t="s">
        <v>1077</v>
      </c>
      <c r="E91" t="s">
        <v>1036</v>
      </c>
      <c r="F91">
        <v>1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1116</v>
      </c>
      <c r="B92" t="s">
        <v>1117</v>
      </c>
      <c r="C92" t="s">
        <v>1075</v>
      </c>
      <c r="D92" t="s">
        <v>1077</v>
      </c>
      <c r="E92" t="s">
        <v>1036</v>
      </c>
      <c r="F92">
        <v>1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1118</v>
      </c>
      <c r="B93" t="s">
        <v>1119</v>
      </c>
      <c r="C93" t="s">
        <v>1075</v>
      </c>
      <c r="D93" t="s">
        <v>1077</v>
      </c>
      <c r="E93" t="s">
        <v>1036</v>
      </c>
      <c r="F93">
        <v>1</v>
      </c>
      <c r="G93">
        <v>0</v>
      </c>
      <c r="H93">
        <v>0</v>
      </c>
      <c r="I93">
        <v>500</v>
      </c>
      <c r="J93">
        <v>-500</v>
      </c>
    </row>
    <row r="94" spans="1:10" x14ac:dyDescent="0.25">
      <c r="A94" t="s">
        <v>1120</v>
      </c>
      <c r="B94" t="s">
        <v>1121</v>
      </c>
      <c r="C94" t="s">
        <v>1075</v>
      </c>
      <c r="D94" t="s">
        <v>1077</v>
      </c>
      <c r="E94" t="s">
        <v>1036</v>
      </c>
      <c r="F94">
        <v>1</v>
      </c>
      <c r="G94">
        <v>0</v>
      </c>
      <c r="H94">
        <v>25000</v>
      </c>
      <c r="I94">
        <v>3000</v>
      </c>
      <c r="J94">
        <v>22000</v>
      </c>
    </row>
    <row r="95" spans="1:10" x14ac:dyDescent="0.25">
      <c r="A95" t="s">
        <v>1122</v>
      </c>
      <c r="B95" t="s">
        <v>1123</v>
      </c>
      <c r="C95" t="s">
        <v>1075</v>
      </c>
      <c r="D95" t="s">
        <v>1077</v>
      </c>
      <c r="E95" t="s">
        <v>1036</v>
      </c>
      <c r="F95">
        <v>1</v>
      </c>
      <c r="G95">
        <v>0</v>
      </c>
      <c r="H95">
        <v>10000</v>
      </c>
      <c r="I95">
        <v>8000</v>
      </c>
      <c r="J95">
        <v>2000</v>
      </c>
    </row>
    <row r="96" spans="1:10" x14ac:dyDescent="0.25">
      <c r="A96" t="s">
        <v>1124</v>
      </c>
      <c r="B96" t="s">
        <v>1125</v>
      </c>
      <c r="C96" t="s">
        <v>1075</v>
      </c>
      <c r="D96" t="s">
        <v>1077</v>
      </c>
      <c r="E96" t="s">
        <v>1036</v>
      </c>
      <c r="F96">
        <v>1</v>
      </c>
      <c r="G96">
        <v>0</v>
      </c>
      <c r="H96">
        <v>0</v>
      </c>
      <c r="I96">
        <v>1000</v>
      </c>
      <c r="J96">
        <v>-1000</v>
      </c>
    </row>
    <row r="97" spans="1:10" x14ac:dyDescent="0.25">
      <c r="A97" t="s">
        <v>1126</v>
      </c>
      <c r="B97" t="s">
        <v>1127</v>
      </c>
      <c r="C97" t="s">
        <v>1075</v>
      </c>
      <c r="D97" t="s">
        <v>1077</v>
      </c>
      <c r="E97" t="s">
        <v>1036</v>
      </c>
      <c r="F97">
        <v>1</v>
      </c>
      <c r="G97">
        <v>0</v>
      </c>
      <c r="H97">
        <v>3000</v>
      </c>
      <c r="I97">
        <v>1000</v>
      </c>
      <c r="J97">
        <v>2000</v>
      </c>
    </row>
    <row r="98" spans="1:10" x14ac:dyDescent="0.25">
      <c r="A98" t="s">
        <v>1128</v>
      </c>
      <c r="B98" t="s">
        <v>1129</v>
      </c>
      <c r="C98" t="s">
        <v>1075</v>
      </c>
      <c r="D98" t="s">
        <v>1077</v>
      </c>
      <c r="E98" t="s">
        <v>1036</v>
      </c>
      <c r="F98">
        <v>1</v>
      </c>
      <c r="G98">
        <v>0</v>
      </c>
      <c r="H98">
        <v>3000</v>
      </c>
      <c r="I98">
        <v>0</v>
      </c>
      <c r="J98">
        <v>3000</v>
      </c>
    </row>
    <row r="99" spans="1:10" x14ac:dyDescent="0.25">
      <c r="A99" t="s">
        <v>1130</v>
      </c>
      <c r="B99" t="s">
        <v>1131</v>
      </c>
      <c r="C99" t="s">
        <v>1075</v>
      </c>
      <c r="D99" t="s">
        <v>1077</v>
      </c>
      <c r="E99" t="s">
        <v>1036</v>
      </c>
      <c r="F99">
        <v>1</v>
      </c>
      <c r="G99">
        <v>0</v>
      </c>
      <c r="H99">
        <v>3000</v>
      </c>
      <c r="I99">
        <v>0</v>
      </c>
      <c r="J99">
        <v>3000</v>
      </c>
    </row>
    <row r="100" spans="1:10" x14ac:dyDescent="0.25">
      <c r="A100" t="s">
        <v>1132</v>
      </c>
      <c r="B100" t="s">
        <v>1133</v>
      </c>
      <c r="C100" t="s">
        <v>1075</v>
      </c>
      <c r="D100" t="s">
        <v>1077</v>
      </c>
      <c r="E100" t="s">
        <v>1036</v>
      </c>
      <c r="F100">
        <v>1</v>
      </c>
      <c r="G100">
        <v>0</v>
      </c>
      <c r="H100">
        <v>3000</v>
      </c>
      <c r="I100">
        <v>1000</v>
      </c>
      <c r="J100">
        <v>2000</v>
      </c>
    </row>
    <row r="101" spans="1:10" x14ac:dyDescent="0.25">
      <c r="A101" t="s">
        <v>1134</v>
      </c>
      <c r="B101" t="s">
        <v>1135</v>
      </c>
      <c r="C101" t="s">
        <v>1075</v>
      </c>
      <c r="D101" t="s">
        <v>1077</v>
      </c>
      <c r="E101" t="s">
        <v>1036</v>
      </c>
      <c r="F101">
        <v>1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1136</v>
      </c>
      <c r="B102" t="s">
        <v>1137</v>
      </c>
      <c r="C102" t="s">
        <v>1075</v>
      </c>
      <c r="D102" t="s">
        <v>1077</v>
      </c>
      <c r="E102" t="s">
        <v>1036</v>
      </c>
      <c r="F102">
        <v>1</v>
      </c>
      <c r="G102">
        <v>0</v>
      </c>
      <c r="H102">
        <v>3000</v>
      </c>
      <c r="I102">
        <v>0</v>
      </c>
      <c r="J102">
        <v>3000</v>
      </c>
    </row>
    <row r="103" spans="1:10" x14ac:dyDescent="0.25">
      <c r="A103" t="s">
        <v>1138</v>
      </c>
      <c r="B103" t="s">
        <v>1139</v>
      </c>
      <c r="C103" t="s">
        <v>1075</v>
      </c>
      <c r="D103" t="s">
        <v>1077</v>
      </c>
      <c r="E103" t="s">
        <v>1036</v>
      </c>
      <c r="F103">
        <v>1</v>
      </c>
      <c r="G103">
        <v>0</v>
      </c>
      <c r="H103">
        <v>3000</v>
      </c>
      <c r="I103">
        <v>0</v>
      </c>
      <c r="J103">
        <v>3000</v>
      </c>
    </row>
    <row r="104" spans="1:10" x14ac:dyDescent="0.25">
      <c r="A104" t="s">
        <v>1140</v>
      </c>
      <c r="B104" t="s">
        <v>1141</v>
      </c>
      <c r="C104" t="s">
        <v>1075</v>
      </c>
      <c r="D104" t="s">
        <v>1077</v>
      </c>
      <c r="E104" t="s">
        <v>1036</v>
      </c>
      <c r="F104">
        <v>1</v>
      </c>
      <c r="G104">
        <v>0</v>
      </c>
      <c r="H104">
        <v>0</v>
      </c>
      <c r="I104">
        <v>1200</v>
      </c>
      <c r="J104">
        <v>-1200</v>
      </c>
    </row>
    <row r="105" spans="1:10" x14ac:dyDescent="0.25">
      <c r="A105" t="s">
        <v>1142</v>
      </c>
      <c r="B105" t="s">
        <v>1143</v>
      </c>
      <c r="C105" t="s">
        <v>1075</v>
      </c>
      <c r="D105" t="s">
        <v>1077</v>
      </c>
      <c r="E105" t="s">
        <v>1036</v>
      </c>
      <c r="F105">
        <v>1</v>
      </c>
      <c r="G105">
        <v>0</v>
      </c>
      <c r="H105">
        <v>0</v>
      </c>
      <c r="I105">
        <v>3500</v>
      </c>
      <c r="J105">
        <v>-3500</v>
      </c>
    </row>
    <row r="106" spans="1:10" x14ac:dyDescent="0.25">
      <c r="A106" t="s">
        <v>1144</v>
      </c>
      <c r="B106" t="s">
        <v>1145</v>
      </c>
      <c r="C106" t="s">
        <v>1075</v>
      </c>
      <c r="D106" t="s">
        <v>1077</v>
      </c>
      <c r="E106" t="s">
        <v>1036</v>
      </c>
      <c r="F106">
        <v>1</v>
      </c>
      <c r="G106">
        <v>0</v>
      </c>
      <c r="H106">
        <v>0</v>
      </c>
      <c r="I106">
        <v>1000</v>
      </c>
      <c r="J106">
        <v>-1000</v>
      </c>
    </row>
    <row r="107" spans="1:10" x14ac:dyDescent="0.25">
      <c r="A107" t="s">
        <v>1146</v>
      </c>
      <c r="B107" t="s">
        <v>1147</v>
      </c>
      <c r="C107" t="s">
        <v>1075</v>
      </c>
      <c r="D107" t="s">
        <v>1077</v>
      </c>
      <c r="E107" t="s">
        <v>1036</v>
      </c>
      <c r="F107">
        <v>1</v>
      </c>
      <c r="G107">
        <v>0</v>
      </c>
      <c r="H107">
        <v>0</v>
      </c>
      <c r="I107">
        <v>500</v>
      </c>
      <c r="J107">
        <v>-500</v>
      </c>
    </row>
    <row r="108" spans="1:10" x14ac:dyDescent="0.25">
      <c r="A108" t="s">
        <v>1148</v>
      </c>
      <c r="B108" t="s">
        <v>1149</v>
      </c>
      <c r="C108" t="s">
        <v>1075</v>
      </c>
      <c r="D108" t="s">
        <v>1077</v>
      </c>
      <c r="E108" t="s">
        <v>1036</v>
      </c>
      <c r="F108">
        <v>1</v>
      </c>
      <c r="G108">
        <v>0</v>
      </c>
      <c r="H108">
        <v>0</v>
      </c>
      <c r="I108">
        <v>500</v>
      </c>
      <c r="J108">
        <v>-500</v>
      </c>
    </row>
    <row r="109" spans="1:10" x14ac:dyDescent="0.25">
      <c r="A109" t="s">
        <v>1150</v>
      </c>
      <c r="B109" t="s">
        <v>1151</v>
      </c>
      <c r="C109" t="s">
        <v>1075</v>
      </c>
      <c r="D109" t="s">
        <v>1077</v>
      </c>
      <c r="E109" t="s">
        <v>1036</v>
      </c>
      <c r="F109">
        <v>1</v>
      </c>
      <c r="G109">
        <v>0</v>
      </c>
      <c r="H109">
        <v>0</v>
      </c>
      <c r="I109">
        <v>500</v>
      </c>
      <c r="J109">
        <v>-500</v>
      </c>
    </row>
    <row r="110" spans="1:10" x14ac:dyDescent="0.25">
      <c r="A110" t="s">
        <v>1152</v>
      </c>
      <c r="B110" t="s">
        <v>1153</v>
      </c>
      <c r="C110" t="s">
        <v>1075</v>
      </c>
      <c r="D110" t="s">
        <v>1077</v>
      </c>
      <c r="E110" t="s">
        <v>1036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1154</v>
      </c>
      <c r="B111" t="s">
        <v>1155</v>
      </c>
      <c r="C111" t="s">
        <v>1075</v>
      </c>
      <c r="D111" t="s">
        <v>1077</v>
      </c>
      <c r="E111" t="s">
        <v>1036</v>
      </c>
      <c r="F111">
        <v>1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1156</v>
      </c>
      <c r="B112" t="s">
        <v>1157</v>
      </c>
      <c r="C112" t="s">
        <v>1075</v>
      </c>
      <c r="D112" t="s">
        <v>1077</v>
      </c>
      <c r="E112" t="s">
        <v>1036</v>
      </c>
      <c r="F112">
        <v>1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1158</v>
      </c>
      <c r="B113" t="s">
        <v>1159</v>
      </c>
      <c r="C113" t="s">
        <v>1075</v>
      </c>
      <c r="D113" t="s">
        <v>1077</v>
      </c>
      <c r="E113" t="s">
        <v>1036</v>
      </c>
      <c r="F113">
        <v>1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1160</v>
      </c>
      <c r="B114" t="s">
        <v>1161</v>
      </c>
      <c r="C114" t="s">
        <v>1075</v>
      </c>
      <c r="D114" t="s">
        <v>1077</v>
      </c>
      <c r="E114" t="s">
        <v>1036</v>
      </c>
      <c r="F114">
        <v>1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1162</v>
      </c>
      <c r="B115" t="s">
        <v>1163</v>
      </c>
      <c r="C115" t="s">
        <v>1075</v>
      </c>
      <c r="D115" t="s">
        <v>1077</v>
      </c>
      <c r="E115" t="s">
        <v>1036</v>
      </c>
      <c r="F115">
        <v>1</v>
      </c>
      <c r="G115">
        <v>0</v>
      </c>
      <c r="H115">
        <v>0</v>
      </c>
      <c r="I115">
        <v>1000</v>
      </c>
      <c r="J115">
        <v>-1000</v>
      </c>
    </row>
    <row r="116" spans="1:10" x14ac:dyDescent="0.25">
      <c r="A116" t="s">
        <v>1164</v>
      </c>
      <c r="B116" t="s">
        <v>1165</v>
      </c>
      <c r="C116" t="s">
        <v>1075</v>
      </c>
      <c r="D116" t="s">
        <v>1077</v>
      </c>
      <c r="E116" t="s">
        <v>1036</v>
      </c>
      <c r="F116">
        <v>1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1166</v>
      </c>
      <c r="B117" t="s">
        <v>1167</v>
      </c>
      <c r="C117" t="s">
        <v>1075</v>
      </c>
      <c r="D117" t="s">
        <v>1077</v>
      </c>
      <c r="E117" t="s">
        <v>1036</v>
      </c>
      <c r="F117">
        <v>1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1168</v>
      </c>
      <c r="B118" t="s">
        <v>1169</v>
      </c>
      <c r="C118" t="s">
        <v>1075</v>
      </c>
      <c r="D118" t="s">
        <v>1077</v>
      </c>
      <c r="E118" t="s">
        <v>1036</v>
      </c>
      <c r="F118">
        <v>1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1170</v>
      </c>
      <c r="B119" t="s">
        <v>1171</v>
      </c>
      <c r="C119" t="s">
        <v>1075</v>
      </c>
      <c r="D119" t="s">
        <v>1077</v>
      </c>
      <c r="E119" t="s">
        <v>1036</v>
      </c>
      <c r="F119">
        <v>1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1172</v>
      </c>
      <c r="B120" t="s">
        <v>1173</v>
      </c>
      <c r="C120" t="s">
        <v>1075</v>
      </c>
      <c r="D120" t="s">
        <v>1077</v>
      </c>
      <c r="E120" t="s">
        <v>1036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1174</v>
      </c>
      <c r="B121" t="s">
        <v>1175</v>
      </c>
      <c r="C121" t="s">
        <v>1075</v>
      </c>
      <c r="D121" t="s">
        <v>1077</v>
      </c>
      <c r="E121" t="s">
        <v>1036</v>
      </c>
      <c r="F121">
        <v>1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1176</v>
      </c>
      <c r="B122" t="s">
        <v>1177</v>
      </c>
      <c r="C122" t="s">
        <v>1075</v>
      </c>
      <c r="D122" t="s">
        <v>1077</v>
      </c>
      <c r="E122" t="s">
        <v>1036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1178</v>
      </c>
      <c r="B123" t="s">
        <v>1179</v>
      </c>
      <c r="C123" t="s">
        <v>1075</v>
      </c>
      <c r="D123" t="s">
        <v>1077</v>
      </c>
      <c r="E123" t="s">
        <v>1036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1180</v>
      </c>
      <c r="B124" t="s">
        <v>1181</v>
      </c>
      <c r="C124" t="s">
        <v>1075</v>
      </c>
      <c r="D124" t="s">
        <v>1077</v>
      </c>
      <c r="E124" t="s">
        <v>1036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1182</v>
      </c>
      <c r="B125" t="s">
        <v>1183</v>
      </c>
      <c r="C125" t="s">
        <v>1075</v>
      </c>
      <c r="D125" t="s">
        <v>1077</v>
      </c>
      <c r="E125" t="s">
        <v>1036</v>
      </c>
      <c r="F125">
        <v>1</v>
      </c>
      <c r="G125">
        <v>0</v>
      </c>
      <c r="H125">
        <v>15000</v>
      </c>
      <c r="I125">
        <v>0</v>
      </c>
      <c r="J125">
        <v>15000</v>
      </c>
    </row>
    <row r="126" spans="1:10" x14ac:dyDescent="0.25">
      <c r="A126" t="s">
        <v>1184</v>
      </c>
      <c r="B126" t="s">
        <v>1185</v>
      </c>
      <c r="C126" t="s">
        <v>1075</v>
      </c>
      <c r="D126" t="s">
        <v>1077</v>
      </c>
      <c r="E126" t="s">
        <v>1036</v>
      </c>
      <c r="F126">
        <v>1</v>
      </c>
      <c r="G126">
        <v>0</v>
      </c>
      <c r="H126">
        <v>15000</v>
      </c>
      <c r="I126">
        <v>0</v>
      </c>
      <c r="J126">
        <v>15000</v>
      </c>
    </row>
    <row r="127" spans="1:10" x14ac:dyDescent="0.25">
      <c r="A127" t="s">
        <v>1186</v>
      </c>
      <c r="B127" t="s">
        <v>1187</v>
      </c>
      <c r="C127" t="s">
        <v>1075</v>
      </c>
      <c r="D127" t="s">
        <v>1077</v>
      </c>
      <c r="E127" t="s">
        <v>1036</v>
      </c>
      <c r="F127">
        <v>1</v>
      </c>
      <c r="G127">
        <v>0</v>
      </c>
      <c r="H127">
        <v>15000</v>
      </c>
      <c r="I127">
        <v>0</v>
      </c>
      <c r="J127">
        <v>15000</v>
      </c>
    </row>
    <row r="128" spans="1:10" x14ac:dyDescent="0.25">
      <c r="A128" t="s">
        <v>1188</v>
      </c>
      <c r="B128" t="s">
        <v>1189</v>
      </c>
      <c r="C128" t="s">
        <v>1075</v>
      </c>
      <c r="D128" t="s">
        <v>1077</v>
      </c>
      <c r="E128" t="s">
        <v>1036</v>
      </c>
      <c r="F128">
        <v>1</v>
      </c>
      <c r="G128">
        <v>0</v>
      </c>
      <c r="H128">
        <v>24000</v>
      </c>
      <c r="I128">
        <v>0</v>
      </c>
      <c r="J128">
        <v>24000</v>
      </c>
    </row>
    <row r="129" spans="1:10" x14ac:dyDescent="0.25">
      <c r="A129" t="s">
        <v>1190</v>
      </c>
      <c r="B129" t="s">
        <v>1191</v>
      </c>
      <c r="C129" t="s">
        <v>1075</v>
      </c>
      <c r="D129" t="s">
        <v>1077</v>
      </c>
      <c r="E129" t="s">
        <v>1036</v>
      </c>
      <c r="F129">
        <v>1</v>
      </c>
      <c r="G129">
        <v>0</v>
      </c>
      <c r="H129">
        <v>20000</v>
      </c>
      <c r="I129">
        <v>0</v>
      </c>
      <c r="J129">
        <v>20000</v>
      </c>
    </row>
    <row r="130" spans="1:10" x14ac:dyDescent="0.25">
      <c r="A130" t="s">
        <v>1192</v>
      </c>
      <c r="B130" t="s">
        <v>1193</v>
      </c>
      <c r="C130" t="s">
        <v>1075</v>
      </c>
      <c r="D130" t="s">
        <v>1077</v>
      </c>
      <c r="E130" t="s">
        <v>1036</v>
      </c>
      <c r="F130">
        <v>1</v>
      </c>
      <c r="G130">
        <v>0</v>
      </c>
      <c r="H130">
        <v>12000</v>
      </c>
      <c r="I130">
        <v>3000</v>
      </c>
      <c r="J130">
        <v>9000</v>
      </c>
    </row>
    <row r="131" spans="1:10" x14ac:dyDescent="0.25">
      <c r="A131" t="s">
        <v>1194</v>
      </c>
      <c r="B131" t="s">
        <v>1195</v>
      </c>
      <c r="C131" t="s">
        <v>1075</v>
      </c>
      <c r="D131" t="s">
        <v>1077</v>
      </c>
      <c r="E131" t="s">
        <v>1036</v>
      </c>
      <c r="F131">
        <v>1</v>
      </c>
      <c r="G131">
        <v>0</v>
      </c>
      <c r="H131">
        <v>0</v>
      </c>
      <c r="I131">
        <v>2000</v>
      </c>
      <c r="J131">
        <v>-2000</v>
      </c>
    </row>
    <row r="132" spans="1:10" x14ac:dyDescent="0.25">
      <c r="A132" t="s">
        <v>1196</v>
      </c>
      <c r="B132" t="s">
        <v>1197</v>
      </c>
      <c r="C132" t="s">
        <v>1075</v>
      </c>
      <c r="D132" t="s">
        <v>1077</v>
      </c>
      <c r="E132" t="s">
        <v>1036</v>
      </c>
      <c r="F132">
        <v>1</v>
      </c>
      <c r="G132">
        <v>0</v>
      </c>
      <c r="H132">
        <v>10000</v>
      </c>
      <c r="I132">
        <v>3000</v>
      </c>
      <c r="J132">
        <v>7000</v>
      </c>
    </row>
    <row r="133" spans="1:10" x14ac:dyDescent="0.25">
      <c r="A133" t="s">
        <v>1198</v>
      </c>
      <c r="B133" t="s">
        <v>1199</v>
      </c>
      <c r="C133" t="s">
        <v>1075</v>
      </c>
      <c r="D133" t="s">
        <v>1077</v>
      </c>
      <c r="E133" t="s">
        <v>1036</v>
      </c>
      <c r="F133">
        <v>1</v>
      </c>
      <c r="G133">
        <v>0</v>
      </c>
      <c r="H133">
        <v>10000</v>
      </c>
      <c r="I133">
        <v>3000</v>
      </c>
      <c r="J133">
        <v>7000</v>
      </c>
    </row>
    <row r="134" spans="1:10" x14ac:dyDescent="0.25">
      <c r="A134" t="s">
        <v>1200</v>
      </c>
      <c r="B134" t="s">
        <v>1201</v>
      </c>
      <c r="C134" t="s">
        <v>1075</v>
      </c>
      <c r="D134" t="s">
        <v>1077</v>
      </c>
      <c r="E134" t="s">
        <v>1036</v>
      </c>
      <c r="F134">
        <v>1</v>
      </c>
      <c r="G134">
        <v>0</v>
      </c>
      <c r="H134">
        <v>12000</v>
      </c>
      <c r="I134">
        <v>3000</v>
      </c>
      <c r="J134">
        <v>9000</v>
      </c>
    </row>
    <row r="135" spans="1:10" x14ac:dyDescent="0.25">
      <c r="A135" t="s">
        <v>1202</v>
      </c>
      <c r="B135" t="s">
        <v>1203</v>
      </c>
      <c r="C135" t="s">
        <v>1075</v>
      </c>
      <c r="D135" t="s">
        <v>1077</v>
      </c>
      <c r="E135" t="s">
        <v>1036</v>
      </c>
      <c r="F135">
        <v>1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1204</v>
      </c>
      <c r="B136" t="s">
        <v>1205</v>
      </c>
      <c r="C136" t="s">
        <v>1075</v>
      </c>
      <c r="D136" t="s">
        <v>1077</v>
      </c>
      <c r="E136" t="s">
        <v>1036</v>
      </c>
      <c r="F136">
        <v>1</v>
      </c>
      <c r="G136">
        <v>0</v>
      </c>
      <c r="H136">
        <v>4000</v>
      </c>
      <c r="I136">
        <v>0</v>
      </c>
      <c r="J136">
        <v>4000</v>
      </c>
    </row>
    <row r="137" spans="1:10" x14ac:dyDescent="0.25">
      <c r="A137" t="s">
        <v>1206</v>
      </c>
      <c r="B137" t="s">
        <v>1207</v>
      </c>
      <c r="C137" t="s">
        <v>1075</v>
      </c>
      <c r="D137" t="s">
        <v>1077</v>
      </c>
      <c r="E137" t="s">
        <v>1036</v>
      </c>
      <c r="F137">
        <v>1</v>
      </c>
      <c r="G137">
        <v>0</v>
      </c>
      <c r="H137">
        <v>3000</v>
      </c>
      <c r="I137">
        <v>0</v>
      </c>
      <c r="J137">
        <v>3000</v>
      </c>
    </row>
    <row r="138" spans="1:10" x14ac:dyDescent="0.25">
      <c r="A138" t="s">
        <v>1208</v>
      </c>
      <c r="B138" t="s">
        <v>1209</v>
      </c>
      <c r="C138" t="s">
        <v>1075</v>
      </c>
      <c r="D138" t="s">
        <v>1077</v>
      </c>
      <c r="E138" t="s">
        <v>1036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1210</v>
      </c>
      <c r="B139" t="s">
        <v>1211</v>
      </c>
      <c r="C139" t="s">
        <v>1075</v>
      </c>
      <c r="D139" t="s">
        <v>1077</v>
      </c>
      <c r="E139" t="s">
        <v>1036</v>
      </c>
      <c r="F139">
        <v>1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1212</v>
      </c>
      <c r="B140" t="s">
        <v>1213</v>
      </c>
      <c r="C140" t="s">
        <v>1075</v>
      </c>
      <c r="D140" t="s">
        <v>1077</v>
      </c>
      <c r="E140" t="s">
        <v>1036</v>
      </c>
      <c r="F140">
        <v>1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1214</v>
      </c>
      <c r="B141" t="s">
        <v>1215</v>
      </c>
      <c r="C141" t="s">
        <v>1075</v>
      </c>
      <c r="D141" t="s">
        <v>1077</v>
      </c>
      <c r="E141" t="s">
        <v>1036</v>
      </c>
      <c r="F141">
        <v>1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1216</v>
      </c>
      <c r="B142" t="s">
        <v>1217</v>
      </c>
      <c r="C142" t="s">
        <v>1075</v>
      </c>
      <c r="D142" t="s">
        <v>1077</v>
      </c>
      <c r="E142" t="s">
        <v>1036</v>
      </c>
      <c r="F142">
        <v>1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1218</v>
      </c>
      <c r="B143" t="s">
        <v>1219</v>
      </c>
      <c r="C143" t="s">
        <v>1075</v>
      </c>
      <c r="D143" t="s">
        <v>1077</v>
      </c>
      <c r="E143" t="s">
        <v>1036</v>
      </c>
      <c r="F143">
        <v>1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1220</v>
      </c>
      <c r="B144" t="s">
        <v>1221</v>
      </c>
      <c r="C144" t="s">
        <v>1075</v>
      </c>
      <c r="D144" t="s">
        <v>1077</v>
      </c>
      <c r="E144" t="s">
        <v>1036</v>
      </c>
      <c r="F144">
        <v>1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1222</v>
      </c>
      <c r="B145" t="s">
        <v>1223</v>
      </c>
      <c r="C145" t="s">
        <v>1075</v>
      </c>
      <c r="D145" t="s">
        <v>1077</v>
      </c>
      <c r="E145" t="s">
        <v>1036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1224</v>
      </c>
      <c r="B146" t="s">
        <v>1225</v>
      </c>
      <c r="C146" t="s">
        <v>1075</v>
      </c>
      <c r="D146" t="s">
        <v>1077</v>
      </c>
      <c r="E146" t="s">
        <v>1036</v>
      </c>
      <c r="F146">
        <v>1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1226</v>
      </c>
      <c r="B147" t="s">
        <v>1227</v>
      </c>
      <c r="C147" t="s">
        <v>1075</v>
      </c>
      <c r="D147" t="s">
        <v>1077</v>
      </c>
      <c r="E147" t="s">
        <v>1036</v>
      </c>
      <c r="F147">
        <v>1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1228</v>
      </c>
      <c r="B148" t="s">
        <v>1229</v>
      </c>
      <c r="C148" t="s">
        <v>1075</v>
      </c>
      <c r="D148" t="s">
        <v>1077</v>
      </c>
      <c r="E148" t="s">
        <v>1036</v>
      </c>
      <c r="F148">
        <v>1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1230</v>
      </c>
      <c r="B149" t="s">
        <v>1231</v>
      </c>
      <c r="C149" t="s">
        <v>1075</v>
      </c>
      <c r="D149" t="s">
        <v>1077</v>
      </c>
      <c r="E149" t="s">
        <v>1036</v>
      </c>
      <c r="F149">
        <v>1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1232</v>
      </c>
      <c r="B150" t="s">
        <v>1233</v>
      </c>
      <c r="C150" t="s">
        <v>1075</v>
      </c>
      <c r="D150" t="s">
        <v>1077</v>
      </c>
      <c r="E150" t="s">
        <v>1036</v>
      </c>
      <c r="F150">
        <v>1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1234</v>
      </c>
      <c r="B151" t="s">
        <v>1235</v>
      </c>
      <c r="C151" t="s">
        <v>1075</v>
      </c>
      <c r="D151" t="s">
        <v>1077</v>
      </c>
      <c r="E151" t="s">
        <v>1036</v>
      </c>
      <c r="F151">
        <v>1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1236</v>
      </c>
      <c r="B152" t="s">
        <v>1237</v>
      </c>
      <c r="C152" t="s">
        <v>1075</v>
      </c>
      <c r="D152" t="s">
        <v>1077</v>
      </c>
      <c r="E152" t="s">
        <v>1036</v>
      </c>
      <c r="F152">
        <v>1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1238</v>
      </c>
      <c r="B153" t="s">
        <v>1239</v>
      </c>
      <c r="C153" t="s">
        <v>1075</v>
      </c>
      <c r="D153" t="s">
        <v>1077</v>
      </c>
      <c r="E153" t="s">
        <v>1036</v>
      </c>
      <c r="F153">
        <v>1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1240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1241</v>
      </c>
      <c r="B155" t="s">
        <v>1242</v>
      </c>
      <c r="C155" t="s">
        <v>1243</v>
      </c>
      <c r="D155" t="s">
        <v>1244</v>
      </c>
      <c r="E155" t="s">
        <v>1061</v>
      </c>
      <c r="F155">
        <v>1</v>
      </c>
      <c r="G155">
        <v>250</v>
      </c>
      <c r="H155">
        <v>1000</v>
      </c>
      <c r="I155">
        <v>625</v>
      </c>
      <c r="J155">
        <v>625</v>
      </c>
    </row>
    <row r="156" spans="1:10" x14ac:dyDescent="0.25">
      <c r="A156" t="s">
        <v>1245</v>
      </c>
      <c r="B156" t="s">
        <v>1246</v>
      </c>
      <c r="C156" t="s">
        <v>1243</v>
      </c>
      <c r="D156" t="s">
        <v>1244</v>
      </c>
      <c r="E156" t="s">
        <v>1061</v>
      </c>
      <c r="F156">
        <v>1</v>
      </c>
      <c r="G156">
        <v>250</v>
      </c>
      <c r="H156">
        <v>1125</v>
      </c>
      <c r="I156">
        <v>750</v>
      </c>
      <c r="J156">
        <v>625</v>
      </c>
    </row>
    <row r="157" spans="1:10" x14ac:dyDescent="0.25">
      <c r="A157" t="s">
        <v>1247</v>
      </c>
      <c r="B157" t="s">
        <v>1248</v>
      </c>
      <c r="C157" t="s">
        <v>1243</v>
      </c>
      <c r="D157" t="s">
        <v>1244</v>
      </c>
      <c r="E157" t="s">
        <v>1061</v>
      </c>
      <c r="F157">
        <v>1</v>
      </c>
      <c r="G157">
        <v>1350</v>
      </c>
      <c r="H157">
        <v>0</v>
      </c>
      <c r="I157">
        <v>300</v>
      </c>
      <c r="J157">
        <v>1050</v>
      </c>
    </row>
    <row r="158" spans="1:10" x14ac:dyDescent="0.25">
      <c r="A158" t="s">
        <v>1249</v>
      </c>
      <c r="B158" t="s">
        <v>1250</v>
      </c>
      <c r="C158" t="s">
        <v>1243</v>
      </c>
      <c r="D158" t="s">
        <v>1244</v>
      </c>
      <c r="E158" t="s">
        <v>1061</v>
      </c>
      <c r="F158">
        <v>1</v>
      </c>
      <c r="G158">
        <v>800</v>
      </c>
      <c r="H158">
        <v>0</v>
      </c>
      <c r="I158">
        <v>0</v>
      </c>
      <c r="J158">
        <v>800</v>
      </c>
    </row>
    <row r="159" spans="1:10" x14ac:dyDescent="0.25">
      <c r="A159" t="s">
        <v>1251</v>
      </c>
      <c r="B159" t="s">
        <v>1252</v>
      </c>
      <c r="C159" t="s">
        <v>1243</v>
      </c>
      <c r="D159" t="s">
        <v>1244</v>
      </c>
      <c r="E159" t="s">
        <v>1061</v>
      </c>
      <c r="F159">
        <v>1</v>
      </c>
      <c r="G159">
        <v>400</v>
      </c>
      <c r="H159">
        <v>0</v>
      </c>
      <c r="I159">
        <v>0</v>
      </c>
      <c r="J159">
        <v>400</v>
      </c>
    </row>
    <row r="160" spans="1:10" x14ac:dyDescent="0.25">
      <c r="A160" t="s">
        <v>1253</v>
      </c>
      <c r="B160" t="s">
        <v>1254</v>
      </c>
      <c r="C160" t="s">
        <v>1243</v>
      </c>
      <c r="D160" t="s">
        <v>1244</v>
      </c>
      <c r="E160" t="s">
        <v>1061</v>
      </c>
      <c r="F160">
        <v>1</v>
      </c>
      <c r="G160">
        <v>1500</v>
      </c>
      <c r="H160">
        <v>0</v>
      </c>
      <c r="I160">
        <v>500</v>
      </c>
      <c r="J160">
        <v>1000</v>
      </c>
    </row>
    <row r="161" spans="1:10" x14ac:dyDescent="0.25">
      <c r="A161" t="s">
        <v>1255</v>
      </c>
      <c r="B161" t="s">
        <v>1256</v>
      </c>
      <c r="C161" t="s">
        <v>1243</v>
      </c>
      <c r="D161" t="s">
        <v>1244</v>
      </c>
      <c r="E161" t="s">
        <v>1061</v>
      </c>
      <c r="F161">
        <v>1</v>
      </c>
      <c r="G161">
        <v>1000</v>
      </c>
      <c r="H161">
        <v>0</v>
      </c>
      <c r="I161">
        <v>500</v>
      </c>
      <c r="J161">
        <v>500</v>
      </c>
    </row>
    <row r="162" spans="1:10" x14ac:dyDescent="0.25">
      <c r="A162" t="s">
        <v>1257</v>
      </c>
      <c r="B162" t="s">
        <v>1258</v>
      </c>
      <c r="C162" t="s">
        <v>1243</v>
      </c>
      <c r="D162" t="s">
        <v>1244</v>
      </c>
      <c r="E162" t="s">
        <v>1061</v>
      </c>
      <c r="F162">
        <v>1</v>
      </c>
      <c r="G162">
        <v>500</v>
      </c>
      <c r="H162">
        <v>0</v>
      </c>
      <c r="I162">
        <v>0</v>
      </c>
      <c r="J162">
        <v>500</v>
      </c>
    </row>
    <row r="163" spans="1:10" x14ac:dyDescent="0.25">
      <c r="A163" t="s">
        <v>1259</v>
      </c>
      <c r="B163" t="s">
        <v>1260</v>
      </c>
      <c r="C163" t="s">
        <v>1243</v>
      </c>
      <c r="D163" t="s">
        <v>1244</v>
      </c>
      <c r="E163" t="s">
        <v>1061</v>
      </c>
      <c r="F163">
        <v>1</v>
      </c>
      <c r="G163">
        <v>13200</v>
      </c>
      <c r="H163">
        <v>3000</v>
      </c>
      <c r="I163">
        <v>6700</v>
      </c>
      <c r="J163">
        <v>9500</v>
      </c>
    </row>
    <row r="164" spans="1:10" x14ac:dyDescent="0.25">
      <c r="A164" t="s">
        <v>1261</v>
      </c>
      <c r="B164" t="s">
        <v>1262</v>
      </c>
      <c r="C164" t="s">
        <v>1243</v>
      </c>
      <c r="D164" t="s">
        <v>1244</v>
      </c>
      <c r="E164" t="s">
        <v>1061</v>
      </c>
      <c r="F164">
        <v>1</v>
      </c>
      <c r="G164">
        <v>2900</v>
      </c>
      <c r="H164">
        <v>0</v>
      </c>
      <c r="I164">
        <v>0</v>
      </c>
      <c r="J164">
        <v>2900</v>
      </c>
    </row>
    <row r="165" spans="1:10" x14ac:dyDescent="0.25">
      <c r="A165" t="s">
        <v>1263</v>
      </c>
      <c r="B165" t="s">
        <v>1264</v>
      </c>
      <c r="C165" t="s">
        <v>1243</v>
      </c>
      <c r="D165" t="s">
        <v>1244</v>
      </c>
      <c r="E165" t="s">
        <v>1061</v>
      </c>
      <c r="F165">
        <v>1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1265</v>
      </c>
      <c r="B166" t="s">
        <v>1266</v>
      </c>
      <c r="C166" t="s">
        <v>1243</v>
      </c>
      <c r="D166" t="s">
        <v>1244</v>
      </c>
      <c r="E166" t="s">
        <v>1061</v>
      </c>
      <c r="F166">
        <v>1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1267</v>
      </c>
      <c r="B167" t="s">
        <v>1268</v>
      </c>
      <c r="C167" t="s">
        <v>1243</v>
      </c>
      <c r="D167" t="s">
        <v>1244</v>
      </c>
      <c r="E167" t="s">
        <v>1061</v>
      </c>
      <c r="F167">
        <v>1</v>
      </c>
      <c r="G167">
        <v>3250</v>
      </c>
      <c r="H167">
        <v>0</v>
      </c>
      <c r="I167">
        <v>0</v>
      </c>
      <c r="J167">
        <v>3250</v>
      </c>
    </row>
    <row r="168" spans="1:10" x14ac:dyDescent="0.25">
      <c r="A168" t="s">
        <v>1269</v>
      </c>
      <c r="B168" t="s">
        <v>1270</v>
      </c>
      <c r="C168" t="s">
        <v>1243</v>
      </c>
      <c r="D168" t="s">
        <v>1244</v>
      </c>
      <c r="E168" t="s">
        <v>1061</v>
      </c>
      <c r="F168">
        <v>1</v>
      </c>
      <c r="G168">
        <v>3700</v>
      </c>
      <c r="H168">
        <v>0</v>
      </c>
      <c r="I168">
        <v>0</v>
      </c>
      <c r="J168">
        <v>3700</v>
      </c>
    </row>
    <row r="169" spans="1:10" x14ac:dyDescent="0.25">
      <c r="A169" t="s">
        <v>1271</v>
      </c>
      <c r="B169" t="s">
        <v>1272</v>
      </c>
      <c r="C169" t="s">
        <v>1243</v>
      </c>
      <c r="D169" t="s">
        <v>1244</v>
      </c>
      <c r="E169" t="s">
        <v>1061</v>
      </c>
      <c r="F169">
        <v>1</v>
      </c>
      <c r="G169">
        <v>3350</v>
      </c>
      <c r="H169">
        <v>0</v>
      </c>
      <c r="I169">
        <v>0</v>
      </c>
      <c r="J169">
        <v>3350</v>
      </c>
    </row>
    <row r="170" spans="1:10" x14ac:dyDescent="0.25">
      <c r="A170" t="s">
        <v>1273</v>
      </c>
      <c r="B170" t="s">
        <v>1274</v>
      </c>
      <c r="C170" t="s">
        <v>1243</v>
      </c>
      <c r="D170" t="s">
        <v>1244</v>
      </c>
      <c r="E170" t="s">
        <v>1061</v>
      </c>
      <c r="F170">
        <v>1</v>
      </c>
      <c r="G170">
        <v>2200</v>
      </c>
      <c r="H170">
        <v>0</v>
      </c>
      <c r="I170">
        <v>0</v>
      </c>
      <c r="J170">
        <v>2200</v>
      </c>
    </row>
    <row r="171" spans="1:10" x14ac:dyDescent="0.25">
      <c r="A171" t="s">
        <v>1275</v>
      </c>
      <c r="B171" t="s">
        <v>1276</v>
      </c>
      <c r="C171" t="s">
        <v>1243</v>
      </c>
      <c r="D171" t="s">
        <v>1244</v>
      </c>
      <c r="E171" t="s">
        <v>1061</v>
      </c>
      <c r="F171">
        <v>1</v>
      </c>
      <c r="G171">
        <v>3200</v>
      </c>
      <c r="H171">
        <v>0</v>
      </c>
      <c r="I171">
        <v>0</v>
      </c>
      <c r="J171">
        <v>3200</v>
      </c>
    </row>
    <row r="172" spans="1:10" x14ac:dyDescent="0.25">
      <c r="A172" t="s">
        <v>1277</v>
      </c>
      <c r="B172" t="s">
        <v>1278</v>
      </c>
      <c r="C172" t="s">
        <v>1243</v>
      </c>
      <c r="D172" t="s">
        <v>1244</v>
      </c>
      <c r="E172" t="s">
        <v>1061</v>
      </c>
      <c r="F172">
        <v>1</v>
      </c>
      <c r="G172">
        <v>3700</v>
      </c>
      <c r="H172">
        <v>0</v>
      </c>
      <c r="I172">
        <v>0</v>
      </c>
      <c r="J172">
        <v>3700</v>
      </c>
    </row>
    <row r="173" spans="1:10" x14ac:dyDescent="0.25">
      <c r="A173" t="s">
        <v>1279</v>
      </c>
      <c r="B173" t="s">
        <v>1280</v>
      </c>
      <c r="C173" t="s">
        <v>1243</v>
      </c>
      <c r="D173" t="s">
        <v>1244</v>
      </c>
      <c r="E173" t="s">
        <v>1061</v>
      </c>
      <c r="F173">
        <v>1</v>
      </c>
      <c r="G173">
        <v>1000</v>
      </c>
      <c r="H173">
        <v>0</v>
      </c>
      <c r="I173">
        <v>0</v>
      </c>
      <c r="J173">
        <v>1000</v>
      </c>
    </row>
    <row r="174" spans="1:10" x14ac:dyDescent="0.25">
      <c r="A174" t="s">
        <v>1281</v>
      </c>
      <c r="B174" t="s">
        <v>1282</v>
      </c>
      <c r="C174" t="s">
        <v>1243</v>
      </c>
      <c r="D174" t="s">
        <v>1244</v>
      </c>
      <c r="E174" t="s">
        <v>1061</v>
      </c>
      <c r="F174">
        <v>1</v>
      </c>
      <c r="G174">
        <v>2000</v>
      </c>
      <c r="H174">
        <v>0</v>
      </c>
      <c r="I174">
        <v>500</v>
      </c>
      <c r="J174">
        <v>1500</v>
      </c>
    </row>
    <row r="175" spans="1:10" x14ac:dyDescent="0.25">
      <c r="A175" t="s">
        <v>1283</v>
      </c>
      <c r="B175" t="s">
        <v>1284</v>
      </c>
      <c r="C175" t="s">
        <v>1243</v>
      </c>
      <c r="D175" t="s">
        <v>1244</v>
      </c>
      <c r="E175" t="s">
        <v>1061</v>
      </c>
      <c r="F175">
        <v>1</v>
      </c>
      <c r="G175">
        <v>5000</v>
      </c>
      <c r="H175">
        <v>0</v>
      </c>
      <c r="I175">
        <v>0</v>
      </c>
      <c r="J175">
        <v>5000</v>
      </c>
    </row>
    <row r="176" spans="1:10" x14ac:dyDescent="0.25">
      <c r="A176" t="s">
        <v>1285</v>
      </c>
      <c r="B176" t="s">
        <v>1286</v>
      </c>
      <c r="C176" t="s">
        <v>1243</v>
      </c>
      <c r="D176" t="s">
        <v>1244</v>
      </c>
      <c r="E176" t="s">
        <v>1061</v>
      </c>
      <c r="F176">
        <v>1</v>
      </c>
      <c r="G176">
        <v>10000</v>
      </c>
      <c r="H176">
        <v>0</v>
      </c>
      <c r="I176">
        <v>0</v>
      </c>
      <c r="J176">
        <v>10000</v>
      </c>
    </row>
    <row r="177" spans="1:10" x14ac:dyDescent="0.25">
      <c r="A177" t="s">
        <v>1287</v>
      </c>
      <c r="B177" t="s">
        <v>1288</v>
      </c>
      <c r="C177" t="s">
        <v>1243</v>
      </c>
      <c r="D177" t="s">
        <v>1244</v>
      </c>
      <c r="E177" t="s">
        <v>1061</v>
      </c>
      <c r="F177">
        <v>1</v>
      </c>
      <c r="G177">
        <v>5200</v>
      </c>
      <c r="H177">
        <v>0</v>
      </c>
      <c r="I177">
        <v>1200</v>
      </c>
      <c r="J177">
        <v>4000</v>
      </c>
    </row>
    <row r="178" spans="1:10" x14ac:dyDescent="0.25">
      <c r="A178" t="s">
        <v>1289</v>
      </c>
      <c r="B178" t="s">
        <v>1290</v>
      </c>
      <c r="C178" t="s">
        <v>1243</v>
      </c>
      <c r="D178" t="s">
        <v>1244</v>
      </c>
      <c r="E178" t="s">
        <v>1061</v>
      </c>
      <c r="F178">
        <v>1</v>
      </c>
      <c r="G178">
        <v>10450</v>
      </c>
      <c r="H178">
        <v>0</v>
      </c>
      <c r="I178">
        <v>0</v>
      </c>
      <c r="J178">
        <v>10450</v>
      </c>
    </row>
    <row r="179" spans="1:10" x14ac:dyDescent="0.25">
      <c r="A179" t="s">
        <v>1291</v>
      </c>
      <c r="B179" t="s">
        <v>1292</v>
      </c>
      <c r="C179" t="s">
        <v>1243</v>
      </c>
      <c r="D179" t="s">
        <v>1244</v>
      </c>
      <c r="E179" t="s">
        <v>1061</v>
      </c>
      <c r="F179">
        <v>1</v>
      </c>
      <c r="G179">
        <v>7600</v>
      </c>
      <c r="H179">
        <v>0</v>
      </c>
      <c r="I179">
        <v>0</v>
      </c>
      <c r="J179">
        <v>7600</v>
      </c>
    </row>
    <row r="180" spans="1:10" x14ac:dyDescent="0.25">
      <c r="A180" t="s">
        <v>1293</v>
      </c>
      <c r="B180" t="s">
        <v>1294</v>
      </c>
      <c r="C180" t="s">
        <v>1243</v>
      </c>
      <c r="D180" t="s">
        <v>1244</v>
      </c>
      <c r="E180" t="s">
        <v>1061</v>
      </c>
      <c r="F180">
        <v>1</v>
      </c>
      <c r="G180">
        <v>12750</v>
      </c>
      <c r="H180">
        <v>0</v>
      </c>
      <c r="I180">
        <v>0</v>
      </c>
      <c r="J180">
        <v>12750</v>
      </c>
    </row>
    <row r="181" spans="1:10" x14ac:dyDescent="0.25">
      <c r="A181" t="s">
        <v>1295</v>
      </c>
      <c r="B181" t="s">
        <v>1296</v>
      </c>
      <c r="C181" t="s">
        <v>1243</v>
      </c>
      <c r="D181" t="s">
        <v>1244</v>
      </c>
      <c r="E181" t="s">
        <v>1061</v>
      </c>
      <c r="F181">
        <v>1</v>
      </c>
      <c r="G181">
        <v>12675</v>
      </c>
      <c r="H181">
        <v>0</v>
      </c>
      <c r="I181">
        <v>0</v>
      </c>
      <c r="J181">
        <v>12675</v>
      </c>
    </row>
    <row r="182" spans="1:10" x14ac:dyDescent="0.25">
      <c r="A182" t="s">
        <v>1297</v>
      </c>
      <c r="B182" t="s">
        <v>1298</v>
      </c>
      <c r="C182" t="s">
        <v>1243</v>
      </c>
      <c r="D182" t="s">
        <v>1244</v>
      </c>
      <c r="E182" t="s">
        <v>1061</v>
      </c>
      <c r="F182">
        <v>1</v>
      </c>
      <c r="G182">
        <v>4000</v>
      </c>
      <c r="H182">
        <v>0</v>
      </c>
      <c r="I182">
        <v>0</v>
      </c>
      <c r="J182">
        <v>4000</v>
      </c>
    </row>
    <row r="183" spans="1:10" x14ac:dyDescent="0.25">
      <c r="A183" t="s">
        <v>1299</v>
      </c>
      <c r="B183" t="s">
        <v>1300</v>
      </c>
      <c r="C183" t="s">
        <v>1243</v>
      </c>
      <c r="D183" t="s">
        <v>1244</v>
      </c>
      <c r="E183" t="s">
        <v>1061</v>
      </c>
      <c r="F183">
        <v>1</v>
      </c>
      <c r="G183">
        <v>175</v>
      </c>
      <c r="H183">
        <v>2550</v>
      </c>
      <c r="I183">
        <v>175</v>
      </c>
      <c r="J183">
        <v>2550</v>
      </c>
    </row>
    <row r="184" spans="1:10" x14ac:dyDescent="0.25">
      <c r="A184" t="s">
        <v>1301</v>
      </c>
      <c r="B184" t="s">
        <v>1302</v>
      </c>
      <c r="C184" t="s">
        <v>1243</v>
      </c>
      <c r="D184" t="s">
        <v>1244</v>
      </c>
      <c r="E184" t="s">
        <v>1061</v>
      </c>
      <c r="F184">
        <v>1</v>
      </c>
      <c r="G184">
        <v>2325</v>
      </c>
      <c r="H184">
        <v>0</v>
      </c>
      <c r="I184">
        <v>775</v>
      </c>
      <c r="J184">
        <v>1550</v>
      </c>
    </row>
    <row r="185" spans="1:10" x14ac:dyDescent="0.25">
      <c r="A185" t="s">
        <v>1303</v>
      </c>
      <c r="B185" t="s">
        <v>1304</v>
      </c>
      <c r="C185" t="s">
        <v>1243</v>
      </c>
      <c r="D185" t="s">
        <v>1244</v>
      </c>
      <c r="E185" t="s">
        <v>1061</v>
      </c>
      <c r="F185">
        <v>1</v>
      </c>
      <c r="G185">
        <v>2450</v>
      </c>
      <c r="H185">
        <v>2550</v>
      </c>
      <c r="I185">
        <v>2350</v>
      </c>
      <c r="J185">
        <v>2650</v>
      </c>
    </row>
    <row r="186" spans="1:10" x14ac:dyDescent="0.25">
      <c r="A186" t="s">
        <v>1305</v>
      </c>
      <c r="B186" t="s">
        <v>1306</v>
      </c>
      <c r="C186" t="s">
        <v>1243</v>
      </c>
      <c r="D186" t="s">
        <v>1244</v>
      </c>
      <c r="E186" t="s">
        <v>1061</v>
      </c>
      <c r="F186">
        <v>1</v>
      </c>
      <c r="G186">
        <v>4375</v>
      </c>
      <c r="H186">
        <v>0</v>
      </c>
      <c r="I186">
        <v>2350</v>
      </c>
      <c r="J186">
        <v>2025</v>
      </c>
    </row>
    <row r="187" spans="1:10" x14ac:dyDescent="0.25">
      <c r="A187" t="s">
        <v>1307</v>
      </c>
      <c r="B187" t="s">
        <v>1308</v>
      </c>
      <c r="C187" t="s">
        <v>1243</v>
      </c>
      <c r="D187" t="s">
        <v>1244</v>
      </c>
      <c r="E187" t="s">
        <v>1061</v>
      </c>
      <c r="F187">
        <v>1</v>
      </c>
      <c r="G187">
        <v>1050</v>
      </c>
      <c r="H187">
        <v>2550</v>
      </c>
      <c r="I187">
        <v>1050</v>
      </c>
      <c r="J187">
        <v>2550</v>
      </c>
    </row>
    <row r="188" spans="1:10" x14ac:dyDescent="0.25">
      <c r="A188" t="s">
        <v>1309</v>
      </c>
      <c r="B188" t="s">
        <v>1310</v>
      </c>
      <c r="C188" t="s">
        <v>1243</v>
      </c>
      <c r="D188" t="s">
        <v>1244</v>
      </c>
      <c r="E188" t="s">
        <v>1061</v>
      </c>
      <c r="F188">
        <v>1</v>
      </c>
      <c r="G188">
        <v>675</v>
      </c>
      <c r="H188">
        <v>2550</v>
      </c>
      <c r="I188">
        <v>1525</v>
      </c>
      <c r="J188">
        <v>1700</v>
      </c>
    </row>
    <row r="189" spans="1:10" x14ac:dyDescent="0.25">
      <c r="A189" t="s">
        <v>1311</v>
      </c>
      <c r="B189" t="s">
        <v>1312</v>
      </c>
      <c r="C189" t="s">
        <v>1243</v>
      </c>
      <c r="D189" t="s">
        <v>1244</v>
      </c>
      <c r="E189" t="s">
        <v>1061</v>
      </c>
      <c r="F189">
        <v>1</v>
      </c>
      <c r="G189">
        <v>825</v>
      </c>
      <c r="H189">
        <v>2550</v>
      </c>
      <c r="I189">
        <v>1675</v>
      </c>
      <c r="J189">
        <v>1700</v>
      </c>
    </row>
    <row r="190" spans="1:10" x14ac:dyDescent="0.25">
      <c r="A190" t="s">
        <v>1313</v>
      </c>
      <c r="B190" t="s">
        <v>1314</v>
      </c>
      <c r="C190" t="s">
        <v>1243</v>
      </c>
      <c r="D190" t="s">
        <v>1244</v>
      </c>
      <c r="E190" t="s">
        <v>1061</v>
      </c>
      <c r="F190">
        <v>1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1315</v>
      </c>
      <c r="B191" t="s">
        <v>1316</v>
      </c>
      <c r="C191" t="s">
        <v>1243</v>
      </c>
      <c r="D191" t="s">
        <v>1244</v>
      </c>
      <c r="E191" t="s">
        <v>1061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 t="s">
        <v>1317</v>
      </c>
      <c r="B192" t="s">
        <v>1318</v>
      </c>
      <c r="C192" t="s">
        <v>1243</v>
      </c>
      <c r="D192" t="s">
        <v>1244</v>
      </c>
      <c r="E192" t="s">
        <v>1061</v>
      </c>
      <c r="F192">
        <v>1</v>
      </c>
      <c r="G192">
        <v>2325</v>
      </c>
      <c r="H192">
        <v>0</v>
      </c>
      <c r="I192">
        <v>1550</v>
      </c>
      <c r="J192">
        <v>775</v>
      </c>
    </row>
    <row r="193" spans="1:10" x14ac:dyDescent="0.25">
      <c r="A193" t="s">
        <v>1319</v>
      </c>
      <c r="B193" t="s">
        <v>1320</v>
      </c>
      <c r="C193" t="s">
        <v>1243</v>
      </c>
      <c r="D193" t="s">
        <v>1244</v>
      </c>
      <c r="E193" t="s">
        <v>1061</v>
      </c>
      <c r="F193">
        <v>1</v>
      </c>
      <c r="G193">
        <v>1425</v>
      </c>
      <c r="H193">
        <v>0</v>
      </c>
      <c r="I193">
        <v>300</v>
      </c>
      <c r="J193">
        <v>1125</v>
      </c>
    </row>
    <row r="194" spans="1:10" x14ac:dyDescent="0.25">
      <c r="A194" t="s">
        <v>1321</v>
      </c>
      <c r="B194" t="s">
        <v>1322</v>
      </c>
      <c r="C194" t="s">
        <v>1243</v>
      </c>
      <c r="D194" t="s">
        <v>1244</v>
      </c>
      <c r="E194" t="s">
        <v>1061</v>
      </c>
      <c r="F194">
        <v>1</v>
      </c>
      <c r="G194">
        <v>2025</v>
      </c>
      <c r="H194">
        <v>2325</v>
      </c>
      <c r="I194">
        <v>1500</v>
      </c>
      <c r="J194">
        <v>2850</v>
      </c>
    </row>
    <row r="195" spans="1:10" x14ac:dyDescent="0.25">
      <c r="A195" t="s">
        <v>1323</v>
      </c>
      <c r="B195" t="s">
        <v>1324</v>
      </c>
      <c r="C195" t="s">
        <v>1243</v>
      </c>
      <c r="D195" t="s">
        <v>1244</v>
      </c>
      <c r="E195" t="s">
        <v>1061</v>
      </c>
      <c r="F195">
        <v>1</v>
      </c>
      <c r="G195">
        <v>5350</v>
      </c>
      <c r="H195">
        <v>0</v>
      </c>
      <c r="I195">
        <v>900</v>
      </c>
      <c r="J195">
        <v>4450</v>
      </c>
    </row>
    <row r="196" spans="1:10" x14ac:dyDescent="0.25">
      <c r="A196" t="s">
        <v>1325</v>
      </c>
      <c r="B196" t="s">
        <v>1326</v>
      </c>
      <c r="C196" t="s">
        <v>1243</v>
      </c>
      <c r="D196" t="s">
        <v>1244</v>
      </c>
      <c r="E196" t="s">
        <v>1061</v>
      </c>
      <c r="F196">
        <v>1</v>
      </c>
      <c r="G196">
        <v>2500</v>
      </c>
      <c r="H196">
        <v>2175</v>
      </c>
      <c r="I196">
        <v>975</v>
      </c>
      <c r="J196">
        <v>3700</v>
      </c>
    </row>
    <row r="197" spans="1:10" x14ac:dyDescent="0.25">
      <c r="A197" t="s">
        <v>1327</v>
      </c>
      <c r="B197" t="s">
        <v>1328</v>
      </c>
      <c r="C197" t="s">
        <v>1243</v>
      </c>
      <c r="D197" t="s">
        <v>1244</v>
      </c>
      <c r="E197" t="s">
        <v>1061</v>
      </c>
      <c r="F197">
        <v>1</v>
      </c>
      <c r="G197">
        <v>1650</v>
      </c>
      <c r="H197">
        <v>1100</v>
      </c>
      <c r="I197">
        <v>1000</v>
      </c>
      <c r="J197">
        <v>1750</v>
      </c>
    </row>
    <row r="198" spans="1:10" x14ac:dyDescent="0.25">
      <c r="A198" t="s">
        <v>1329</v>
      </c>
      <c r="B198" t="s">
        <v>1330</v>
      </c>
      <c r="C198" t="s">
        <v>1243</v>
      </c>
      <c r="D198" t="s">
        <v>1244</v>
      </c>
      <c r="E198" t="s">
        <v>1061</v>
      </c>
      <c r="F198">
        <v>1</v>
      </c>
      <c r="G198">
        <v>1675</v>
      </c>
      <c r="H198">
        <v>0</v>
      </c>
      <c r="I198">
        <v>2250</v>
      </c>
      <c r="J198">
        <v>-575</v>
      </c>
    </row>
    <row r="199" spans="1:10" x14ac:dyDescent="0.25">
      <c r="A199" t="s">
        <v>1331</v>
      </c>
      <c r="B199" t="s">
        <v>1332</v>
      </c>
      <c r="C199" t="s">
        <v>1243</v>
      </c>
      <c r="D199" t="s">
        <v>1244</v>
      </c>
      <c r="E199" t="s">
        <v>1061</v>
      </c>
      <c r="F199">
        <v>1</v>
      </c>
      <c r="G199">
        <v>4100</v>
      </c>
      <c r="H199">
        <v>0</v>
      </c>
      <c r="I199">
        <v>600</v>
      </c>
      <c r="J199">
        <v>3500</v>
      </c>
    </row>
    <row r="200" spans="1:10" x14ac:dyDescent="0.25">
      <c r="A200" t="s">
        <v>1333</v>
      </c>
      <c r="B200" t="s">
        <v>1334</v>
      </c>
      <c r="C200" t="s">
        <v>1243</v>
      </c>
      <c r="D200" t="s">
        <v>1244</v>
      </c>
      <c r="E200" t="s">
        <v>1061</v>
      </c>
      <c r="F200">
        <v>1</v>
      </c>
      <c r="G200">
        <v>2450</v>
      </c>
      <c r="H200">
        <v>0</v>
      </c>
      <c r="I200">
        <v>600</v>
      </c>
      <c r="J200">
        <v>1850</v>
      </c>
    </row>
    <row r="201" spans="1:10" x14ac:dyDescent="0.25">
      <c r="A201" t="s">
        <v>1335</v>
      </c>
      <c r="B201" t="s">
        <v>1336</v>
      </c>
      <c r="C201" t="s">
        <v>1243</v>
      </c>
      <c r="D201" t="s">
        <v>1244</v>
      </c>
      <c r="E201" t="s">
        <v>1061</v>
      </c>
      <c r="F201">
        <v>1</v>
      </c>
      <c r="G201">
        <v>700</v>
      </c>
      <c r="H201">
        <v>0</v>
      </c>
      <c r="I201">
        <v>0</v>
      </c>
      <c r="J201">
        <v>700</v>
      </c>
    </row>
    <row r="202" spans="1:10" x14ac:dyDescent="0.25">
      <c r="A202" t="s">
        <v>1337</v>
      </c>
      <c r="B202" t="s">
        <v>1338</v>
      </c>
      <c r="C202" t="s">
        <v>1243</v>
      </c>
      <c r="D202" t="s">
        <v>1244</v>
      </c>
      <c r="E202" t="s">
        <v>1061</v>
      </c>
      <c r="F202">
        <v>1</v>
      </c>
      <c r="G202">
        <v>250</v>
      </c>
      <c r="H202">
        <v>2400</v>
      </c>
      <c r="I202">
        <v>300</v>
      </c>
      <c r="J202">
        <v>2350</v>
      </c>
    </row>
    <row r="203" spans="1:10" x14ac:dyDescent="0.25">
      <c r="A203" t="s">
        <v>1339</v>
      </c>
      <c r="B203" t="s">
        <v>1340</v>
      </c>
      <c r="C203" t="s">
        <v>1243</v>
      </c>
      <c r="D203" t="s">
        <v>1244</v>
      </c>
      <c r="E203" t="s">
        <v>1061</v>
      </c>
      <c r="F203">
        <v>1</v>
      </c>
      <c r="G203">
        <v>4700</v>
      </c>
      <c r="H203">
        <v>0</v>
      </c>
      <c r="I203">
        <v>900</v>
      </c>
      <c r="J203">
        <v>3800</v>
      </c>
    </row>
    <row r="204" spans="1:10" x14ac:dyDescent="0.25">
      <c r="A204" t="s">
        <v>1341</v>
      </c>
      <c r="B204" t="s">
        <v>1342</v>
      </c>
      <c r="C204" t="s">
        <v>1243</v>
      </c>
      <c r="D204" t="s">
        <v>1244</v>
      </c>
      <c r="E204" t="s">
        <v>1061</v>
      </c>
      <c r="F204">
        <v>1</v>
      </c>
      <c r="G204">
        <v>2250</v>
      </c>
      <c r="H204">
        <v>0</v>
      </c>
      <c r="I204">
        <v>600</v>
      </c>
      <c r="J204">
        <v>1650</v>
      </c>
    </row>
    <row r="205" spans="1:10" x14ac:dyDescent="0.25">
      <c r="A205" t="s">
        <v>1343</v>
      </c>
      <c r="B205" t="s">
        <v>1344</v>
      </c>
      <c r="C205" t="s">
        <v>1243</v>
      </c>
      <c r="D205" t="s">
        <v>1244</v>
      </c>
      <c r="E205" t="s">
        <v>1061</v>
      </c>
      <c r="F205">
        <v>1</v>
      </c>
      <c r="G205">
        <v>850</v>
      </c>
      <c r="H205">
        <v>2125</v>
      </c>
      <c r="I205">
        <v>1700</v>
      </c>
      <c r="J205">
        <v>1275</v>
      </c>
    </row>
    <row r="206" spans="1:10" x14ac:dyDescent="0.25">
      <c r="A206" t="s">
        <v>1345</v>
      </c>
      <c r="B206" t="s">
        <v>1346</v>
      </c>
      <c r="C206" t="s">
        <v>1243</v>
      </c>
      <c r="D206" t="s">
        <v>1244</v>
      </c>
      <c r="E206" t="s">
        <v>1061</v>
      </c>
      <c r="F206">
        <v>1</v>
      </c>
      <c r="G206">
        <v>2400</v>
      </c>
      <c r="H206">
        <v>0</v>
      </c>
      <c r="I206">
        <v>300</v>
      </c>
      <c r="J206">
        <v>2100</v>
      </c>
    </row>
    <row r="207" spans="1:10" x14ac:dyDescent="0.25">
      <c r="A207" t="s">
        <v>1347</v>
      </c>
      <c r="B207" t="s">
        <v>1348</v>
      </c>
      <c r="C207" t="s">
        <v>1243</v>
      </c>
      <c r="D207" t="s">
        <v>1244</v>
      </c>
      <c r="E207" t="s">
        <v>1061</v>
      </c>
      <c r="F207">
        <v>1</v>
      </c>
      <c r="G207">
        <v>3350</v>
      </c>
      <c r="H207">
        <v>0</v>
      </c>
      <c r="I207">
        <v>300</v>
      </c>
      <c r="J207">
        <v>3050</v>
      </c>
    </row>
    <row r="208" spans="1:10" x14ac:dyDescent="0.25">
      <c r="A208" t="s">
        <v>1349</v>
      </c>
      <c r="B208" t="s">
        <v>1350</v>
      </c>
      <c r="C208" t="s">
        <v>1243</v>
      </c>
      <c r="D208" t="s">
        <v>1244</v>
      </c>
      <c r="E208" t="s">
        <v>1061</v>
      </c>
      <c r="F208">
        <v>1</v>
      </c>
      <c r="G208">
        <v>2250</v>
      </c>
      <c r="H208">
        <v>2100</v>
      </c>
      <c r="I208">
        <v>300</v>
      </c>
      <c r="J208">
        <v>4050</v>
      </c>
    </row>
    <row r="209" spans="1:10" x14ac:dyDescent="0.25">
      <c r="A209" t="s">
        <v>1351</v>
      </c>
      <c r="B209" t="s">
        <v>1352</v>
      </c>
      <c r="C209" t="s">
        <v>1243</v>
      </c>
      <c r="D209" t="s">
        <v>1244</v>
      </c>
      <c r="E209" t="s">
        <v>1061</v>
      </c>
      <c r="F209">
        <v>1</v>
      </c>
      <c r="G209">
        <v>350</v>
      </c>
      <c r="H209">
        <v>3000</v>
      </c>
      <c r="I209">
        <v>1300</v>
      </c>
      <c r="J209">
        <v>2050</v>
      </c>
    </row>
    <row r="210" spans="1:10" x14ac:dyDescent="0.25">
      <c r="A210" t="s">
        <v>1353</v>
      </c>
      <c r="B210" t="s">
        <v>1354</v>
      </c>
      <c r="C210" t="s">
        <v>1243</v>
      </c>
      <c r="D210" t="s">
        <v>1244</v>
      </c>
      <c r="E210" t="s">
        <v>1061</v>
      </c>
      <c r="F210">
        <v>1</v>
      </c>
      <c r="G210">
        <v>1575</v>
      </c>
      <c r="H210">
        <v>0</v>
      </c>
      <c r="I210">
        <v>600</v>
      </c>
      <c r="J210">
        <v>975</v>
      </c>
    </row>
    <row r="211" spans="1:10" x14ac:dyDescent="0.25">
      <c r="A211" t="s">
        <v>1355</v>
      </c>
      <c r="B211" t="s">
        <v>1356</v>
      </c>
      <c r="C211" t="s">
        <v>1243</v>
      </c>
      <c r="D211" t="s">
        <v>1244</v>
      </c>
      <c r="E211" t="s">
        <v>1061</v>
      </c>
      <c r="F211">
        <v>1</v>
      </c>
      <c r="G211">
        <v>8250</v>
      </c>
      <c r="H211">
        <v>0</v>
      </c>
      <c r="I211">
        <v>0</v>
      </c>
      <c r="J211">
        <v>8250</v>
      </c>
    </row>
    <row r="212" spans="1:10" x14ac:dyDescent="0.25">
      <c r="A212" t="s">
        <v>1357</v>
      </c>
      <c r="B212" t="s">
        <v>1358</v>
      </c>
      <c r="C212" t="s">
        <v>1243</v>
      </c>
      <c r="D212" t="s">
        <v>1244</v>
      </c>
      <c r="E212" t="s">
        <v>1061</v>
      </c>
      <c r="F212">
        <v>1</v>
      </c>
      <c r="G212">
        <v>5650</v>
      </c>
      <c r="H212">
        <v>0</v>
      </c>
      <c r="I212">
        <v>300</v>
      </c>
      <c r="J212">
        <v>5350</v>
      </c>
    </row>
    <row r="213" spans="1:10" x14ac:dyDescent="0.25">
      <c r="A213" t="s">
        <v>1359</v>
      </c>
      <c r="B213" t="s">
        <v>1360</v>
      </c>
      <c r="C213" t="s">
        <v>1243</v>
      </c>
      <c r="D213" t="s">
        <v>1244</v>
      </c>
      <c r="E213" t="s">
        <v>1061</v>
      </c>
      <c r="F213">
        <v>1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t="s">
        <v>1361</v>
      </c>
      <c r="B214" t="s">
        <v>1362</v>
      </c>
      <c r="C214" t="s">
        <v>1243</v>
      </c>
      <c r="D214" t="s">
        <v>1244</v>
      </c>
      <c r="E214" t="s">
        <v>1061</v>
      </c>
      <c r="F214">
        <v>1</v>
      </c>
      <c r="G214">
        <v>2250</v>
      </c>
      <c r="H214">
        <v>0</v>
      </c>
      <c r="I214">
        <v>2250</v>
      </c>
      <c r="J214">
        <v>0</v>
      </c>
    </row>
    <row r="215" spans="1:10" x14ac:dyDescent="0.25">
      <c r="A215" t="s">
        <v>1363</v>
      </c>
      <c r="B215" t="s">
        <v>1364</v>
      </c>
      <c r="C215" t="s">
        <v>1243</v>
      </c>
      <c r="D215" t="s">
        <v>1244</v>
      </c>
      <c r="E215" t="s">
        <v>1061</v>
      </c>
      <c r="F215">
        <v>1</v>
      </c>
      <c r="G215">
        <v>1800</v>
      </c>
      <c r="H215">
        <v>0</v>
      </c>
      <c r="I215">
        <v>0</v>
      </c>
      <c r="J215">
        <v>1800</v>
      </c>
    </row>
    <row r="216" spans="1:10" x14ac:dyDescent="0.25">
      <c r="A216" t="s">
        <v>1365</v>
      </c>
      <c r="B216" t="s">
        <v>1366</v>
      </c>
      <c r="C216" t="s">
        <v>1243</v>
      </c>
      <c r="D216" t="s">
        <v>1244</v>
      </c>
      <c r="E216" t="s">
        <v>1061</v>
      </c>
      <c r="F216">
        <v>1</v>
      </c>
      <c r="G216">
        <v>525</v>
      </c>
      <c r="H216">
        <v>3600</v>
      </c>
      <c r="I216">
        <v>0</v>
      </c>
      <c r="J216">
        <v>4125</v>
      </c>
    </row>
    <row r="217" spans="1:10" x14ac:dyDescent="0.25">
      <c r="A217" t="s">
        <v>1367</v>
      </c>
      <c r="B217" t="s">
        <v>1368</v>
      </c>
      <c r="C217" t="s">
        <v>1243</v>
      </c>
      <c r="D217" t="s">
        <v>1244</v>
      </c>
      <c r="E217" t="s">
        <v>1061</v>
      </c>
      <c r="F217">
        <v>1</v>
      </c>
      <c r="G217">
        <v>6225</v>
      </c>
      <c r="H217">
        <v>0</v>
      </c>
      <c r="I217">
        <v>1500</v>
      </c>
      <c r="J217">
        <v>4725</v>
      </c>
    </row>
    <row r="218" spans="1:10" x14ac:dyDescent="0.25">
      <c r="A218" t="s">
        <v>1369</v>
      </c>
      <c r="B218" t="s">
        <v>1370</v>
      </c>
      <c r="C218" t="s">
        <v>1243</v>
      </c>
      <c r="D218" t="s">
        <v>1244</v>
      </c>
      <c r="E218" t="s">
        <v>1061</v>
      </c>
      <c r="F218">
        <v>1</v>
      </c>
      <c r="G218">
        <v>1575</v>
      </c>
      <c r="H218">
        <v>4800</v>
      </c>
      <c r="I218">
        <v>1575</v>
      </c>
      <c r="J218">
        <v>4800</v>
      </c>
    </row>
    <row r="219" spans="1:10" x14ac:dyDescent="0.25">
      <c r="A219" t="s">
        <v>1371</v>
      </c>
      <c r="B219" t="s">
        <v>1372</v>
      </c>
      <c r="C219" t="s">
        <v>1243</v>
      </c>
      <c r="D219" t="s">
        <v>1244</v>
      </c>
      <c r="E219" t="s">
        <v>1061</v>
      </c>
      <c r="F219">
        <v>1</v>
      </c>
      <c r="G219">
        <v>3675</v>
      </c>
      <c r="H219">
        <v>0</v>
      </c>
      <c r="I219">
        <v>0</v>
      </c>
      <c r="J219">
        <v>3675</v>
      </c>
    </row>
    <row r="220" spans="1:10" x14ac:dyDescent="0.25">
      <c r="A220" t="s">
        <v>1373</v>
      </c>
      <c r="B220" t="s">
        <v>1374</v>
      </c>
      <c r="C220" t="s">
        <v>1243</v>
      </c>
      <c r="D220" t="s">
        <v>1244</v>
      </c>
      <c r="E220" t="s">
        <v>1061</v>
      </c>
      <c r="F220">
        <v>1</v>
      </c>
      <c r="G220">
        <v>3675</v>
      </c>
      <c r="H220">
        <v>0</v>
      </c>
      <c r="I220">
        <v>0</v>
      </c>
      <c r="J220">
        <v>3675</v>
      </c>
    </row>
    <row r="221" spans="1:10" x14ac:dyDescent="0.25">
      <c r="A221" t="s">
        <v>1375</v>
      </c>
      <c r="B221" t="s">
        <v>1376</v>
      </c>
      <c r="C221" t="s">
        <v>1243</v>
      </c>
      <c r="D221" t="s">
        <v>1244</v>
      </c>
      <c r="E221" t="s">
        <v>1061</v>
      </c>
      <c r="F221">
        <v>1</v>
      </c>
      <c r="G221">
        <v>0</v>
      </c>
      <c r="H221">
        <v>2400</v>
      </c>
      <c r="I221">
        <v>600</v>
      </c>
      <c r="J221">
        <v>1800</v>
      </c>
    </row>
    <row r="222" spans="1:10" x14ac:dyDescent="0.25">
      <c r="A222" t="s">
        <v>1377</v>
      </c>
      <c r="B222" t="s">
        <v>1378</v>
      </c>
      <c r="C222" t="s">
        <v>1243</v>
      </c>
      <c r="D222" t="s">
        <v>1244</v>
      </c>
      <c r="E222" t="s">
        <v>1061</v>
      </c>
      <c r="F222">
        <v>1</v>
      </c>
      <c r="G222">
        <v>5875</v>
      </c>
      <c r="H222">
        <v>0</v>
      </c>
      <c r="I222">
        <v>0</v>
      </c>
      <c r="J222">
        <v>5875</v>
      </c>
    </row>
    <row r="223" spans="1:10" x14ac:dyDescent="0.25">
      <c r="A223" t="s">
        <v>1379</v>
      </c>
      <c r="B223" t="s">
        <v>1380</v>
      </c>
      <c r="C223" t="s">
        <v>1243</v>
      </c>
      <c r="D223" t="s">
        <v>1244</v>
      </c>
      <c r="E223" t="s">
        <v>1061</v>
      </c>
      <c r="F223">
        <v>1</v>
      </c>
      <c r="G223">
        <v>3375</v>
      </c>
      <c r="H223">
        <v>0</v>
      </c>
      <c r="I223">
        <v>0</v>
      </c>
      <c r="J223">
        <v>3375</v>
      </c>
    </row>
    <row r="224" spans="1:10" x14ac:dyDescent="0.25">
      <c r="A224" t="s">
        <v>1381</v>
      </c>
      <c r="B224" t="s">
        <v>1382</v>
      </c>
      <c r="C224" t="s">
        <v>1243</v>
      </c>
      <c r="D224" t="s">
        <v>1244</v>
      </c>
      <c r="E224" t="s">
        <v>1061</v>
      </c>
      <c r="F224">
        <v>1</v>
      </c>
      <c r="G224">
        <v>3475</v>
      </c>
      <c r="H224">
        <v>0</v>
      </c>
      <c r="I224">
        <v>0</v>
      </c>
      <c r="J224">
        <v>3475</v>
      </c>
    </row>
    <row r="225" spans="1:10" x14ac:dyDescent="0.25">
      <c r="A225" t="s">
        <v>1383</v>
      </c>
      <c r="B225" t="s">
        <v>1384</v>
      </c>
      <c r="C225" t="s">
        <v>1243</v>
      </c>
      <c r="D225" t="s">
        <v>1244</v>
      </c>
      <c r="E225" t="s">
        <v>1061</v>
      </c>
      <c r="F225">
        <v>1</v>
      </c>
      <c r="G225">
        <v>3475</v>
      </c>
      <c r="H225">
        <v>0</v>
      </c>
      <c r="I225">
        <v>0</v>
      </c>
      <c r="J225">
        <v>3475</v>
      </c>
    </row>
    <row r="226" spans="1:10" x14ac:dyDescent="0.25">
      <c r="A226" t="s">
        <v>1385</v>
      </c>
      <c r="B226" t="s">
        <v>1386</v>
      </c>
      <c r="C226" t="s">
        <v>1243</v>
      </c>
      <c r="D226" t="s">
        <v>1244</v>
      </c>
      <c r="E226" t="s">
        <v>1061</v>
      </c>
      <c r="F226">
        <v>1</v>
      </c>
      <c r="G226">
        <v>3475</v>
      </c>
      <c r="H226">
        <v>0</v>
      </c>
      <c r="I226">
        <v>0</v>
      </c>
      <c r="J226">
        <v>3475</v>
      </c>
    </row>
    <row r="227" spans="1:10" x14ac:dyDescent="0.25">
      <c r="A227" t="s">
        <v>1387</v>
      </c>
      <c r="B227" t="s">
        <v>1388</v>
      </c>
      <c r="C227" t="s">
        <v>1243</v>
      </c>
      <c r="D227" t="s">
        <v>1244</v>
      </c>
      <c r="E227" t="s">
        <v>1061</v>
      </c>
      <c r="F227">
        <v>1</v>
      </c>
      <c r="G227">
        <v>0</v>
      </c>
      <c r="H227">
        <v>5350</v>
      </c>
      <c r="I227">
        <v>550</v>
      </c>
      <c r="J227">
        <v>4800</v>
      </c>
    </row>
    <row r="228" spans="1:10" x14ac:dyDescent="0.25">
      <c r="A228" t="s">
        <v>1389</v>
      </c>
      <c r="B228" t="s">
        <v>1390</v>
      </c>
      <c r="C228" t="s">
        <v>1243</v>
      </c>
      <c r="D228" t="s">
        <v>1244</v>
      </c>
      <c r="E228" t="s">
        <v>1061</v>
      </c>
      <c r="F228">
        <v>1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1391</v>
      </c>
      <c r="B229" t="s">
        <v>1392</v>
      </c>
      <c r="C229" t="s">
        <v>1243</v>
      </c>
      <c r="D229" t="s">
        <v>1244</v>
      </c>
      <c r="E229" t="s">
        <v>1061</v>
      </c>
      <c r="F229">
        <v>1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1393</v>
      </c>
      <c r="B230" t="s">
        <v>1394</v>
      </c>
      <c r="C230" t="s">
        <v>1243</v>
      </c>
      <c r="D230" t="s">
        <v>1244</v>
      </c>
      <c r="E230" t="s">
        <v>1061</v>
      </c>
      <c r="F230">
        <v>1</v>
      </c>
      <c r="G230">
        <v>2800</v>
      </c>
      <c r="H230">
        <v>10900</v>
      </c>
      <c r="I230">
        <v>4900</v>
      </c>
      <c r="J230">
        <v>8800</v>
      </c>
    </row>
    <row r="231" spans="1:10" x14ac:dyDescent="0.25">
      <c r="A231" t="s">
        <v>1395</v>
      </c>
      <c r="B231" t="s">
        <v>1396</v>
      </c>
      <c r="C231" t="s">
        <v>1243</v>
      </c>
      <c r="D231" t="s">
        <v>1244</v>
      </c>
      <c r="E231" t="s">
        <v>1061</v>
      </c>
      <c r="F231">
        <v>1</v>
      </c>
      <c r="G231">
        <v>1850</v>
      </c>
      <c r="H231">
        <v>2100</v>
      </c>
      <c r="I231">
        <v>2550</v>
      </c>
      <c r="J231">
        <v>1400</v>
      </c>
    </row>
    <row r="232" spans="1:10" x14ac:dyDescent="0.25">
      <c r="A232" t="s">
        <v>1397</v>
      </c>
      <c r="B232" t="s">
        <v>1398</v>
      </c>
      <c r="C232" t="s">
        <v>1243</v>
      </c>
      <c r="D232" t="s">
        <v>1244</v>
      </c>
      <c r="E232" t="s">
        <v>1061</v>
      </c>
      <c r="F232">
        <v>1</v>
      </c>
      <c r="G232">
        <v>3400</v>
      </c>
      <c r="H232">
        <v>0</v>
      </c>
      <c r="I232">
        <v>900</v>
      </c>
      <c r="J232">
        <v>2500</v>
      </c>
    </row>
    <row r="233" spans="1:10" x14ac:dyDescent="0.25">
      <c r="A233" t="s">
        <v>1399</v>
      </c>
      <c r="B233" t="s">
        <v>1400</v>
      </c>
      <c r="C233" t="s">
        <v>1243</v>
      </c>
      <c r="D233" t="s">
        <v>1244</v>
      </c>
      <c r="E233" t="s">
        <v>1061</v>
      </c>
      <c r="F233">
        <v>1</v>
      </c>
      <c r="G233">
        <v>4100</v>
      </c>
      <c r="H233">
        <v>0</v>
      </c>
      <c r="I233">
        <v>900</v>
      </c>
      <c r="J233">
        <v>3200</v>
      </c>
    </row>
    <row r="234" spans="1:10" x14ac:dyDescent="0.25">
      <c r="A234" t="s">
        <v>1401</v>
      </c>
      <c r="B234" t="s">
        <v>1402</v>
      </c>
      <c r="C234" t="s">
        <v>1243</v>
      </c>
      <c r="D234" t="s">
        <v>1244</v>
      </c>
      <c r="E234" t="s">
        <v>1061</v>
      </c>
      <c r="F234">
        <v>1</v>
      </c>
      <c r="G234">
        <v>2420</v>
      </c>
      <c r="H234">
        <v>2025</v>
      </c>
      <c r="I234">
        <v>600</v>
      </c>
      <c r="J234">
        <v>3845</v>
      </c>
    </row>
    <row r="235" spans="1:10" x14ac:dyDescent="0.25">
      <c r="A235" t="s">
        <v>1403</v>
      </c>
      <c r="B235" t="s">
        <v>1404</v>
      </c>
      <c r="C235" t="s">
        <v>1243</v>
      </c>
      <c r="D235" t="s">
        <v>1244</v>
      </c>
      <c r="E235" t="s">
        <v>1061</v>
      </c>
      <c r="F235">
        <v>1</v>
      </c>
      <c r="G235">
        <v>2100</v>
      </c>
      <c r="H235">
        <v>1600</v>
      </c>
      <c r="I235">
        <v>1200</v>
      </c>
      <c r="J235">
        <v>2500</v>
      </c>
    </row>
    <row r="236" spans="1:10" x14ac:dyDescent="0.25">
      <c r="A236" t="s">
        <v>1405</v>
      </c>
      <c r="B236" t="s">
        <v>1406</v>
      </c>
      <c r="C236" t="s">
        <v>1243</v>
      </c>
      <c r="D236" t="s">
        <v>1244</v>
      </c>
      <c r="E236" t="s">
        <v>1061</v>
      </c>
      <c r="F236">
        <v>1</v>
      </c>
      <c r="G236">
        <v>3300</v>
      </c>
      <c r="H236">
        <v>0</v>
      </c>
      <c r="I236">
        <v>1200</v>
      </c>
      <c r="J236">
        <v>2100</v>
      </c>
    </row>
    <row r="237" spans="1:10" x14ac:dyDescent="0.25">
      <c r="A237" t="s">
        <v>1407</v>
      </c>
      <c r="B237" t="s">
        <v>1408</v>
      </c>
      <c r="C237" t="s">
        <v>1243</v>
      </c>
      <c r="D237" t="s">
        <v>1244</v>
      </c>
      <c r="E237" t="s">
        <v>1061</v>
      </c>
      <c r="F237">
        <v>1</v>
      </c>
      <c r="G237">
        <v>2900</v>
      </c>
      <c r="H237">
        <v>0</v>
      </c>
      <c r="I237">
        <v>600</v>
      </c>
      <c r="J237">
        <v>2300</v>
      </c>
    </row>
    <row r="238" spans="1:10" x14ac:dyDescent="0.25">
      <c r="A238" t="s">
        <v>1409</v>
      </c>
      <c r="B238" t="s">
        <v>1410</v>
      </c>
      <c r="C238" t="s">
        <v>1243</v>
      </c>
      <c r="D238" t="s">
        <v>1244</v>
      </c>
      <c r="E238" t="s">
        <v>1061</v>
      </c>
      <c r="F238">
        <v>1</v>
      </c>
      <c r="G238">
        <v>2100</v>
      </c>
      <c r="H238">
        <v>3200</v>
      </c>
      <c r="I238">
        <v>1200</v>
      </c>
      <c r="J238">
        <v>4100</v>
      </c>
    </row>
    <row r="239" spans="1:10" x14ac:dyDescent="0.25">
      <c r="A239" t="s">
        <v>1411</v>
      </c>
      <c r="B239" t="s">
        <v>1412</v>
      </c>
      <c r="C239" t="s">
        <v>1243</v>
      </c>
      <c r="D239" t="s">
        <v>1244</v>
      </c>
      <c r="E239" t="s">
        <v>1061</v>
      </c>
      <c r="F239">
        <v>1</v>
      </c>
      <c r="G239">
        <v>375</v>
      </c>
      <c r="H239">
        <v>1125</v>
      </c>
      <c r="I239">
        <v>750</v>
      </c>
      <c r="J239">
        <v>750</v>
      </c>
    </row>
    <row r="240" spans="1:10" x14ac:dyDescent="0.25">
      <c r="A240" t="s">
        <v>1413</v>
      </c>
      <c r="B240" t="s">
        <v>1414</v>
      </c>
      <c r="C240" t="s">
        <v>1243</v>
      </c>
      <c r="D240" t="s">
        <v>1244</v>
      </c>
      <c r="E240" t="s">
        <v>1061</v>
      </c>
      <c r="F240">
        <v>1</v>
      </c>
      <c r="G240">
        <v>1625</v>
      </c>
      <c r="H240">
        <v>2250</v>
      </c>
      <c r="I240">
        <v>1125</v>
      </c>
      <c r="J240">
        <v>2750</v>
      </c>
    </row>
    <row r="241" spans="1:10" x14ac:dyDescent="0.25">
      <c r="A241" t="s">
        <v>1415</v>
      </c>
      <c r="B241" t="s">
        <v>1416</v>
      </c>
      <c r="C241" t="s">
        <v>1243</v>
      </c>
      <c r="D241" t="s">
        <v>1244</v>
      </c>
      <c r="E241" t="s">
        <v>1061</v>
      </c>
      <c r="F241">
        <v>1</v>
      </c>
      <c r="G241">
        <v>3050</v>
      </c>
      <c r="H241">
        <v>0</v>
      </c>
      <c r="I241">
        <v>1200</v>
      </c>
      <c r="J241">
        <v>1850</v>
      </c>
    </row>
    <row r="242" spans="1:10" x14ac:dyDescent="0.25">
      <c r="A242" t="s">
        <v>1417</v>
      </c>
      <c r="B242" t="s">
        <v>1418</v>
      </c>
      <c r="C242" t="s">
        <v>1243</v>
      </c>
      <c r="D242" t="s">
        <v>1244</v>
      </c>
      <c r="E242" t="s">
        <v>1061</v>
      </c>
      <c r="F242">
        <v>1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t="s">
        <v>1419</v>
      </c>
      <c r="B243" t="s">
        <v>1420</v>
      </c>
      <c r="C243" t="s">
        <v>1243</v>
      </c>
      <c r="D243" t="s">
        <v>1244</v>
      </c>
      <c r="E243" t="s">
        <v>1061</v>
      </c>
      <c r="F243">
        <v>1</v>
      </c>
      <c r="G243">
        <v>2100</v>
      </c>
      <c r="H243">
        <v>7200</v>
      </c>
      <c r="I243">
        <v>3450</v>
      </c>
      <c r="J243">
        <v>5850</v>
      </c>
    </row>
    <row r="244" spans="1:10" x14ac:dyDescent="0.25">
      <c r="A244" t="s">
        <v>1421</v>
      </c>
      <c r="B244" t="s">
        <v>1422</v>
      </c>
      <c r="C244" t="s">
        <v>1243</v>
      </c>
      <c r="D244" t="s">
        <v>1244</v>
      </c>
      <c r="E244" t="s">
        <v>1061</v>
      </c>
      <c r="F244">
        <v>1</v>
      </c>
      <c r="G244">
        <v>0</v>
      </c>
      <c r="H244">
        <v>7400</v>
      </c>
      <c r="I244">
        <v>4400</v>
      </c>
      <c r="J244">
        <v>3000</v>
      </c>
    </row>
    <row r="245" spans="1:10" x14ac:dyDescent="0.25">
      <c r="A245" t="s">
        <v>1423</v>
      </c>
      <c r="B245" t="s">
        <v>1424</v>
      </c>
      <c r="C245" t="s">
        <v>1243</v>
      </c>
      <c r="D245" t="s">
        <v>1244</v>
      </c>
      <c r="E245" t="s">
        <v>1061</v>
      </c>
      <c r="F245">
        <v>1</v>
      </c>
      <c r="G245">
        <v>2100</v>
      </c>
      <c r="H245">
        <v>7300</v>
      </c>
      <c r="I245">
        <v>3600</v>
      </c>
      <c r="J245">
        <v>5800</v>
      </c>
    </row>
    <row r="246" spans="1:10" x14ac:dyDescent="0.25">
      <c r="A246" t="s">
        <v>1425</v>
      </c>
      <c r="B246" t="s">
        <v>1426</v>
      </c>
      <c r="C246" t="s">
        <v>1243</v>
      </c>
      <c r="D246" t="s">
        <v>1244</v>
      </c>
      <c r="E246" t="s">
        <v>1061</v>
      </c>
      <c r="F246">
        <v>1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1427</v>
      </c>
      <c r="B247" t="s">
        <v>1428</v>
      </c>
      <c r="C247" t="s">
        <v>1243</v>
      </c>
      <c r="D247" t="s">
        <v>1244</v>
      </c>
      <c r="E247" t="s">
        <v>1061</v>
      </c>
      <c r="F247">
        <v>1</v>
      </c>
      <c r="G247">
        <v>7375</v>
      </c>
      <c r="H247">
        <v>0</v>
      </c>
      <c r="I247">
        <v>1100</v>
      </c>
      <c r="J247">
        <v>6275</v>
      </c>
    </row>
    <row r="248" spans="1:10" x14ac:dyDescent="0.25">
      <c r="A248" t="s">
        <v>1429</v>
      </c>
      <c r="B248" t="s">
        <v>1430</v>
      </c>
      <c r="C248" t="s">
        <v>1243</v>
      </c>
      <c r="D248" t="s">
        <v>1244</v>
      </c>
      <c r="E248" t="s">
        <v>1061</v>
      </c>
      <c r="F248">
        <v>1</v>
      </c>
      <c r="G248">
        <v>8325</v>
      </c>
      <c r="H248">
        <v>0</v>
      </c>
      <c r="I248">
        <v>1475</v>
      </c>
      <c r="J248">
        <v>6850</v>
      </c>
    </row>
    <row r="249" spans="1:10" x14ac:dyDescent="0.25">
      <c r="A249" t="s">
        <v>1431</v>
      </c>
      <c r="B249" t="s">
        <v>1432</v>
      </c>
      <c r="C249" t="s">
        <v>1243</v>
      </c>
      <c r="D249" t="s">
        <v>1244</v>
      </c>
      <c r="E249" t="s">
        <v>1061</v>
      </c>
      <c r="F249">
        <v>1</v>
      </c>
      <c r="G249">
        <v>8350</v>
      </c>
      <c r="H249">
        <v>0</v>
      </c>
      <c r="I249">
        <v>1100</v>
      </c>
      <c r="J249">
        <v>7250</v>
      </c>
    </row>
    <row r="250" spans="1:10" x14ac:dyDescent="0.25">
      <c r="A250" t="s">
        <v>1433</v>
      </c>
      <c r="B250" t="s">
        <v>1434</v>
      </c>
      <c r="C250" t="s">
        <v>1243</v>
      </c>
      <c r="D250" t="s">
        <v>1244</v>
      </c>
      <c r="E250" t="s">
        <v>1061</v>
      </c>
      <c r="F250">
        <v>1</v>
      </c>
      <c r="G250">
        <v>4650</v>
      </c>
      <c r="H250">
        <v>2600</v>
      </c>
      <c r="I250">
        <v>2825</v>
      </c>
      <c r="J250">
        <v>4425</v>
      </c>
    </row>
    <row r="251" spans="1:10" x14ac:dyDescent="0.25">
      <c r="A251" t="s">
        <v>1435</v>
      </c>
      <c r="B251" t="s">
        <v>1436</v>
      </c>
      <c r="C251" t="s">
        <v>1243</v>
      </c>
      <c r="D251" t="s">
        <v>1244</v>
      </c>
      <c r="E251" t="s">
        <v>1061</v>
      </c>
      <c r="F251">
        <v>1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1437</v>
      </c>
      <c r="B252" t="s">
        <v>1438</v>
      </c>
      <c r="C252" t="s">
        <v>1243</v>
      </c>
      <c r="D252" t="s">
        <v>1244</v>
      </c>
      <c r="E252" t="s">
        <v>1061</v>
      </c>
      <c r="F252">
        <v>1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1439</v>
      </c>
      <c r="B253" t="s">
        <v>1440</v>
      </c>
      <c r="C253" t="s">
        <v>1243</v>
      </c>
      <c r="D253" t="s">
        <v>1244</v>
      </c>
      <c r="E253" t="s">
        <v>1061</v>
      </c>
      <c r="F253">
        <v>1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1441</v>
      </c>
      <c r="B254" t="s">
        <v>1442</v>
      </c>
      <c r="C254" t="s">
        <v>1243</v>
      </c>
      <c r="D254" t="s">
        <v>1244</v>
      </c>
      <c r="E254" t="s">
        <v>1061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1443</v>
      </c>
      <c r="B255" t="s">
        <v>1444</v>
      </c>
      <c r="C255" t="s">
        <v>1243</v>
      </c>
      <c r="D255" t="s">
        <v>1244</v>
      </c>
      <c r="E255" t="s">
        <v>1061</v>
      </c>
      <c r="F255">
        <v>1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1445</v>
      </c>
      <c r="B256" t="s">
        <v>1446</v>
      </c>
      <c r="C256" t="s">
        <v>1243</v>
      </c>
      <c r="D256" t="s">
        <v>1244</v>
      </c>
      <c r="E256" t="s">
        <v>1061</v>
      </c>
      <c r="F256">
        <v>1</v>
      </c>
      <c r="G256">
        <v>1570</v>
      </c>
      <c r="H256">
        <v>0</v>
      </c>
      <c r="I256">
        <v>1570</v>
      </c>
      <c r="J256">
        <v>0</v>
      </c>
    </row>
    <row r="257" spans="1:10" x14ac:dyDescent="0.25">
      <c r="A257" t="s">
        <v>1447</v>
      </c>
      <c r="B257" t="s">
        <v>1448</v>
      </c>
      <c r="C257" t="s">
        <v>1243</v>
      </c>
      <c r="D257" t="s">
        <v>1244</v>
      </c>
      <c r="E257" t="s">
        <v>1061</v>
      </c>
      <c r="F257">
        <v>1</v>
      </c>
      <c r="G257">
        <v>2125</v>
      </c>
      <c r="H257">
        <v>0</v>
      </c>
      <c r="I257">
        <v>0</v>
      </c>
      <c r="J257">
        <v>2125</v>
      </c>
    </row>
    <row r="258" spans="1:10" x14ac:dyDescent="0.25">
      <c r="A258" t="s">
        <v>1449</v>
      </c>
      <c r="B258" t="s">
        <v>1450</v>
      </c>
      <c r="C258" t="s">
        <v>1243</v>
      </c>
      <c r="D258" t="s">
        <v>1244</v>
      </c>
      <c r="E258" t="s">
        <v>1061</v>
      </c>
      <c r="F258">
        <v>1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1451</v>
      </c>
      <c r="B259" t="s">
        <v>1452</v>
      </c>
      <c r="C259" t="s">
        <v>1243</v>
      </c>
      <c r="D259" t="s">
        <v>1244</v>
      </c>
      <c r="E259" t="s">
        <v>1061</v>
      </c>
      <c r="F259">
        <v>1</v>
      </c>
      <c r="G259">
        <v>1975</v>
      </c>
      <c r="H259">
        <v>0</v>
      </c>
      <c r="I259">
        <v>0</v>
      </c>
      <c r="J259">
        <v>1975</v>
      </c>
    </row>
    <row r="260" spans="1:10" x14ac:dyDescent="0.25">
      <c r="A260" t="s">
        <v>1453</v>
      </c>
      <c r="B260" t="s">
        <v>1454</v>
      </c>
      <c r="C260" t="s">
        <v>1243</v>
      </c>
      <c r="D260" t="s">
        <v>1244</v>
      </c>
      <c r="E260" t="s">
        <v>1061</v>
      </c>
      <c r="F260">
        <v>1</v>
      </c>
      <c r="G260">
        <v>650</v>
      </c>
      <c r="H260">
        <v>0</v>
      </c>
      <c r="I260">
        <v>0</v>
      </c>
      <c r="J260">
        <v>650</v>
      </c>
    </row>
    <row r="261" spans="1:10" x14ac:dyDescent="0.25">
      <c r="A261" t="s">
        <v>1455</v>
      </c>
      <c r="B261" t="s">
        <v>1456</v>
      </c>
      <c r="C261" t="s">
        <v>1243</v>
      </c>
      <c r="D261" t="s">
        <v>1244</v>
      </c>
      <c r="E261" t="s">
        <v>1061</v>
      </c>
      <c r="F261">
        <v>1</v>
      </c>
      <c r="G261">
        <v>10925</v>
      </c>
      <c r="H261">
        <v>0</v>
      </c>
      <c r="I261">
        <v>2575</v>
      </c>
      <c r="J261">
        <v>8350</v>
      </c>
    </row>
    <row r="262" spans="1:10" x14ac:dyDescent="0.25">
      <c r="A262" t="s">
        <v>1457</v>
      </c>
      <c r="B262" t="s">
        <v>1458</v>
      </c>
      <c r="C262" t="s">
        <v>1243</v>
      </c>
      <c r="D262" t="s">
        <v>1244</v>
      </c>
      <c r="E262" t="s">
        <v>1061</v>
      </c>
      <c r="F262">
        <v>1</v>
      </c>
      <c r="G262">
        <v>29600</v>
      </c>
      <c r="H262">
        <v>0</v>
      </c>
      <c r="I262">
        <v>7700</v>
      </c>
      <c r="J262">
        <v>21900</v>
      </c>
    </row>
    <row r="263" spans="1:10" x14ac:dyDescent="0.25">
      <c r="A263" t="s">
        <v>1459</v>
      </c>
      <c r="B263" t="s">
        <v>1460</v>
      </c>
      <c r="C263" t="s">
        <v>1243</v>
      </c>
      <c r="D263" t="s">
        <v>1244</v>
      </c>
      <c r="E263" t="s">
        <v>1061</v>
      </c>
      <c r="F263">
        <v>1</v>
      </c>
      <c r="G263">
        <v>3500</v>
      </c>
      <c r="H263">
        <v>0</v>
      </c>
      <c r="I263">
        <v>0</v>
      </c>
      <c r="J263">
        <v>3500</v>
      </c>
    </row>
    <row r="264" spans="1:10" x14ac:dyDescent="0.25">
      <c r="A264" t="s">
        <v>1461</v>
      </c>
      <c r="B264" t="s">
        <v>1462</v>
      </c>
      <c r="C264" t="s">
        <v>1243</v>
      </c>
      <c r="D264" t="s">
        <v>1244</v>
      </c>
      <c r="E264" t="s">
        <v>1061</v>
      </c>
      <c r="F264">
        <v>1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1463</v>
      </c>
      <c r="B265" t="s">
        <v>1464</v>
      </c>
      <c r="C265" t="s">
        <v>1243</v>
      </c>
      <c r="D265" t="s">
        <v>1244</v>
      </c>
      <c r="E265" t="s">
        <v>1061</v>
      </c>
      <c r="F265">
        <v>1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1465</v>
      </c>
      <c r="B266" t="s">
        <v>1466</v>
      </c>
      <c r="C266" t="s">
        <v>1243</v>
      </c>
      <c r="D266" t="s">
        <v>1244</v>
      </c>
      <c r="E266" t="s">
        <v>1061</v>
      </c>
      <c r="F266">
        <v>1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1467</v>
      </c>
      <c r="B267" t="s">
        <v>1468</v>
      </c>
      <c r="C267" t="s">
        <v>1243</v>
      </c>
      <c r="D267" t="s">
        <v>1244</v>
      </c>
      <c r="E267" t="s">
        <v>1061</v>
      </c>
      <c r="F267">
        <v>1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1469</v>
      </c>
      <c r="B268" t="s">
        <v>1470</v>
      </c>
      <c r="C268" t="s">
        <v>1243</v>
      </c>
      <c r="D268" t="s">
        <v>1244</v>
      </c>
      <c r="E268" t="s">
        <v>1061</v>
      </c>
      <c r="F268">
        <v>1</v>
      </c>
      <c r="G268">
        <v>13300</v>
      </c>
      <c r="H268">
        <v>6950</v>
      </c>
      <c r="I268">
        <v>4750</v>
      </c>
      <c r="J268">
        <v>15500</v>
      </c>
    </row>
    <row r="269" spans="1:10" x14ac:dyDescent="0.25">
      <c r="A269" t="s">
        <v>1471</v>
      </c>
      <c r="B269" t="s">
        <v>1472</v>
      </c>
      <c r="C269" t="s">
        <v>1243</v>
      </c>
      <c r="D269" t="s">
        <v>1244</v>
      </c>
      <c r="E269" t="s">
        <v>1061</v>
      </c>
      <c r="F269">
        <v>1</v>
      </c>
      <c r="G269">
        <v>7600</v>
      </c>
      <c r="H269">
        <v>0</v>
      </c>
      <c r="I269">
        <v>1900</v>
      </c>
      <c r="J269">
        <v>5700</v>
      </c>
    </row>
    <row r="270" spans="1:10" x14ac:dyDescent="0.25">
      <c r="A270" t="s">
        <v>1473</v>
      </c>
      <c r="B270" t="s">
        <v>1474</v>
      </c>
      <c r="C270" t="s">
        <v>1243</v>
      </c>
      <c r="D270" t="s">
        <v>1244</v>
      </c>
      <c r="E270" t="s">
        <v>1061</v>
      </c>
      <c r="F270">
        <v>1</v>
      </c>
      <c r="G270">
        <v>950</v>
      </c>
      <c r="H270">
        <v>8950</v>
      </c>
      <c r="I270">
        <v>0</v>
      </c>
      <c r="J270">
        <v>9900</v>
      </c>
    </row>
    <row r="271" spans="1:10" x14ac:dyDescent="0.25">
      <c r="A271" t="s">
        <v>1475</v>
      </c>
      <c r="B271" t="s">
        <v>1476</v>
      </c>
      <c r="C271" t="s">
        <v>1243</v>
      </c>
      <c r="D271" t="s">
        <v>1244</v>
      </c>
      <c r="E271" t="s">
        <v>1061</v>
      </c>
      <c r="F271">
        <v>1</v>
      </c>
      <c r="G271">
        <v>5750</v>
      </c>
      <c r="H271">
        <v>0</v>
      </c>
      <c r="I271">
        <v>0</v>
      </c>
      <c r="J271">
        <v>5750</v>
      </c>
    </row>
    <row r="272" spans="1:10" x14ac:dyDescent="0.25">
      <c r="A272" t="s">
        <v>1477</v>
      </c>
      <c r="B272" t="s">
        <v>1478</v>
      </c>
      <c r="C272" t="s">
        <v>1243</v>
      </c>
      <c r="D272" t="s">
        <v>1244</v>
      </c>
      <c r="E272" t="s">
        <v>1061</v>
      </c>
      <c r="F272">
        <v>1</v>
      </c>
      <c r="G272">
        <v>11500</v>
      </c>
      <c r="H272">
        <v>0</v>
      </c>
      <c r="I272">
        <v>0</v>
      </c>
      <c r="J272">
        <v>11500</v>
      </c>
    </row>
    <row r="273" spans="1:10" x14ac:dyDescent="0.25">
      <c r="A273" t="s">
        <v>1479</v>
      </c>
      <c r="B273" t="s">
        <v>1480</v>
      </c>
      <c r="C273" t="s">
        <v>1243</v>
      </c>
      <c r="D273" t="s">
        <v>1244</v>
      </c>
      <c r="E273" t="s">
        <v>1061</v>
      </c>
      <c r="F273">
        <v>1</v>
      </c>
      <c r="G273">
        <v>5000</v>
      </c>
      <c r="H273">
        <v>0</v>
      </c>
      <c r="I273">
        <v>0</v>
      </c>
      <c r="J273">
        <v>5000</v>
      </c>
    </row>
    <row r="274" spans="1:10" x14ac:dyDescent="0.25">
      <c r="A274" t="s">
        <v>1481</v>
      </c>
      <c r="B274" t="s">
        <v>1482</v>
      </c>
      <c r="C274" t="s">
        <v>1243</v>
      </c>
      <c r="D274" t="s">
        <v>1244</v>
      </c>
      <c r="E274" t="s">
        <v>1061</v>
      </c>
      <c r="F274">
        <v>1</v>
      </c>
      <c r="G274">
        <v>875</v>
      </c>
      <c r="H274">
        <v>0</v>
      </c>
      <c r="I274">
        <v>875</v>
      </c>
      <c r="J274">
        <v>0</v>
      </c>
    </row>
    <row r="275" spans="1:10" x14ac:dyDescent="0.25">
      <c r="A275" t="s">
        <v>1483</v>
      </c>
      <c r="B275" t="s">
        <v>1484</v>
      </c>
      <c r="C275" t="s">
        <v>1243</v>
      </c>
      <c r="D275" t="s">
        <v>1244</v>
      </c>
      <c r="E275" t="s">
        <v>1061</v>
      </c>
      <c r="F275">
        <v>1</v>
      </c>
      <c r="G275">
        <v>0</v>
      </c>
      <c r="H275">
        <v>11425</v>
      </c>
      <c r="I275">
        <v>0</v>
      </c>
      <c r="J275">
        <v>11425</v>
      </c>
    </row>
    <row r="276" spans="1:10" x14ac:dyDescent="0.25">
      <c r="A276" t="s">
        <v>1485</v>
      </c>
      <c r="B276" t="s">
        <v>1486</v>
      </c>
      <c r="C276" t="s">
        <v>1243</v>
      </c>
      <c r="D276" t="s">
        <v>1244</v>
      </c>
      <c r="E276" t="s">
        <v>1061</v>
      </c>
      <c r="F276">
        <v>1</v>
      </c>
      <c r="G276">
        <v>5000</v>
      </c>
      <c r="H276">
        <v>0</v>
      </c>
      <c r="I276">
        <v>0</v>
      </c>
      <c r="J276">
        <v>5000</v>
      </c>
    </row>
    <row r="277" spans="1:10" x14ac:dyDescent="0.25">
      <c r="A277" t="s">
        <v>1487</v>
      </c>
      <c r="B277" t="s">
        <v>1488</v>
      </c>
      <c r="C277" t="s">
        <v>1243</v>
      </c>
      <c r="D277" t="s">
        <v>1244</v>
      </c>
      <c r="E277" t="s">
        <v>1061</v>
      </c>
      <c r="F277">
        <v>1</v>
      </c>
      <c r="G277">
        <v>4600</v>
      </c>
      <c r="H277">
        <v>0</v>
      </c>
      <c r="I277">
        <v>0</v>
      </c>
      <c r="J277">
        <v>4600</v>
      </c>
    </row>
    <row r="278" spans="1:10" x14ac:dyDescent="0.25">
      <c r="A278" t="s">
        <v>1489</v>
      </c>
      <c r="B278" t="s">
        <v>1490</v>
      </c>
      <c r="C278" t="s">
        <v>1243</v>
      </c>
      <c r="D278" t="s">
        <v>1244</v>
      </c>
      <c r="E278" t="s">
        <v>1061</v>
      </c>
      <c r="F278">
        <v>1</v>
      </c>
      <c r="G278">
        <v>4200</v>
      </c>
      <c r="H278">
        <v>3450</v>
      </c>
      <c r="I278">
        <v>1150</v>
      </c>
      <c r="J278">
        <v>6500</v>
      </c>
    </row>
    <row r="279" spans="1:10" x14ac:dyDescent="0.25">
      <c r="A279" t="s">
        <v>1491</v>
      </c>
      <c r="B279" t="s">
        <v>1492</v>
      </c>
      <c r="C279" t="s">
        <v>1243</v>
      </c>
      <c r="D279" t="s">
        <v>1244</v>
      </c>
      <c r="E279" t="s">
        <v>1061</v>
      </c>
      <c r="F279">
        <v>1</v>
      </c>
      <c r="G279">
        <v>3800</v>
      </c>
      <c r="H279">
        <v>10950</v>
      </c>
      <c r="I279">
        <v>950</v>
      </c>
      <c r="J279">
        <v>13800</v>
      </c>
    </row>
    <row r="280" spans="1:10" x14ac:dyDescent="0.25">
      <c r="A280" t="s">
        <v>1493</v>
      </c>
      <c r="B280" t="s">
        <v>1494</v>
      </c>
      <c r="C280" t="s">
        <v>1243</v>
      </c>
      <c r="D280" t="s">
        <v>1244</v>
      </c>
      <c r="E280" t="s">
        <v>1061</v>
      </c>
      <c r="F280">
        <v>1</v>
      </c>
      <c r="G280">
        <v>4650</v>
      </c>
      <c r="H280">
        <v>8130</v>
      </c>
      <c r="I280">
        <v>1800</v>
      </c>
      <c r="J280">
        <v>10980</v>
      </c>
    </row>
    <row r="281" spans="1:10" x14ac:dyDescent="0.25">
      <c r="A281" t="s">
        <v>1495</v>
      </c>
      <c r="B281" t="s">
        <v>1496</v>
      </c>
      <c r="C281" t="s">
        <v>1243</v>
      </c>
      <c r="D281" t="s">
        <v>1244</v>
      </c>
      <c r="E281" t="s">
        <v>1061</v>
      </c>
      <c r="F281">
        <v>1</v>
      </c>
      <c r="G281">
        <v>6900</v>
      </c>
      <c r="H281">
        <v>4600</v>
      </c>
      <c r="I281">
        <v>1150</v>
      </c>
      <c r="J281">
        <v>10350</v>
      </c>
    </row>
    <row r="282" spans="1:10" x14ac:dyDescent="0.25">
      <c r="A282" t="s">
        <v>1497</v>
      </c>
      <c r="B282" t="s">
        <v>1498</v>
      </c>
      <c r="C282" t="s">
        <v>1243</v>
      </c>
      <c r="D282" t="s">
        <v>1244</v>
      </c>
      <c r="E282" t="s">
        <v>1061</v>
      </c>
      <c r="F282">
        <v>1</v>
      </c>
      <c r="G282">
        <v>1150</v>
      </c>
      <c r="H282">
        <v>0</v>
      </c>
      <c r="I282">
        <v>0</v>
      </c>
      <c r="J282">
        <v>1150</v>
      </c>
    </row>
    <row r="283" spans="1:10" x14ac:dyDescent="0.25">
      <c r="A283" t="s">
        <v>1499</v>
      </c>
      <c r="B283" t="s">
        <v>1500</v>
      </c>
      <c r="C283" t="s">
        <v>1243</v>
      </c>
      <c r="D283" t="s">
        <v>1244</v>
      </c>
      <c r="E283" t="s">
        <v>1061</v>
      </c>
      <c r="F283">
        <v>1</v>
      </c>
      <c r="G283">
        <v>1000</v>
      </c>
      <c r="H283">
        <v>0</v>
      </c>
      <c r="I283">
        <v>0</v>
      </c>
      <c r="J283">
        <v>1000</v>
      </c>
    </row>
    <row r="284" spans="1:10" x14ac:dyDescent="0.25">
      <c r="A284" t="s">
        <v>1501</v>
      </c>
      <c r="B284" t="s">
        <v>1502</v>
      </c>
      <c r="C284" t="s">
        <v>1243</v>
      </c>
      <c r="D284" t="s">
        <v>1244</v>
      </c>
      <c r="E284" t="s">
        <v>1061</v>
      </c>
      <c r="F284">
        <v>1</v>
      </c>
      <c r="G284">
        <v>1000</v>
      </c>
      <c r="H284">
        <v>0</v>
      </c>
      <c r="I284">
        <v>0</v>
      </c>
      <c r="J284">
        <v>1000</v>
      </c>
    </row>
    <row r="285" spans="1:10" x14ac:dyDescent="0.25">
      <c r="A285" t="s">
        <v>1503</v>
      </c>
      <c r="B285" t="s">
        <v>1504</v>
      </c>
      <c r="C285" t="s">
        <v>1243</v>
      </c>
      <c r="D285" t="s">
        <v>1244</v>
      </c>
      <c r="E285" t="s">
        <v>1061</v>
      </c>
      <c r="F285">
        <v>1</v>
      </c>
      <c r="G285">
        <v>1000</v>
      </c>
      <c r="H285">
        <v>0</v>
      </c>
      <c r="I285">
        <v>0</v>
      </c>
      <c r="J285">
        <v>1000</v>
      </c>
    </row>
    <row r="286" spans="1:10" x14ac:dyDescent="0.25">
      <c r="A286" t="s">
        <v>1505</v>
      </c>
      <c r="B286" t="s">
        <v>1506</v>
      </c>
      <c r="C286" t="s">
        <v>1243</v>
      </c>
      <c r="D286" t="s">
        <v>1244</v>
      </c>
      <c r="E286" t="s">
        <v>1061</v>
      </c>
      <c r="F286">
        <v>1</v>
      </c>
      <c r="G286">
        <v>5500</v>
      </c>
      <c r="H286">
        <v>0</v>
      </c>
      <c r="I286">
        <v>0</v>
      </c>
      <c r="J286">
        <v>5500</v>
      </c>
    </row>
    <row r="287" spans="1:10" x14ac:dyDescent="0.25">
      <c r="A287" t="s">
        <v>1507</v>
      </c>
      <c r="B287" t="s">
        <v>1508</v>
      </c>
      <c r="C287" t="s">
        <v>1243</v>
      </c>
      <c r="D287" t="s">
        <v>1244</v>
      </c>
      <c r="E287" t="s">
        <v>1061</v>
      </c>
      <c r="F287">
        <v>1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1509</v>
      </c>
      <c r="B288" t="s">
        <v>1510</v>
      </c>
      <c r="C288" t="s">
        <v>1243</v>
      </c>
      <c r="D288" t="s">
        <v>1244</v>
      </c>
      <c r="E288" t="s">
        <v>1061</v>
      </c>
      <c r="F288">
        <v>1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1511</v>
      </c>
      <c r="B289" t="s">
        <v>1512</v>
      </c>
      <c r="C289" t="s">
        <v>1243</v>
      </c>
      <c r="D289" t="s">
        <v>1244</v>
      </c>
      <c r="E289" t="s">
        <v>1061</v>
      </c>
      <c r="F289">
        <v>1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1513</v>
      </c>
      <c r="B290" t="s">
        <v>1514</v>
      </c>
      <c r="C290" t="s">
        <v>1243</v>
      </c>
      <c r="D290" t="s">
        <v>1244</v>
      </c>
      <c r="E290" t="s">
        <v>1061</v>
      </c>
      <c r="F290">
        <v>1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1515</v>
      </c>
      <c r="B291" t="s">
        <v>1516</v>
      </c>
      <c r="C291" t="s">
        <v>1243</v>
      </c>
      <c r="D291" t="s">
        <v>1244</v>
      </c>
      <c r="E291" t="s">
        <v>1061</v>
      </c>
      <c r="F291">
        <v>1</v>
      </c>
      <c r="G291">
        <v>25850</v>
      </c>
      <c r="H291">
        <v>0</v>
      </c>
      <c r="I291">
        <v>0</v>
      </c>
      <c r="J291">
        <v>25850</v>
      </c>
    </row>
    <row r="292" spans="1:10" x14ac:dyDescent="0.25">
      <c r="A292" t="s">
        <v>1517</v>
      </c>
      <c r="B292" t="s">
        <v>1518</v>
      </c>
      <c r="C292" t="s">
        <v>1243</v>
      </c>
      <c r="D292" t="s">
        <v>1244</v>
      </c>
      <c r="E292" t="s">
        <v>1061</v>
      </c>
      <c r="F292">
        <v>1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1519</v>
      </c>
      <c r="B293" t="s">
        <v>1520</v>
      </c>
      <c r="C293" t="s">
        <v>1243</v>
      </c>
      <c r="D293" t="s">
        <v>1244</v>
      </c>
      <c r="E293" t="s">
        <v>1061</v>
      </c>
      <c r="F293">
        <v>1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1521</v>
      </c>
      <c r="B294" t="s">
        <v>1522</v>
      </c>
      <c r="C294" t="s">
        <v>1243</v>
      </c>
      <c r="D294" t="s">
        <v>1244</v>
      </c>
      <c r="E294" t="s">
        <v>1061</v>
      </c>
      <c r="F294">
        <v>1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1523</v>
      </c>
      <c r="B295" t="s">
        <v>1524</v>
      </c>
      <c r="C295" t="s">
        <v>1243</v>
      </c>
      <c r="D295" t="s">
        <v>1244</v>
      </c>
      <c r="E295" t="s">
        <v>1061</v>
      </c>
      <c r="F295">
        <v>1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1525</v>
      </c>
      <c r="B296" t="s">
        <v>1526</v>
      </c>
      <c r="C296" t="s">
        <v>1243</v>
      </c>
      <c r="D296" t="s">
        <v>1244</v>
      </c>
      <c r="E296" t="s">
        <v>1061</v>
      </c>
      <c r="F296">
        <v>1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1527</v>
      </c>
      <c r="B297" t="s">
        <v>1528</v>
      </c>
      <c r="C297" t="s">
        <v>1243</v>
      </c>
      <c r="D297" t="s">
        <v>1244</v>
      </c>
      <c r="E297" t="s">
        <v>1061</v>
      </c>
      <c r="F297">
        <v>1</v>
      </c>
      <c r="G297">
        <v>5500</v>
      </c>
      <c r="H297">
        <v>0</v>
      </c>
      <c r="I297">
        <v>0</v>
      </c>
      <c r="J297">
        <v>5500</v>
      </c>
    </row>
    <row r="298" spans="1:10" x14ac:dyDescent="0.25">
      <c r="A298" t="s">
        <v>1529</v>
      </c>
      <c r="B298" t="s">
        <v>1530</v>
      </c>
      <c r="C298" t="s">
        <v>1243</v>
      </c>
      <c r="D298" t="s">
        <v>1244</v>
      </c>
      <c r="E298" t="s">
        <v>1061</v>
      </c>
      <c r="F298">
        <v>1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t="s">
        <v>1531</v>
      </c>
      <c r="B299" t="s">
        <v>1532</v>
      </c>
      <c r="C299" t="s">
        <v>1243</v>
      </c>
      <c r="D299" t="s">
        <v>1244</v>
      </c>
      <c r="E299" t="s">
        <v>1061</v>
      </c>
      <c r="F299">
        <v>1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t="s">
        <v>1533</v>
      </c>
      <c r="B300" t="s">
        <v>1534</v>
      </c>
      <c r="C300" t="s">
        <v>1243</v>
      </c>
      <c r="D300" t="s">
        <v>1244</v>
      </c>
      <c r="E300" t="s">
        <v>1061</v>
      </c>
      <c r="F300">
        <v>1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t="s">
        <v>1535</v>
      </c>
      <c r="B301" t="s">
        <v>1536</v>
      </c>
      <c r="C301" t="s">
        <v>1243</v>
      </c>
      <c r="D301" t="s">
        <v>1244</v>
      </c>
      <c r="E301" t="s">
        <v>1061</v>
      </c>
      <c r="F301">
        <v>1</v>
      </c>
      <c r="G301">
        <v>7700</v>
      </c>
      <c r="H301">
        <v>0</v>
      </c>
      <c r="I301">
        <v>0</v>
      </c>
      <c r="J301">
        <v>7700</v>
      </c>
    </row>
    <row r="302" spans="1:10" x14ac:dyDescent="0.25">
      <c r="A302" t="s">
        <v>1537</v>
      </c>
      <c r="B302" t="s">
        <v>1538</v>
      </c>
      <c r="C302" t="s">
        <v>1243</v>
      </c>
      <c r="D302" t="s">
        <v>1244</v>
      </c>
      <c r="E302" t="s">
        <v>1061</v>
      </c>
      <c r="F302">
        <v>1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1539</v>
      </c>
      <c r="B303" t="s">
        <v>1540</v>
      </c>
      <c r="C303" t="s">
        <v>1243</v>
      </c>
      <c r="D303" t="s">
        <v>1244</v>
      </c>
      <c r="E303" t="s">
        <v>1061</v>
      </c>
      <c r="F303">
        <v>1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1541</v>
      </c>
      <c r="B304" t="s">
        <v>1542</v>
      </c>
      <c r="C304" t="s">
        <v>1243</v>
      </c>
      <c r="D304" t="s">
        <v>1244</v>
      </c>
      <c r="E304" t="s">
        <v>1061</v>
      </c>
      <c r="F304">
        <v>1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1543</v>
      </c>
      <c r="B305" t="s">
        <v>1544</v>
      </c>
      <c r="C305" t="s">
        <v>1243</v>
      </c>
      <c r="D305" t="s">
        <v>1244</v>
      </c>
      <c r="E305" t="s">
        <v>1061</v>
      </c>
      <c r="F305">
        <v>1</v>
      </c>
      <c r="G305">
        <v>2400</v>
      </c>
      <c r="H305">
        <v>0</v>
      </c>
      <c r="I305">
        <v>0</v>
      </c>
      <c r="J305">
        <v>2400</v>
      </c>
    </row>
    <row r="306" spans="1:10" x14ac:dyDescent="0.25">
      <c r="A306" t="s">
        <v>1545</v>
      </c>
      <c r="B306" t="s">
        <v>1546</v>
      </c>
      <c r="C306" t="s">
        <v>1243</v>
      </c>
      <c r="D306" t="s">
        <v>1244</v>
      </c>
      <c r="E306" t="s">
        <v>1061</v>
      </c>
      <c r="F306">
        <v>1</v>
      </c>
      <c r="G306">
        <v>7600</v>
      </c>
      <c r="H306">
        <v>0</v>
      </c>
      <c r="I306">
        <v>0</v>
      </c>
      <c r="J306">
        <v>7600</v>
      </c>
    </row>
    <row r="307" spans="1:10" x14ac:dyDescent="0.25">
      <c r="A307" t="s">
        <v>1547</v>
      </c>
      <c r="B307" t="s">
        <v>1548</v>
      </c>
      <c r="C307" t="s">
        <v>1243</v>
      </c>
      <c r="D307" t="s">
        <v>1244</v>
      </c>
      <c r="E307" t="s">
        <v>1061</v>
      </c>
      <c r="F307">
        <v>1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 t="s">
        <v>1549</v>
      </c>
      <c r="B308" t="s">
        <v>1550</v>
      </c>
      <c r="C308" t="s">
        <v>1243</v>
      </c>
      <c r="D308" t="s">
        <v>1244</v>
      </c>
      <c r="E308" t="s">
        <v>1061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t="s">
        <v>1551</v>
      </c>
      <c r="B309" t="s">
        <v>1552</v>
      </c>
      <c r="C309" t="s">
        <v>1243</v>
      </c>
      <c r="D309" t="s">
        <v>1244</v>
      </c>
      <c r="E309" t="s">
        <v>1061</v>
      </c>
      <c r="F309">
        <v>1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1553</v>
      </c>
      <c r="B310" t="s">
        <v>1554</v>
      </c>
      <c r="C310" t="s">
        <v>1243</v>
      </c>
      <c r="D310" t="s">
        <v>1244</v>
      </c>
      <c r="E310" t="s">
        <v>1061</v>
      </c>
      <c r="F310">
        <v>1</v>
      </c>
      <c r="G310">
        <v>3500</v>
      </c>
      <c r="H310">
        <v>4000</v>
      </c>
      <c r="I310">
        <v>1600</v>
      </c>
      <c r="J310">
        <v>5900</v>
      </c>
    </row>
    <row r="311" spans="1:10" x14ac:dyDescent="0.25">
      <c r="A311" t="s">
        <v>1555</v>
      </c>
      <c r="B311" t="s">
        <v>1556</v>
      </c>
      <c r="C311" t="s">
        <v>1243</v>
      </c>
      <c r="D311" t="s">
        <v>1244</v>
      </c>
      <c r="E311" t="s">
        <v>1061</v>
      </c>
      <c r="F311">
        <v>1</v>
      </c>
      <c r="G311">
        <v>3200</v>
      </c>
      <c r="H311">
        <v>5500</v>
      </c>
      <c r="I311">
        <v>3200</v>
      </c>
      <c r="J311">
        <v>5500</v>
      </c>
    </row>
    <row r="312" spans="1:10" x14ac:dyDescent="0.25">
      <c r="A312" t="s">
        <v>1557</v>
      </c>
      <c r="B312" t="s">
        <v>1558</v>
      </c>
      <c r="C312" t="s">
        <v>1243</v>
      </c>
      <c r="D312" t="s">
        <v>1244</v>
      </c>
      <c r="E312" t="s">
        <v>1061</v>
      </c>
      <c r="F312">
        <v>1</v>
      </c>
      <c r="G312">
        <v>10325</v>
      </c>
      <c r="H312">
        <v>2000</v>
      </c>
      <c r="I312">
        <v>8975</v>
      </c>
      <c r="J312">
        <v>3350</v>
      </c>
    </row>
    <row r="313" spans="1:10" x14ac:dyDescent="0.25">
      <c r="A313" t="s">
        <v>1559</v>
      </c>
      <c r="B313" t="s">
        <v>1560</v>
      </c>
      <c r="C313" t="s">
        <v>1243</v>
      </c>
      <c r="D313" t="s">
        <v>1244</v>
      </c>
      <c r="E313" t="s">
        <v>1061</v>
      </c>
      <c r="F313">
        <v>1</v>
      </c>
      <c r="G313">
        <v>24825</v>
      </c>
      <c r="H313">
        <v>0</v>
      </c>
      <c r="I313">
        <v>1675</v>
      </c>
      <c r="J313">
        <v>23150</v>
      </c>
    </row>
    <row r="314" spans="1:10" x14ac:dyDescent="0.25">
      <c r="A314" t="s">
        <v>1561</v>
      </c>
      <c r="B314" t="s">
        <v>1562</v>
      </c>
      <c r="C314" t="s">
        <v>1243</v>
      </c>
      <c r="D314" t="s">
        <v>1244</v>
      </c>
      <c r="E314" t="s">
        <v>1061</v>
      </c>
      <c r="F314">
        <v>1</v>
      </c>
      <c r="G314">
        <v>1350</v>
      </c>
      <c r="H314">
        <v>0</v>
      </c>
      <c r="I314">
        <v>1350</v>
      </c>
      <c r="J314">
        <v>0</v>
      </c>
    </row>
    <row r="315" spans="1:10" x14ac:dyDescent="0.25">
      <c r="A315" t="s">
        <v>1563</v>
      </c>
      <c r="B315" t="s">
        <v>1564</v>
      </c>
      <c r="C315" t="s">
        <v>1243</v>
      </c>
      <c r="D315" t="s">
        <v>1244</v>
      </c>
      <c r="E315" t="s">
        <v>1061</v>
      </c>
      <c r="F315">
        <v>1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1565</v>
      </c>
      <c r="B316" t="s">
        <v>1566</v>
      </c>
      <c r="C316" t="s">
        <v>1567</v>
      </c>
      <c r="D316" t="s">
        <v>1244</v>
      </c>
      <c r="E316" t="s">
        <v>1061</v>
      </c>
      <c r="F316">
        <v>1</v>
      </c>
      <c r="G316">
        <v>0</v>
      </c>
      <c r="H316">
        <v>60900</v>
      </c>
      <c r="I316">
        <v>6000</v>
      </c>
      <c r="J316">
        <v>54900</v>
      </c>
    </row>
    <row r="317" spans="1:10" x14ac:dyDescent="0.25">
      <c r="A317" t="s">
        <v>1568</v>
      </c>
      <c r="B317" t="s">
        <v>1569</v>
      </c>
      <c r="C317" t="s">
        <v>1567</v>
      </c>
      <c r="D317" t="s">
        <v>1244</v>
      </c>
      <c r="E317" t="s">
        <v>1061</v>
      </c>
      <c r="F317">
        <v>1</v>
      </c>
      <c r="G317">
        <v>0</v>
      </c>
      <c r="H317">
        <v>10800</v>
      </c>
      <c r="I317">
        <v>1200</v>
      </c>
      <c r="J317">
        <v>9600</v>
      </c>
    </row>
    <row r="318" spans="1:10" x14ac:dyDescent="0.25">
      <c r="A318" t="s">
        <v>1570</v>
      </c>
      <c r="B318" t="s">
        <v>1571</v>
      </c>
      <c r="C318" t="s">
        <v>1567</v>
      </c>
      <c r="D318" t="s">
        <v>1244</v>
      </c>
      <c r="E318" t="s">
        <v>1061</v>
      </c>
      <c r="F318">
        <v>1</v>
      </c>
      <c r="G318">
        <v>0</v>
      </c>
      <c r="H318">
        <v>30600</v>
      </c>
      <c r="I318">
        <v>1800</v>
      </c>
      <c r="J318">
        <v>28800</v>
      </c>
    </row>
    <row r="319" spans="1:10" x14ac:dyDescent="0.25">
      <c r="A319" t="s">
        <v>1572</v>
      </c>
      <c r="B319" t="s">
        <v>1573</v>
      </c>
      <c r="C319" t="s">
        <v>1567</v>
      </c>
      <c r="D319" t="s">
        <v>1244</v>
      </c>
      <c r="E319" t="s">
        <v>1061</v>
      </c>
      <c r="F319">
        <v>1</v>
      </c>
      <c r="G319">
        <v>0</v>
      </c>
      <c r="H319">
        <v>60000</v>
      </c>
      <c r="I319">
        <v>28800</v>
      </c>
      <c r="J319">
        <v>31200</v>
      </c>
    </row>
    <row r="320" spans="1:10" x14ac:dyDescent="0.25">
      <c r="A320" t="s">
        <v>1574</v>
      </c>
      <c r="B320" t="s">
        <v>1575</v>
      </c>
      <c r="C320" t="s">
        <v>1567</v>
      </c>
      <c r="D320" t="s">
        <v>1244</v>
      </c>
      <c r="E320" t="s">
        <v>1061</v>
      </c>
      <c r="F320">
        <v>1</v>
      </c>
      <c r="G320">
        <v>0</v>
      </c>
      <c r="H320">
        <v>11400</v>
      </c>
      <c r="I320">
        <v>6600</v>
      </c>
      <c r="J320">
        <v>4800</v>
      </c>
    </row>
    <row r="321" spans="1:10" x14ac:dyDescent="0.25">
      <c r="A321" t="s">
        <v>1576</v>
      </c>
      <c r="B321" t="s">
        <v>1577</v>
      </c>
      <c r="C321" t="s">
        <v>1567</v>
      </c>
      <c r="D321" t="s">
        <v>1244</v>
      </c>
      <c r="E321" t="s">
        <v>1061</v>
      </c>
      <c r="F321">
        <v>1</v>
      </c>
      <c r="G321">
        <v>0</v>
      </c>
      <c r="H321">
        <v>29400</v>
      </c>
      <c r="I321">
        <v>9900</v>
      </c>
      <c r="J321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Utsav - Gazebo Cuisine</cp:lastModifiedBy>
  <dcterms:created xsi:type="dcterms:W3CDTF">2015-06-05T18:17:20Z</dcterms:created>
  <dcterms:modified xsi:type="dcterms:W3CDTF">2026-08-04T15:25:19Z</dcterms:modified>
</cp:coreProperties>
</file>