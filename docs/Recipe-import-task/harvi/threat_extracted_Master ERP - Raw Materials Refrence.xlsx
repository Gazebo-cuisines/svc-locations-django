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s3.xml" ContentType="application/vnd.ms-excel.threaded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s6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fileSharing readOnlyRecommended="1" userName="Warehouse" algorithmName="SHA-512" hashValue="mZWxOPy/j8nmnp+g7QNU4SatBfkqCgyVIFRjdlPXSLcrHkaY9scXQPqaY7FWkH9z7bbkMINpedgxFJPJvqWieg==" saltValue="Mvlr8iKWL8oSj+cgRi6d2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ocurement assistant\Utsav Refrences\ERP\Item Code - Documents -  Master Database - Excel\"/>
    </mc:Choice>
  </mc:AlternateContent>
  <bookViews>
    <workbookView xWindow="-120" yWindow="-120" windowWidth="29040" windowHeight="15720" activeTab="9"/>
  </bookViews>
  <sheets>
    <sheet name="VEG FROZEN A" sheetId="12" r:id="rId4"/>
    <sheet name="VEG FRESH A" sheetId="13" r:id="rId5"/>
    <sheet name="Ingredient" sheetId="8" r:id="rId6"/>
    <sheet name="Pastry" sheetId="7" r:id="rId7"/>
    <sheet name="SPICE" sheetId="6" r:id="rId8"/>
    <sheet name="SAUCE" sheetId="5" r:id="rId9"/>
    <sheet name="Protein" sheetId="3" r:id="rId10"/>
    <sheet name="Dairy" sheetId="2" r:id="rId11"/>
    <sheet name="Suppliers" sheetId="11" r:id="rId12"/>
    <sheet name="Sheet1" sheetId="1" r:id="rId13"/>
  </sheets>
  <definedNames>
    <definedName name="_xlnm._FilterDatabase" localSheetId="7" hidden="1">Dairy!$B$1:$N$17</definedName>
    <definedName name="_xlnm._FilterDatabase" localSheetId="2" hidden="1">Ingredient!$B$1:$M$59</definedName>
    <definedName name="_xlnm._FilterDatabase" localSheetId="3" hidden="1">Pastry!$B$1:$N$16</definedName>
    <definedName name="_xlnm._FilterDatabase" localSheetId="6" hidden="1">Protein!$B$1:$M$33</definedName>
    <definedName name="_xlnm._FilterDatabase" localSheetId="5" hidden="1">SAUCE!$B$1:$N$44</definedName>
    <definedName name="_xlnm._FilterDatabase" localSheetId="9" hidden="1">Sheet1!$B$2:$I$478</definedName>
    <definedName name="_xlnm._FilterDatabase" localSheetId="4" hidden="1">SPICE!$A$1:$M$62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3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tc={621D5362-CA44-46E1-B140-E7332A83EAE8}</author>
  </authors>
  <commentList>
    <comment ref="H55" authorId="0" shapeId="0" xr:uid="{621D5362-CA44-46E1-B140-E7332A83EAE8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UNIT ?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tc={FAE0D667-B9EF-40A1-978D-B41F4ED26B79}</author>
    <author>tc={DF0729EE-2BC3-4CF5-98E8-B4E05B80819A}</author>
  </authors>
  <commentList>
    <comment ref="H8" authorId="0" shapeId="0" xr:uid="{FAE0D667-B9EF-40A1-978D-B41F4ED26B79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It 1200 KG ?
</t>
        </r>
      </text>
    </comment>
    <comment ref="F11" authorId="1" shapeId="0" xr:uid="{DF0729EE-2BC3-4CF5-98E8-B4E05B80819A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Do we need to write size also ?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05" authorId="0" shapeId="0" xr:uid="{D2949116-2196-4FDB-AD2E-3D7A6D9C2E45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1 packet is 1200kg. Each packet has 60 x 20kg.  E.g 34packet x 20kg is 680</t>
        </r>
      </text>
    </comment>
    <comment ref="F106" authorId="0" shapeId="0" xr:uid="{B32F58AB-3E4F-47DF-BBA7-73C8051AF4A4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1 packet is 1200kg. Each packet has 60 x 20kg.  E.g 34packet x 20kg is 680</t>
        </r>
      </text>
    </comment>
  </commentList>
</comments>
</file>

<file path=xl/sharedStrings.xml><?xml version="1.0" encoding="utf-8"?>
<sst xmlns="http://schemas.openxmlformats.org/spreadsheetml/2006/main" count="5542" uniqueCount="2081">
  <si>
    <t>Stock Code</t>
  </si>
  <si>
    <t>Products</t>
  </si>
  <si>
    <t>Suppliers</t>
  </si>
  <si>
    <t>CASE SIZE</t>
  </si>
  <si>
    <t>RMABE001-05</t>
  </si>
  <si>
    <t>2 Breaded Camembert with Cranberry and Port Dip</t>
  </si>
  <si>
    <t>The Abergavenny Fine Food Co</t>
  </si>
  <si>
    <t>1 X 1</t>
  </si>
  <si>
    <t>RMASI001-01</t>
  </si>
  <si>
    <t>TYJ PASTRY 8.5" (wt 550g per packet)</t>
  </si>
  <si>
    <t>Asian Harvest Foods -Scotch Frost</t>
  </si>
  <si>
    <t>20 X 40</t>
  </si>
  <si>
    <t>RMASI001-03</t>
  </si>
  <si>
    <t>TYJ 6" Spring Roll Pastry 40x50 pcs</t>
  </si>
  <si>
    <t>40x50pcs</t>
  </si>
  <si>
    <t>RMF00003-01</t>
  </si>
  <si>
    <t>NATURAL SOYA MINCE (CAT B)</t>
  </si>
  <si>
    <t>AZELIS UK LIFE SCIENCE LTD</t>
  </si>
  <si>
    <t>1 x 15KG</t>
  </si>
  <si>
    <t>RMAZE001-01</t>
  </si>
  <si>
    <t>CLARIA PLUS STARCH</t>
  </si>
  <si>
    <t>1 x 25KG</t>
  </si>
  <si>
    <t>potassium sorbate</t>
  </si>
  <si>
    <t>RMBAC001-01</t>
  </si>
  <si>
    <t>NATIVE POTATO STARCH 25KG</t>
  </si>
  <si>
    <t>BACAREL &amp; CO LIMITED</t>
  </si>
  <si>
    <t>RMBAC001-04</t>
  </si>
  <si>
    <t>Preservative Free Potato Flake (1 x 20KG)</t>
  </si>
  <si>
    <t>1 X 20KG</t>
  </si>
  <si>
    <t>RMBAK001-01</t>
  </si>
  <si>
    <t>CARAMELISED SUGAR SYRUP (CAT B)</t>
  </si>
  <si>
    <t>BAKO</t>
  </si>
  <si>
    <t>RMBAK001-02</t>
  </si>
  <si>
    <t>Tate and Lyle soft light brown sugar 1 x 25kg (Min Order 5)</t>
  </si>
  <si>
    <t>RMBAK001-03</t>
  </si>
  <si>
    <t>Heat Treated Pumpkin Seeds</t>
  </si>
  <si>
    <t>1 X 25KG</t>
  </si>
  <si>
    <t>RMBAK001-06</t>
  </si>
  <si>
    <t>BICARBONATE OF SODA LARGE (1 x 25KG)</t>
  </si>
  <si>
    <t>RMHAR002-01</t>
  </si>
  <si>
    <t>FROZEN PEAS</t>
  </si>
  <si>
    <t>BELFIELD FARMS (YEARSLEY FOOD LTD)</t>
  </si>
  <si>
    <t>1 x 10KG</t>
  </si>
  <si>
    <t>RMHAR002-02</t>
  </si>
  <si>
    <t>FROZEN CHOPPED SPINACH</t>
  </si>
  <si>
    <t>4X2.5KG</t>
  </si>
  <si>
    <t>RMHAR002-03</t>
  </si>
  <si>
    <t>FROZEN MIX VEGETABLES</t>
  </si>
  <si>
    <t>RMHAR002-04</t>
  </si>
  <si>
    <t>Broad Bean</t>
  </si>
  <si>
    <t>RMHAR002-07</t>
  </si>
  <si>
    <t>10MM GREEN PEPPER DICED</t>
  </si>
  <si>
    <t>RMHAR002-09</t>
  </si>
  <si>
    <t>20MM D RED PEPPERS</t>
  </si>
  <si>
    <t>RMHAR002-12</t>
  </si>
  <si>
    <t>SWEET CORN</t>
  </si>
  <si>
    <t>RMHAR002-13</t>
  </si>
  <si>
    <t>Cut green beans frozen IQF</t>
  </si>
  <si>
    <t>RMHAR002-14</t>
  </si>
  <si>
    <t>Cauliflower florets 15/30 frozen IQF</t>
  </si>
  <si>
    <t>RMHAR002-15</t>
  </si>
  <si>
    <t>CUT BABY CORN frozen IQF</t>
  </si>
  <si>
    <t>RMHAR002-17</t>
  </si>
  <si>
    <t>SOYA BEANS</t>
  </si>
  <si>
    <t>RMHAR002-19</t>
  </si>
  <si>
    <t>HALF CHERRY TOMATOES</t>
  </si>
  <si>
    <t>RMHAR002-20</t>
  </si>
  <si>
    <t>20/40MM BROCOLLI</t>
  </si>
  <si>
    <t>RMHAR002-21</t>
  </si>
  <si>
    <t>FINE GREEN BEANS WHOLE</t>
  </si>
  <si>
    <t>RMHAR002-22</t>
  </si>
  <si>
    <t>DICED YELLOW PEPPER 20MM</t>
  </si>
  <si>
    <t>RMHAR002-23</t>
  </si>
  <si>
    <t>10MM DICED SWEET POTATO</t>
  </si>
  <si>
    <t>RMHAR002-24</t>
  </si>
  <si>
    <t>BUTTERNUT DICED 20MM (1X10KG)</t>
  </si>
  <si>
    <t>RMHAR002-25</t>
  </si>
  <si>
    <t>AUBERGINE DICED 20MM (1X10KG)</t>
  </si>
  <si>
    <t>RMHAR002-26</t>
  </si>
  <si>
    <t>COURGETTE DICED 20MM (1X10KG)</t>
  </si>
  <si>
    <t>RMHAR002-27</t>
  </si>
  <si>
    <t>Sliced Chestnut Mushrooms (1 x 10KG)</t>
  </si>
  <si>
    <t>RMHAR002-28</t>
  </si>
  <si>
    <t>10MM RED PEPPER DICED ( 1 X 10KG)</t>
  </si>
  <si>
    <t>RMHAR002-29</t>
  </si>
  <si>
    <t>CHOPPED SPRING ONION 4MM (1 X 10KG)</t>
  </si>
  <si>
    <t>RMHAR002-30</t>
  </si>
  <si>
    <t>10mm Diced Leeks ( 1 x 10KG )</t>
  </si>
  <si>
    <t>RMHAR002-31</t>
  </si>
  <si>
    <t>10mm Diced Carrots</t>
  </si>
  <si>
    <t>RMHAR002-32</t>
  </si>
  <si>
    <t>IQF Garlic Pure (1 x 10kg)</t>
  </si>
  <si>
    <t>RMHAR002-33</t>
  </si>
  <si>
    <t>IQF Green Chilli Puree (1x10kg)</t>
  </si>
  <si>
    <t>RMHAR002-34</t>
  </si>
  <si>
    <t>IQF Red Chilli Puree (1x10kg)</t>
  </si>
  <si>
    <t>RMHAR002-35</t>
  </si>
  <si>
    <t>IQF Pineapple Tidbits (1x10kg)</t>
  </si>
  <si>
    <t>RMHAR002-36</t>
  </si>
  <si>
    <t>10mm Diced White Onion (1x10kg)</t>
  </si>
  <si>
    <t>RMHAR002-37</t>
  </si>
  <si>
    <t>IQF Ginger Puree (1x10kg)</t>
  </si>
  <si>
    <t>RMHAR002-39</t>
  </si>
  <si>
    <t>10MM RED PEPPER DICED ( 1 X 15KG)</t>
  </si>
  <si>
    <t>1 x 15kg</t>
  </si>
  <si>
    <t>RMHAR002-40</t>
  </si>
  <si>
    <t>IQF Cooked Dark Speckled Lentils (1x12kg)</t>
  </si>
  <si>
    <t>1x12kg</t>
  </si>
  <si>
    <t>RMHAR002-41</t>
  </si>
  <si>
    <t>IQF Cooked Cannellini Beans (1x12kg)</t>
  </si>
  <si>
    <t>RMHAR002-42</t>
  </si>
  <si>
    <t>IQF Cooked Black Turtle Beans(1x12kg)</t>
  </si>
  <si>
    <t>RMHAR002-43</t>
  </si>
  <si>
    <t>10mm Diced Potato (1x10kg)</t>
  </si>
  <si>
    <t>RM366001-10</t>
  </si>
  <si>
    <t>EVERYDAY FAVOURITES CRANBERRY SAUCE</t>
  </si>
  <si>
    <t>BIDVEST FOOD SERVICE 3663 LTD</t>
  </si>
  <si>
    <t>4 x 2.5KG</t>
  </si>
  <si>
    <t>RM366001-12</t>
  </si>
  <si>
    <t>EVFAV MAPLE SYRUP 620G</t>
  </si>
  <si>
    <t>6 x 620G</t>
  </si>
  <si>
    <t>RM366001-15</t>
  </si>
  <si>
    <t>SANTA MARIA CHIPOTLE CHILLI PASTE(FOR MINDFUL)</t>
  </si>
  <si>
    <t>6X750G</t>
  </si>
  <si>
    <t>RM366001-20</t>
  </si>
  <si>
    <t>Alpro Barista Gluten Free Oat Milk (12x1L)</t>
  </si>
  <si>
    <t>12 X 1L</t>
  </si>
  <si>
    <t>RM366001-21</t>
  </si>
  <si>
    <t>EVFAV Apple Sauce (4x2.25kg)</t>
  </si>
  <si>
    <t>4x2.25kg</t>
  </si>
  <si>
    <t>RM366001-22</t>
  </si>
  <si>
    <t>La Comida Fajita Seasoning (6x550g)</t>
  </si>
  <si>
    <t>6x550g</t>
  </si>
  <si>
    <t>RM366001-23</t>
  </si>
  <si>
    <t>Redcurrant Jelly (1 x 2.72kg)</t>
  </si>
  <si>
    <t>1x2.72kg</t>
  </si>
  <si>
    <t>RMBOW001-03</t>
  </si>
  <si>
    <t>Grilled Roasted Red Peppers Diced 10mm</t>
  </si>
  <si>
    <t>BOWLANDER</t>
  </si>
  <si>
    <t>RMBOW001-04</t>
  </si>
  <si>
    <t xml:space="preserve">Grilled Aubergine Sliced </t>
  </si>
  <si>
    <t>1 X 10KG</t>
  </si>
  <si>
    <t>RMBOW001-05</t>
  </si>
  <si>
    <t>Grilled Aubergines</t>
  </si>
  <si>
    <t>RMBOW001-06</t>
  </si>
  <si>
    <t>Chive Rings Heat Treated (1 x 10KG)</t>
  </si>
  <si>
    <t>RMBRI006-01</t>
  </si>
  <si>
    <t>BLACK RICE</t>
  </si>
  <si>
    <t>THE BRITISH QUINOA COMPANY</t>
  </si>
  <si>
    <t>RMBRI006-02</t>
  </si>
  <si>
    <t>BRITISH WHITE QUINOA</t>
  </si>
  <si>
    <t>RMBRI006-03</t>
  </si>
  <si>
    <t>PERUVIAN RED QUINOA</t>
  </si>
  <si>
    <t>RMBRI006-04</t>
  </si>
  <si>
    <t>PERUVIAN BLACK QUINOA</t>
  </si>
  <si>
    <t>RMBRI006-05</t>
  </si>
  <si>
    <t>RED RICE</t>
  </si>
  <si>
    <t>RMBRI006-06</t>
  </si>
  <si>
    <t>EASY COOK BROWN RICE</t>
  </si>
  <si>
    <t>RMCAM003-01</t>
  </si>
  <si>
    <t>Salsa Dip V3 (1 X 10KG) (MOQ: 250KG)</t>
  </si>
  <si>
    <t>Camstar Ingredients Ltd</t>
  </si>
  <si>
    <t>RMCKF001-01</t>
  </si>
  <si>
    <t>SF BREADED MINI FILLETS (45-55G) PB (6*950g)</t>
  </si>
  <si>
    <t>CK Foods (Processing) Ltd</t>
  </si>
  <si>
    <t>6*950g</t>
  </si>
  <si>
    <t>RMCKF001-02</t>
  </si>
  <si>
    <t>HnS BREADED BITES (15-17G) PB (12*500g)</t>
  </si>
  <si>
    <t>12*500g</t>
  </si>
  <si>
    <t>RMDAR001-01</t>
  </si>
  <si>
    <t>Coriander</t>
  </si>
  <si>
    <t>DAREGAL GOURMET UK LTD</t>
  </si>
  <si>
    <t>RMDAR001-04</t>
  </si>
  <si>
    <t>IQF CURLY PARSLEY MEDIUM STD</t>
  </si>
  <si>
    <t>RMDAR001-07</t>
  </si>
  <si>
    <t>IQF BASIL LARGE PREMIUM</t>
  </si>
  <si>
    <t>1 x 12KG</t>
  </si>
  <si>
    <t>RMDAR001-08</t>
  </si>
  <si>
    <t>IQF Spearmint medium premium (6mm) (1x12kg)</t>
  </si>
  <si>
    <t>RMDAR001-09</t>
  </si>
  <si>
    <t>IQF Whole curry leaves (1 X 8KG)</t>
  </si>
  <si>
    <t>1 X 8KG</t>
  </si>
  <si>
    <t>RMDAR001-10</t>
  </si>
  <si>
    <t>IQF Milled lime leaves (1 X 15KG)</t>
  </si>
  <si>
    <t>RMDAR001-14</t>
  </si>
  <si>
    <t>Lemon Grass Milled ( 1 x 15 KG)</t>
  </si>
  <si>
    <t>1 X 15KG</t>
  </si>
  <si>
    <t>RMDAR001-15</t>
  </si>
  <si>
    <t>Galangal Milled ( 1 x 15KG)</t>
  </si>
  <si>
    <t>RMDAR001-16</t>
  </si>
  <si>
    <t>IQF Rosemary (1 X 15KG)</t>
  </si>
  <si>
    <t>RMDAR001-17</t>
  </si>
  <si>
    <t>IQF Thyme (1 X 15KG)</t>
  </si>
  <si>
    <t>RMDAR001-18</t>
  </si>
  <si>
    <t>Galangal Milled</t>
  </si>
  <si>
    <t>12 X 1KG</t>
  </si>
  <si>
    <t>RMDAR001-19</t>
  </si>
  <si>
    <t>IQF Sage Extra Fine (1x15kg)</t>
  </si>
  <si>
    <t>RMDAR002-01</t>
  </si>
  <si>
    <t>Cooked Shredded Duck (EU) (1x5kg)</t>
  </si>
  <si>
    <t>DARTMOUTH FOODS LTD</t>
  </si>
  <si>
    <t>1 X 5KG</t>
  </si>
  <si>
    <t>RMDIN001-01</t>
  </si>
  <si>
    <t>Lebanese homous long life (CAT A)</t>
  </si>
  <si>
    <t>DINA FOODS LTD</t>
  </si>
  <si>
    <t>1 x 2KG</t>
  </si>
  <si>
    <t>RMDON001-01</t>
  </si>
  <si>
    <t>CANNELLINI BEANS</t>
  </si>
  <si>
    <t>LUPA FOODS LTD (DONATANTONIO LTD)</t>
  </si>
  <si>
    <t>6 X 2.6KG</t>
  </si>
  <si>
    <t>RMDON001-03</t>
  </si>
  <si>
    <t>BUTTER BEANS (DRAIN WEIGHT 1.5KG)</t>
  </si>
  <si>
    <t>RMDON001-04</t>
  </si>
  <si>
    <t>Supersweet Sweetcorn (1x1.870kg) (MOQ:352)</t>
  </si>
  <si>
    <t>1x1.87kg</t>
  </si>
  <si>
    <t>RMDOV001-01</t>
  </si>
  <si>
    <t xml:space="preserve">Gluten Free Baking powder - (3x1kg) (MOQ:125) </t>
  </si>
  <si>
    <t>DOVES FARM FOODS LTD</t>
  </si>
  <si>
    <t>3 x 1KG</t>
  </si>
  <si>
    <t>RMEUR002-01</t>
  </si>
  <si>
    <t>ONION PUREE</t>
  </si>
  <si>
    <t>EUROCEBOLLAS (60 packets x 20kg)</t>
  </si>
  <si>
    <t>1 x 1200KG</t>
  </si>
  <si>
    <t>RMEUR002-02</t>
  </si>
  <si>
    <t>RTU 10MM (READY TO USE ONIONS) (MIN ORD 60 BAGS)</t>
  </si>
  <si>
    <t>RMFOO001-09</t>
  </si>
  <si>
    <t>Spinach Leaf Portions 50g (1 x 15KG)</t>
  </si>
  <si>
    <t>FOODNET LIMITED</t>
  </si>
  <si>
    <t>RMFOO001-12</t>
  </si>
  <si>
    <t>Whole Cherry Tomatoes 15-25mm IQF(MOQ:50)</t>
  </si>
  <si>
    <t>1 x 10kg</t>
  </si>
  <si>
    <t>RMFOX001-05</t>
  </si>
  <si>
    <t>MARJORAM - Rubbed Leaf</t>
  </si>
  <si>
    <t>FOX'S SPICES</t>
  </si>
  <si>
    <t>1 X 250G</t>
  </si>
  <si>
    <t>RMFRE003-01</t>
  </si>
  <si>
    <t>Grilled Aubergine Roundels (1X10KG)</t>
  </si>
  <si>
    <t>FREEWORLD FOODS LIMITED</t>
  </si>
  <si>
    <t>RMFRE005-01</t>
  </si>
  <si>
    <t>WHOLE MILK POLY WATSONS (1X2LTR)(CAT B)</t>
  </si>
  <si>
    <t>FRESHWAYS (A/C 41150)</t>
  </si>
  <si>
    <t>1 x 2LTR</t>
  </si>
  <si>
    <t>RMFRE005-02</t>
  </si>
  <si>
    <t>SEMI MILK POLY WATSONS (1x2LTR)(CAT B)</t>
  </si>
  <si>
    <t>RMFRE005-05</t>
  </si>
  <si>
    <t>SINGLE CREAM POLY WATSON (1 x 4PT)(CAT B)</t>
  </si>
  <si>
    <t>1 x 4 PINT</t>
  </si>
  <si>
    <t>RMFRE005-06</t>
  </si>
  <si>
    <t>NATURAL YOGHURT VERY LOW FAT FRESHWAYS (1X10KG)(CAT B)</t>
  </si>
  <si>
    <t>1 x 1KG</t>
  </si>
  <si>
    <t>RMFRE005-09</t>
  </si>
  <si>
    <t>UHT SINGLE CREAM</t>
  </si>
  <si>
    <t>1X1L</t>
  </si>
  <si>
    <t>RMFUN001-17</t>
  </si>
  <si>
    <t>LA MEXICANA BLACK TURTLE BEANS</t>
  </si>
  <si>
    <t>FUNNYBONES FOODSERVICE LIMITED</t>
  </si>
  <si>
    <t>6 X 2.5KG</t>
  </si>
  <si>
    <t>RMFUN001-18</t>
  </si>
  <si>
    <t>25CM/10in FLOUR TORTILLA AMBIENT POCO LOCO (18PCS PER PACK)</t>
  </si>
  <si>
    <t>6x18PCS</t>
  </si>
  <si>
    <t>RMFUN001-19</t>
  </si>
  <si>
    <t>W/I HOT SAUCE 5 LT</t>
  </si>
  <si>
    <t>1 x 5LTR</t>
  </si>
  <si>
    <t>RMFUN001-22</t>
  </si>
  <si>
    <t>Del Sol Diced Green Chillies</t>
  </si>
  <si>
    <t>6x2.8KG</t>
  </si>
  <si>
    <t>RMFUN001-23</t>
  </si>
  <si>
    <t>La Mex Nacho Sliced Jalapenos</t>
  </si>
  <si>
    <t>6x2.75KG</t>
  </si>
  <si>
    <t>RMFUN001-24</t>
  </si>
  <si>
    <t>Aroy-D Red Curry Paste</t>
  </si>
  <si>
    <t>24x400G</t>
  </si>
  <si>
    <t>RMFUN001-25</t>
  </si>
  <si>
    <t>Aroy-D Green Curry Paste</t>
  </si>
  <si>
    <t>RMFUN001-26</t>
  </si>
  <si>
    <t>Healthy Boy Mushroom Soy Sauce (12x700ML)</t>
  </si>
  <si>
    <t>12x700ML</t>
  </si>
  <si>
    <t>RMFUN001-27</t>
  </si>
  <si>
    <t>Tiantan Bean Vermicelli (25x500G)</t>
  </si>
  <si>
    <t>25x500G</t>
  </si>
  <si>
    <t>RMGAF001-01</t>
  </si>
  <si>
    <t>Chicken Breast whole without inner fillet -160gm-220gm(1x20kg)</t>
  </si>
  <si>
    <t>GAFOOR PURE HALAL LTD</t>
  </si>
  <si>
    <t>1 x 20kg</t>
  </si>
  <si>
    <t>RMGAF001-02</t>
  </si>
  <si>
    <t>DICED CHICKEN BREAST 12g-14g</t>
  </si>
  <si>
    <t>1X1KG</t>
  </si>
  <si>
    <t>RMGAF001-03</t>
  </si>
  <si>
    <t>DICED CHICKEN BREAST 18-23g</t>
  </si>
  <si>
    <t>RMGAF001-04</t>
  </si>
  <si>
    <t>CHICKEN BREAST STRIPS 10-14g</t>
  </si>
  <si>
    <t>RMGER002-01</t>
  </si>
  <si>
    <t>Pineapple Conc 60Bx Cloudy Unpreserved (1X25KG)</t>
  </si>
  <si>
    <t>GERALD MCDONALD &amp; COMPANY LIMITED</t>
  </si>
  <si>
    <t>RMGIO001-01</t>
  </si>
  <si>
    <t>Cooked Chilled 8” No Egg T&amp;P Noodles (6x2kg)</t>
  </si>
  <si>
    <t>Giorgios continental ltd</t>
  </si>
  <si>
    <t>6x2kg</t>
  </si>
  <si>
    <t>RMGOO001-01</t>
  </si>
  <si>
    <t>Rice Vinegar 5% 1X20L</t>
  </si>
  <si>
    <t>GOOD FOOD WINES LIMITED</t>
  </si>
  <si>
    <t>1X20L</t>
  </si>
  <si>
    <t>RMGOO001-02</t>
  </si>
  <si>
    <t>Malt Vinegar 5% 1X20L</t>
  </si>
  <si>
    <t>RMHAB001-03</t>
  </si>
  <si>
    <t>GOAT LOG FRESH RINDLESS 1KG (CAT B)</t>
  </si>
  <si>
    <t>H &amp; B FOODS LTD</t>
  </si>
  <si>
    <t>RMHAB001-11</t>
  </si>
  <si>
    <t>U/S BUTTER 40 X 250G CROXTON MANOR (CAT B)</t>
  </si>
  <si>
    <t>40 x 250G</t>
  </si>
  <si>
    <t>RMHAB001-15</t>
  </si>
  <si>
    <t>CROXTON MANOR LANCASHIRE BLOCK 2.5KG (CAT B)</t>
  </si>
  <si>
    <t>1 x 2.5KG</t>
  </si>
  <si>
    <t>RMHAB001-24</t>
  </si>
  <si>
    <t>CHEDDAR MATURE GRATED 2KG CROXTON (1 x 2KG)</t>
  </si>
  <si>
    <t>RMHAB001-25</t>
  </si>
  <si>
    <t>IT962 Ricotta 1.5kg (veg)</t>
  </si>
  <si>
    <t>1x1.5kg</t>
  </si>
  <si>
    <t>RMHAB001-27</t>
  </si>
  <si>
    <t>Feta block kolies Greek   (1 x 900g)</t>
  </si>
  <si>
    <t>1 x 900g</t>
  </si>
  <si>
    <t>RMHAB001-28</t>
  </si>
  <si>
    <t xml:space="preserve">Croxton manor 1.5kg cream cheese 25% fat  1 x 1.5kg   </t>
  </si>
  <si>
    <t>1 x 1.5kg  </t>
  </si>
  <si>
    <t>RMHAB001-29</t>
  </si>
  <si>
    <t xml:space="preserve">Feta Kolios Greek 200g </t>
  </si>
  <si>
    <t>1 X 200G</t>
  </si>
  <si>
    <t>RMHAB001-30</t>
  </si>
  <si>
    <t xml:space="preserve">Brie De Meaux Donge 3kg </t>
  </si>
  <si>
    <t>1 X 3KG</t>
  </si>
  <si>
    <t>RMHAB001-31</t>
  </si>
  <si>
    <t>LIQUID FREE RANGE WHOLE EGG PASTEURISED 1KG</t>
  </si>
  <si>
    <t>1 X 1KG</t>
  </si>
  <si>
    <t>RMHAR006-03</t>
  </si>
  <si>
    <t>Cooked Minced lamb frozen (1 X 2kg)</t>
  </si>
  <si>
    <t>Hartley's Farm Foods Ltd</t>
  </si>
  <si>
    <t>1 X 2KG</t>
  </si>
  <si>
    <t>RMHAR006-04</t>
  </si>
  <si>
    <t>DC - Cooked Chicken Tikka Frozen Mindful (1 x 3kg)</t>
  </si>
  <si>
    <t>1 x 3kg</t>
  </si>
  <si>
    <t>RMHAW001-02</t>
  </si>
  <si>
    <t xml:space="preserve">Gazebo Plum Chutney 4.75kg </t>
  </si>
  <si>
    <t xml:space="preserve">HAWKSHEAD RELISH COMPANY LTD </t>
  </si>
  <si>
    <t>1 x 4.75kg</t>
  </si>
  <si>
    <t>RMHAW001-03</t>
  </si>
  <si>
    <t>Onion Marmalade (1x6KG)(MOQ:240KG)</t>
  </si>
  <si>
    <t>1 X 6KG</t>
  </si>
  <si>
    <t>RMHAW001-04</t>
  </si>
  <si>
    <t>Chilli Jam (1X6.5Kg) (MOQ:240KG)</t>
  </si>
  <si>
    <t>1X6.5KG</t>
  </si>
  <si>
    <t>RMHEN001-01</t>
  </si>
  <si>
    <t>Frozen Cooked Chicken Breast 12mm diced (brazilian )</t>
  </si>
  <si>
    <t>Henryson Foods International Limited</t>
  </si>
  <si>
    <t>RMHSM001-03</t>
  </si>
  <si>
    <t>10-12mm Diced Chicken Breast(Laemthong) (4x2.5kg)</t>
  </si>
  <si>
    <t>H SMITH FOOD GROUP PLC</t>
  </si>
  <si>
    <t>RMHSM001-04</t>
  </si>
  <si>
    <t>CHICKEN FINES (1x10kg) (550 kg/ pallet)</t>
  </si>
  <si>
    <t>1*10 KG</t>
  </si>
  <si>
    <t>RMHOP001-02</t>
  </si>
  <si>
    <t>LAMB WESTERN SEASONED JACKET WEDGES (CAT B)</t>
  </si>
  <si>
    <t>HOPWELLS LIMITED</t>
  </si>
  <si>
    <t>RMIHF001-02</t>
  </si>
  <si>
    <t>10MM DICED ONIONS</t>
  </si>
  <si>
    <t>I.H.FOODS LTD</t>
  </si>
  <si>
    <t>RMIHF001-03</t>
  </si>
  <si>
    <t>10MM DICED POTATOES</t>
  </si>
  <si>
    <t>RMIHF001-04</t>
  </si>
  <si>
    <t>3 X 3 X20MM SHREDDED CARROTS</t>
  </si>
  <si>
    <t>RMIHF001-05</t>
  </si>
  <si>
    <t>3MM SHREDDED CABBAGE</t>
  </si>
  <si>
    <t>RMIHF001-08</t>
  </si>
  <si>
    <t>SLICED LEEKS</t>
  </si>
  <si>
    <t>RMIHF001-09</t>
  </si>
  <si>
    <t>10 X 10MM DICED RED ONIONS</t>
  </si>
  <si>
    <t>RMIHF001-11</t>
  </si>
  <si>
    <t>SLICED RED PEPPER</t>
  </si>
  <si>
    <t>RMIHF001-14</t>
  </si>
  <si>
    <t>3MM DICED ONIONS</t>
  </si>
  <si>
    <t>RMIHF001-17</t>
  </si>
  <si>
    <t>DICED RED PEPPER 20MM</t>
  </si>
  <si>
    <t>RMIHF001-18</t>
  </si>
  <si>
    <t>DICED ONIONS 25MM</t>
  </si>
  <si>
    <t>RMIHF001-19</t>
  </si>
  <si>
    <t>FRESH GREEN BEANS BATON (30-60MM)</t>
  </si>
  <si>
    <t>RMIHF001-22</t>
  </si>
  <si>
    <t>BATON CARROT 2.5MM</t>
  </si>
  <si>
    <t>RMIHF001-23</t>
  </si>
  <si>
    <t>SAVOY CABBAGE SHREDDED JULIAN</t>
  </si>
  <si>
    <t>RMIHF001-24</t>
  </si>
  <si>
    <t>DICED GREEN PEPPER 20MM</t>
  </si>
  <si>
    <t>RMIHF001-25</t>
  </si>
  <si>
    <t>BATON CARROT 8.5MM</t>
  </si>
  <si>
    <t>RMIHF001-26</t>
  </si>
  <si>
    <t>CHOPPED ONION 2-6 MM</t>
  </si>
  <si>
    <t>RMIHF001-27</t>
  </si>
  <si>
    <t>FRESH CORIANDER CHOPPED</t>
  </si>
  <si>
    <t>RMIHF001-28</t>
  </si>
  <si>
    <t>SLICED MUSHROOM</t>
  </si>
  <si>
    <t>RMIHF001-32</t>
  </si>
  <si>
    <t>Potato Diced 20MM</t>
  </si>
  <si>
    <t>RMIHF001-33</t>
  </si>
  <si>
    <t>GRATED POTATOES</t>
  </si>
  <si>
    <t>RMIHF001-34</t>
  </si>
  <si>
    <t>Chopped Spring Onions 20mm</t>
  </si>
  <si>
    <t>RMIHF001-35</t>
  </si>
  <si>
    <t xml:space="preserve">Chopped Fresh Mint </t>
  </si>
  <si>
    <t>RMIHF001-36</t>
  </si>
  <si>
    <t>Dice Tomatoes</t>
  </si>
  <si>
    <t>RMIHF001-37</t>
  </si>
  <si>
    <t>Chopped Spring Oninos 10mm</t>
  </si>
  <si>
    <t>RMIHF001-38</t>
  </si>
  <si>
    <t>FRESH CHOPPED MUSHROOMS SIZE 5-10MM</t>
  </si>
  <si>
    <t>RMIHF001-39</t>
  </si>
  <si>
    <t>SWEET POTATO 20MM DICED SKIN ON UNSIEVED</t>
  </si>
  <si>
    <t>RMIHF001-40</t>
  </si>
  <si>
    <t>Green Beans 10mm Fs</t>
  </si>
  <si>
    <t>RMIHF001-43</t>
  </si>
  <si>
    <t>CARROTS DICED 20mm Fs</t>
  </si>
  <si>
    <t>RMIHF001-46</t>
  </si>
  <si>
    <t>BABY WHOLE SPINACH (MIX SIZE)</t>
  </si>
  <si>
    <t>RMIHF001-48</t>
  </si>
  <si>
    <t>BUTTERNUT SLICED 3-5MM TOP FRONT - 1/2 MOON CUT</t>
  </si>
  <si>
    <t>RMIHF001-49</t>
  </si>
  <si>
    <t>Yellow Pepper Half Baton Fresh</t>
  </si>
  <si>
    <t>RMIHF001-51</t>
  </si>
  <si>
    <t>GREEN BEANS BATON 30MM (+-5)</t>
  </si>
  <si>
    <t>RMIHF001-53</t>
  </si>
  <si>
    <t>Parsley Chopped Fs</t>
  </si>
  <si>
    <t>RMIHF001-54</t>
  </si>
  <si>
    <t>RED Pepper Half Baton Fresh</t>
  </si>
  <si>
    <t>RMIHF001-55</t>
  </si>
  <si>
    <t>Carrots Half Baton 30mm Fs</t>
  </si>
  <si>
    <t>RMIHF001-56</t>
  </si>
  <si>
    <t>Red Onion Chopped 5mm Fs</t>
  </si>
  <si>
    <t>RMIHF001-57</t>
  </si>
  <si>
    <t>Tomato Cherry Whole Fs (RTE)-TRAY (Holland, Morocco,Spain)</t>
  </si>
  <si>
    <t>RMIHF001-59</t>
  </si>
  <si>
    <t>Parsley Chopped Fs (RTE)-TRAY (UK.Spain, Cyprus, Morocco)</t>
  </si>
  <si>
    <t>RMIHF001-60</t>
  </si>
  <si>
    <t>Courgette fine Grated</t>
  </si>
  <si>
    <t>RMIHF001-61</t>
  </si>
  <si>
    <t>Sweet Potato  fine Grated</t>
  </si>
  <si>
    <t>RMIHF001-62</t>
  </si>
  <si>
    <t>Sliced Chestnuts Mushroom</t>
  </si>
  <si>
    <t>RMIHF001-63</t>
  </si>
  <si>
    <t>Kale Ruf Cut</t>
  </si>
  <si>
    <t>RMIHF001-64</t>
  </si>
  <si>
    <t>Diced Cauliflower 20mm</t>
  </si>
  <si>
    <t>RMIHF001-66</t>
  </si>
  <si>
    <t>Sliced Yellow Pepper 6mm</t>
  </si>
  <si>
    <t>RMIHF001-67</t>
  </si>
  <si>
    <t>Sliced Red Onion 3mm</t>
  </si>
  <si>
    <t>RMIHF001-70</t>
  </si>
  <si>
    <t>Mixed Mushrooms Sliced</t>
  </si>
  <si>
    <t>RMIHF001-71</t>
  </si>
  <si>
    <t>SHREDDED Baby Spinach</t>
  </si>
  <si>
    <t>RMIHF001-73</t>
  </si>
  <si>
    <t xml:space="preserve">Fresh Bean Sprouts Whole - Washed </t>
  </si>
  <si>
    <t>1 x 4KG</t>
  </si>
  <si>
    <t>RMIHF001-75</t>
  </si>
  <si>
    <t>2mm sliced onions</t>
  </si>
  <si>
    <t>1X10KG</t>
  </si>
  <si>
    <t>RMIHF001-76</t>
  </si>
  <si>
    <t>RTE Carrot Baton</t>
  </si>
  <si>
    <t>RMIHF001-77</t>
  </si>
  <si>
    <t>Shredded RED cabbage 3mm (1X10KG)</t>
  </si>
  <si>
    <t>RMIMS001-01</t>
  </si>
  <si>
    <t>BRITISH HALAL DICED CHICKEN BREAST 12g-14g</t>
  </si>
  <si>
    <t>IMS of Smithfield</t>
  </si>
  <si>
    <t>RMIMS001-04</t>
  </si>
  <si>
    <t>BRITISH HALAL DICED CHICKEN BREAST 22-25G</t>
  </si>
  <si>
    <t>RMIMS001-05</t>
  </si>
  <si>
    <t>BRITISH HALAL CHICKEN THIGH MINCED</t>
  </si>
  <si>
    <t>RMIMS001-06</t>
  </si>
  <si>
    <t>BRITISH HALAL CHICKEN INNER FILLETS 35G</t>
  </si>
  <si>
    <t>RMIMS001-10</t>
  </si>
  <si>
    <t>BRITISH HALAL MINCE BEEF 85VL</t>
  </si>
  <si>
    <t>RMINN001-01</t>
  </si>
  <si>
    <t>Halloumi Fries (6x1kg) (MOQ:100)</t>
  </si>
  <si>
    <t>Innovate Foods Ltd</t>
  </si>
  <si>
    <t>6X1KG</t>
  </si>
  <si>
    <t>RMJAP002-01</t>
  </si>
  <si>
    <t>GYOZA TORI VEG ( 50 pieces in carton, 20g per piece) (CAT A)</t>
  </si>
  <si>
    <t>JapCook UK Ltd</t>
  </si>
  <si>
    <t>10 x 1KG</t>
  </si>
  <si>
    <t>RMJAP002-02</t>
  </si>
  <si>
    <t>GYOZA YASAI (Grilled) Vegetable (300pieces in carton,20g)</t>
  </si>
  <si>
    <t>10 x 600g</t>
  </si>
  <si>
    <t>RMJAR001-01</t>
  </si>
  <si>
    <t>Spicy Tomato Dip  (40g x 150 Units)(MOQ:100,000units)</t>
  </si>
  <si>
    <t>Jardox Ltd</t>
  </si>
  <si>
    <t>40g x 150 Units</t>
  </si>
  <si>
    <t>RMJFC001-02</t>
  </si>
  <si>
    <t>JFC (UK) LTD</t>
  </si>
  <si>
    <t xml:space="preserve"> 6 x 1L</t>
  </si>
  <si>
    <t>RMJFC001-03</t>
  </si>
  <si>
    <t>KIKKOMAN SOY SAUCE (PET) (4 x 1.9 litres)</t>
  </si>
  <si>
    <t>RMJFC001-04</t>
  </si>
  <si>
    <t>HANAMARUKI FOR RESTAURANT  WHITE MISO (10X1KG)</t>
  </si>
  <si>
    <t>10X1KG</t>
  </si>
  <si>
    <t>RMJFC001-05</t>
  </si>
  <si>
    <t xml:space="preserve">KIKKOMAN TAMARI GLUTEN FREE SHOYU 1/20L                     </t>
  </si>
  <si>
    <t>1 x 20L</t>
  </si>
  <si>
    <t>RMJSB001-01</t>
  </si>
  <si>
    <t>WHITE MATURE CHEDDAR GRATED (1 x 2KG)(MOQ:500KG)</t>
  </si>
  <si>
    <t>J. S. BAILEY LIMITED</t>
  </si>
  <si>
    <t>RMKEE001-01</t>
  </si>
  <si>
    <t>GOLDFISH PLUM SAUCE (2 X 2L)(MOQ:165)</t>
  </si>
  <si>
    <t xml:space="preserve">KEEJAYS LTD </t>
  </si>
  <si>
    <t>2X2L</t>
  </si>
  <si>
    <t>RMKEN003-01</t>
  </si>
  <si>
    <t>SUCRANNA GRANULATED SUGAR ( Order 40 Bags)</t>
  </si>
  <si>
    <t>KENT FOODS LIMITED</t>
  </si>
  <si>
    <t>RMKEN003-02</t>
  </si>
  <si>
    <t>PDV SALT ( Order 49 Bags)</t>
  </si>
  <si>
    <t>RMKIM001-01</t>
  </si>
  <si>
    <t>8" Spring Roll Pastry</t>
  </si>
  <si>
    <t>KIM'S FOOD LTD</t>
  </si>
  <si>
    <t>11 X 675G</t>
  </si>
  <si>
    <t>RMKIM001-02</t>
  </si>
  <si>
    <t>British Dry Coated Beef Strips (1 x 4KG) (MOQ:400KG)</t>
  </si>
  <si>
    <t>1x4kg</t>
  </si>
  <si>
    <t>RMKIR001-03</t>
  </si>
  <si>
    <t>Lemon Juice NFC (Vegan) (1 x 20KG) (MOQ:48)</t>
  </si>
  <si>
    <t>KIRIL MISCHEFF LTD</t>
  </si>
  <si>
    <t>RMKIR001-04</t>
  </si>
  <si>
    <t>Coconut milk  (17-19% fat no additives)(MOQ:48)</t>
  </si>
  <si>
    <t>RMKIR001-05</t>
  </si>
  <si>
    <t>IQF Sliced Water Chestnuts (1 x 10kg)(MOQ:70)</t>
  </si>
  <si>
    <t>RMKLU001-05</t>
  </si>
  <si>
    <t>Raw coconut chips</t>
  </si>
  <si>
    <t>KLUMAN AND BALTER LIMITED</t>
  </si>
  <si>
    <t>RMKLU001-07</t>
  </si>
  <si>
    <t>SO2 Free Chop Apricots (73.58)</t>
  </si>
  <si>
    <t>1 X 12.5KG</t>
  </si>
  <si>
    <t>RMKLU001-08</t>
  </si>
  <si>
    <t>Ground Almond (1 X 12.5KG)</t>
  </si>
  <si>
    <t>RMKLU001-09</t>
  </si>
  <si>
    <t>Flaked Almond</t>
  </si>
  <si>
    <t>RMKTC001-01</t>
  </si>
  <si>
    <t>RAPESEED OIL 1000LT</t>
  </si>
  <si>
    <t>KTC (EDIBLES) LTD</t>
  </si>
  <si>
    <t>1 x 1000L</t>
  </si>
  <si>
    <t>RMKTC001-03</t>
  </si>
  <si>
    <t>KTC Red Kidney Beans</t>
  </si>
  <si>
    <t>6 x 2.55kg</t>
  </si>
  <si>
    <t>RMKTC001-04</t>
  </si>
  <si>
    <t xml:space="preserve">CHICK PEAS </t>
  </si>
  <si>
    <t>RMKTC001-06</t>
  </si>
  <si>
    <t>Pure Pomace 4x5L Olive Oil</t>
  </si>
  <si>
    <t>4 x 5LT</t>
  </si>
  <si>
    <t>RMKTC001-09</t>
  </si>
  <si>
    <t>CRUSHED TOMATOES - BAG IN BOX</t>
  </si>
  <si>
    <t>1X 20KG</t>
  </si>
  <si>
    <t>RMKTC001-10</t>
  </si>
  <si>
    <t>Alphonso Mango Pulp  6 x 850G</t>
  </si>
  <si>
    <t>6 x 850G</t>
  </si>
  <si>
    <t>RMKTC001-11</t>
  </si>
  <si>
    <t>TOMATO PASTE IN 20KG BAG (1 X 20KG)</t>
  </si>
  <si>
    <t>1X20KG</t>
  </si>
  <si>
    <t>RMKTC001-12</t>
  </si>
  <si>
    <t>TOASTED SESAME SEED OIL (1 x 20L)</t>
  </si>
  <si>
    <t>1 X 20L</t>
  </si>
  <si>
    <t>RMLEA001-03</t>
  </si>
  <si>
    <t>LEATHAMS</t>
  </si>
  <si>
    <t>RMMAT001-09</t>
  </si>
  <si>
    <t>FROZEN HIGH WELFARE DICED CHICKEN BREAST FR(28x28x28)(TNP)</t>
  </si>
  <si>
    <t>Matthews Meats Limited</t>
  </si>
  <si>
    <t>1 x 5KG</t>
  </si>
  <si>
    <t>RMMAT001-10</t>
  </si>
  <si>
    <t>Chicken Thigh Mince 6MM FR (high welfare) (1 x 5KG)</t>
  </si>
  <si>
    <t>RMMAT001-12</t>
  </si>
  <si>
    <t>CHILLED HIGH WELFARE DICED CHICKEN BREAST FR(28x28 x28)(TNP)</t>
  </si>
  <si>
    <t>RMMAT001-13</t>
  </si>
  <si>
    <t>CHILLED RTA DICED HERITAGE BEEF CHUCK(28 x 28 x 28) (DUNBIA)</t>
  </si>
  <si>
    <t>RMMAT001-14</t>
  </si>
  <si>
    <t>CHILLED RTA DICED HERITAGE LAMB 90vl SHOULDER(28x28x28)(RPF)</t>
  </si>
  <si>
    <t>RMMAT001-15</t>
  </si>
  <si>
    <t>CHILLED90vl MINCED HERITAGE LAMB50/50 SHOULDER&amp;TRIM 6MM(RPF)</t>
  </si>
  <si>
    <t>RMMAT001-16</t>
  </si>
  <si>
    <t>CHILLED 90vl BEEF MINCED HERITAGE (6MM) (1X5KG) (DUNBIA)</t>
  </si>
  <si>
    <t>RMMAT001-17</t>
  </si>
  <si>
    <t>90VL British Halal Lamb mince (1 x 5KG)</t>
  </si>
  <si>
    <t>RMMAT001-18</t>
  </si>
  <si>
    <t>28X28X28 BRITISH HALAL DICED LAMB LEG  (1 x 5kg)</t>
  </si>
  <si>
    <t>RMMAR005-02</t>
  </si>
  <si>
    <t>ENGEVITA YEAST FLAKES WITH B12 (1 x 25kg)(moq:2)</t>
  </si>
  <si>
    <t>MARIGOLD HEALTH FOODS LTD</t>
  </si>
  <si>
    <t>1 x 25kg</t>
  </si>
  <si>
    <t>RMMAR001-04</t>
  </si>
  <si>
    <t>BALLERINA SLICED MUSHROOMS IN WATER</t>
  </si>
  <si>
    <t>MARTIN MATHEW &amp; CO. LTD</t>
  </si>
  <si>
    <t>RMMAR001-07</t>
  </si>
  <si>
    <t>MM Panko Breadcrumbs (1 x 10KG)</t>
  </si>
  <si>
    <t>RMMAR001-08</t>
  </si>
  <si>
    <t>Riverdene Butter Beans in Brine (6x2.5kg)</t>
  </si>
  <si>
    <t>RMMXF001-01</t>
  </si>
  <si>
    <t>Ambient 16.5cm (6.5") Flour Tortillas (CAT B)</t>
  </si>
  <si>
    <t>MX Foods LTD</t>
  </si>
  <si>
    <t>18 x 18</t>
  </si>
  <si>
    <t>RMMXF001-02</t>
  </si>
  <si>
    <t>Medium Hot &amp; Chunky Salsa Picante</t>
  </si>
  <si>
    <t>4x 3.78L</t>
  </si>
  <si>
    <t>RMMXF001-08</t>
  </si>
  <si>
    <t>REFRIED PINTO BEANS (LA SIERRA)</t>
  </si>
  <si>
    <t>6 X 3 KG</t>
  </si>
  <si>
    <t>RMNEW003-01</t>
  </si>
  <si>
    <t>Gluten free Bread Crumbs - FINE (1X15KG)(MOQ:40)</t>
  </si>
  <si>
    <t>NEWLY WEDS FOODS LIMITED</t>
  </si>
  <si>
    <t>1X15KG</t>
  </si>
  <si>
    <t>RMNIK001-01</t>
  </si>
  <si>
    <t>FROZEN PLAIN PULLED JACKFRUIT (10 x 1KG)</t>
  </si>
  <si>
    <t>NIKASU FOODS UK LTD</t>
  </si>
  <si>
    <t>10 X 1KG</t>
  </si>
  <si>
    <t>RMP&amp;B001-02</t>
  </si>
  <si>
    <t>patak's sweet mango chutney</t>
  </si>
  <si>
    <t>P&amp; B FOODS</t>
  </si>
  <si>
    <t>2 X 2.2KG</t>
  </si>
  <si>
    <t>RMP&amp;B001-04</t>
  </si>
  <si>
    <t>Heera Tamarind Sauce</t>
  </si>
  <si>
    <t>10 X 1L</t>
  </si>
  <si>
    <t>RMP&amp;B001-05</t>
  </si>
  <si>
    <t>BROKEN CASHEW (LP) ( 1 x 22.7 kg )</t>
  </si>
  <si>
    <t>1X22.7KG</t>
  </si>
  <si>
    <t>RMP&amp;B001-06</t>
  </si>
  <si>
    <t>Mustard Seeds Brown ( 1 x 25KG)</t>
  </si>
  <si>
    <t>RMP&amp;B001-08</t>
  </si>
  <si>
    <t>BROKEN CASHEW (LWP) (6X700G)</t>
  </si>
  <si>
    <t>6 x 700g</t>
  </si>
  <si>
    <t>RMP&amp;B001-09</t>
  </si>
  <si>
    <t>HEERA BLACK CARDAMOM POWDER (10X50G)</t>
  </si>
  <si>
    <t>10X50G</t>
  </si>
  <si>
    <t>RMP&amp;B001-10</t>
  </si>
  <si>
    <t>HEERA CAYENNE PEPPER (20X100G)</t>
  </si>
  <si>
    <t>20X100G</t>
  </si>
  <si>
    <t>RMP&amp;B001-11</t>
  </si>
  <si>
    <t>HEERA BLACK PEPPER WHOLE (20X100G)</t>
  </si>
  <si>
    <t>RMP&amp;B001-12</t>
  </si>
  <si>
    <t>HEERA BLACK CARDAMOM POWDER (1X20KG)</t>
  </si>
  <si>
    <t>RMP&amp;B001-13</t>
  </si>
  <si>
    <t>Chilli Whole Long (1kg)</t>
  </si>
  <si>
    <t>RMP&amp;B001-14</t>
  </si>
  <si>
    <t>HEERA XXL 1121 SELLA RICE(1x10kg) (MOQ:121)</t>
  </si>
  <si>
    <t>RMP&amp;B001-15</t>
  </si>
  <si>
    <t>HEERA CAYENNE PEPPER (10X400G)</t>
  </si>
  <si>
    <t>10x400g</t>
  </si>
  <si>
    <t>RMPHA001-01</t>
  </si>
  <si>
    <t>IQF Dark Speckled Lentils (1 X 12KG) (MOQ:70)</t>
  </si>
  <si>
    <t>Phaseolus Ltd</t>
  </si>
  <si>
    <t>1 x 12kg</t>
  </si>
  <si>
    <t>RMPIL001-01</t>
  </si>
  <si>
    <t>Cranberry Sauce (4x2.5kg)</t>
  </si>
  <si>
    <t>PILGRIM FOODSERVICE LIMITED</t>
  </si>
  <si>
    <t>4x2.5KG</t>
  </si>
  <si>
    <t>RMPIL001-02</t>
  </si>
  <si>
    <t>Redcurrant Jelly (4x2.72kg)</t>
  </si>
  <si>
    <t>4x2.72kg</t>
  </si>
  <si>
    <t>RMPIQ001-01</t>
  </si>
  <si>
    <t>30% YOGHURT &amp; MINT (1 X 10L)(MOQ:72)</t>
  </si>
  <si>
    <t>PIQUANT LIMITED</t>
  </si>
  <si>
    <t>1 X 10L</t>
  </si>
  <si>
    <t>RMPIQ001-04</t>
  </si>
  <si>
    <t>Mint Raita Dip Pot (100 x 25g)(Moq:160)</t>
  </si>
  <si>
    <t>100 x 25g</t>
  </si>
  <si>
    <t>RMPIQ001-05</t>
  </si>
  <si>
    <t>Garlic Mayonnaise Dip Pot (100 x 25g) (Moq:160)</t>
  </si>
  <si>
    <t>RMPLA004-03</t>
  </si>
  <si>
    <t>ORGANIC COCONUT YOGHURT (1 x 15 KG)</t>
  </si>
  <si>
    <t>MET FOODS LTD</t>
  </si>
  <si>
    <t>1 X15KG</t>
  </si>
  <si>
    <t>RMQUE001-01</t>
  </si>
  <si>
    <t>PINE NUTS  (1 X 25KG)</t>
  </si>
  <si>
    <t>Hunt's Foodservice Ltd (Queenswood)</t>
  </si>
  <si>
    <t>RMREA002-02</t>
  </si>
  <si>
    <t>NEW Fish Pie Mix (Cod, Salmon, Smoked Haddock) (MSC)(1x10KG)</t>
  </si>
  <si>
    <t>Reach Food Service Ltd</t>
  </si>
  <si>
    <t>RMREA002-03</t>
  </si>
  <si>
    <t>Diced Cod Fish (MSC) (1 X 10KG)</t>
  </si>
  <si>
    <t>RMREA002-04</t>
  </si>
  <si>
    <t>Diced Salmon (MSC) (1 X 10KG)</t>
  </si>
  <si>
    <t>RMREA002-08</t>
  </si>
  <si>
    <t>31/40 PD VN IQF AQUA REACH 1Kg(900G NET)( FOR READY MEALS)</t>
  </si>
  <si>
    <t>RMREI001-01</t>
  </si>
  <si>
    <t>FROZEN COOKED SHREDDED DUCK MEAT PIECES</t>
  </si>
  <si>
    <t>REIDS OF NORWICH LTD</t>
  </si>
  <si>
    <t>RMRUD001-01</t>
  </si>
  <si>
    <t>OAT MILK RUDE (6LTRS) - DC</t>
  </si>
  <si>
    <t xml:space="preserve">RUDE HEALTH </t>
  </si>
  <si>
    <t>6 x 1 LTR</t>
  </si>
  <si>
    <t>RMSAL001-04</t>
  </si>
  <si>
    <t>Mozzarella Sticks (6 x 1KG)(234 Piece in case)(90 in pallet)</t>
  </si>
  <si>
    <t>SALUD FOODGROUP EUROPE BV</t>
  </si>
  <si>
    <t>6 x 1KG</t>
  </si>
  <si>
    <t>RMSAL001-05</t>
  </si>
  <si>
    <t>Hot cream cheese jalapeños (6x1kg)(180 piece per case)</t>
  </si>
  <si>
    <t>RMSAL001-06</t>
  </si>
  <si>
    <t>Camembert Bites (20g each,300 pieces/case)</t>
  </si>
  <si>
    <t>1 x 6kg</t>
  </si>
  <si>
    <t>RMSEE001-01</t>
  </si>
  <si>
    <t>TYJ 21.5CM(8.5") SPRING ROLL PASTRY (40's)</t>
  </si>
  <si>
    <t>SEEWOO UK LTD</t>
  </si>
  <si>
    <t>20 X550G</t>
  </si>
  <si>
    <t>RMSEE001-18</t>
  </si>
  <si>
    <t>AMOY HOISIN SAUCE (CAT A)</t>
  </si>
  <si>
    <t>6 x 2.27kg</t>
  </si>
  <si>
    <t>RMSEE001-35</t>
  </si>
  <si>
    <t>Squid Thai Fish Sauce 12*725ml (CAT A)</t>
  </si>
  <si>
    <t>12x725ML</t>
  </si>
  <si>
    <t>RMSEE001-55</t>
  </si>
  <si>
    <t>MAEPLOY PANANG CURRY PASTE (CAT A)</t>
  </si>
  <si>
    <t>RMSEE001-56</t>
  </si>
  <si>
    <t>BROTHERHOOD BICARBONATE OF SODA</t>
  </si>
  <si>
    <t>4 x 3KG</t>
  </si>
  <si>
    <t>RMSEE001-66</t>
  </si>
  <si>
    <t>CHINA DRIED SHITAKE MUSHROOM STRIP</t>
  </si>
  <si>
    <t xml:space="preserve"> 10*500G PKT </t>
  </si>
  <si>
    <t>RMSEE001-67</t>
  </si>
  <si>
    <t>PEONY PAK-PUI BLACK FUNGUS STRIP(Dried)</t>
  </si>
  <si>
    <t>RMSEE001-68</t>
  </si>
  <si>
    <t>PEARL RIVER BRIDGE SUPERIOR LIGHT SOY SAUCE (2*8L)</t>
  </si>
  <si>
    <t> (2*8L)</t>
  </si>
  <si>
    <t>RMSOP001-01</t>
  </si>
  <si>
    <t>GS BAMBOO SHOOT STRIPS</t>
  </si>
  <si>
    <t>SOP International Ltd</t>
  </si>
  <si>
    <t>6X3KG</t>
  </si>
  <si>
    <t>RMSOP001-02</t>
  </si>
  <si>
    <t>MP PANANG CURRY PASTE 12x1kg</t>
  </si>
  <si>
    <t>12 x 1kg</t>
  </si>
  <si>
    <t>RMSOU0011-01</t>
  </si>
  <si>
    <t>Tandoori Plain Naan (tear shape) 260g (1 x 28 ) (CAT B)</t>
  </si>
  <si>
    <t>SOUNAS LTD 1 case = (1 x 28)</t>
  </si>
  <si>
    <t>1 x 2</t>
  </si>
  <si>
    <t>RMSOU0011-03</t>
  </si>
  <si>
    <t>Mini Naan Bread ( Meal box ) 140g (1 X 125)(CAT B)</t>
  </si>
  <si>
    <t>SOUNAS LTD 1 case = (1 x 125)</t>
  </si>
  <si>
    <t>RMSTJ001-02</t>
  </si>
  <si>
    <t>SAMOSA PASTRY CUT MEDIUM (CAT B)</t>
  </si>
  <si>
    <t>ST.JAMES PASTRY LTD</t>
  </si>
  <si>
    <t>RMSTJ001-06</t>
  </si>
  <si>
    <t>SAMOSA PASTRY CUT- SMALL (CAT B)</t>
  </si>
  <si>
    <t>RMSTJ001-07</t>
  </si>
  <si>
    <t>FILO PASTRY (CAT B)</t>
  </si>
  <si>
    <t>RMSTJ001-10</t>
  </si>
  <si>
    <t>SAMOSA PASTRY SEEDED -CUT TO SIZE- 310MM X 105MM (CAT B)</t>
  </si>
  <si>
    <t>RMSTJ001-11</t>
  </si>
  <si>
    <t>THICK PASTRY - CUT TO SIZE 310MM X 125MM (CAT B)</t>
  </si>
  <si>
    <t>RMSTJ001-12</t>
  </si>
  <si>
    <t>SAMOSA PASTRY SEEDED CUT 25G FOR CHRISTMAS (CAT B)</t>
  </si>
  <si>
    <t>RMSTJ001-16</t>
  </si>
  <si>
    <t>FILO PASTRY (CAT B) SIZE 80MM X 80MM</t>
  </si>
  <si>
    <t>RMSTJ001-17</t>
  </si>
  <si>
    <t>Yellow Pastry 165mm x 115mm</t>
  </si>
  <si>
    <t>RMSTJ001-18</t>
  </si>
  <si>
    <t>Basil &amp; Oregano 165mm x 115mm</t>
  </si>
  <si>
    <t>RMSTJ001-19</t>
  </si>
  <si>
    <t>SAMOSA PASTRY CUT LARGE (310mmx110mm) (CAT B)</t>
  </si>
  <si>
    <t>RMSTJ001-20</t>
  </si>
  <si>
    <t>MEDIUM SEEDED SAMOSA PASTRY - CUT TO SIZE- (1 x 10kg)</t>
  </si>
  <si>
    <t>RMSTJ001-23</t>
  </si>
  <si>
    <t>Basil and oregano small Pastry 200x65mm (1x10kg)</t>
  </si>
  <si>
    <t>RMTHE002-01</t>
  </si>
  <si>
    <t>2 x 5 kg Chopped Italian  Sundried Toms</t>
  </si>
  <si>
    <t>THE FRESH OLIVE COMPANY LTD (BELAZU)</t>
  </si>
  <si>
    <t>2 X 5KG</t>
  </si>
  <si>
    <t>RMTHE002-03</t>
  </si>
  <si>
    <t>Black Olives</t>
  </si>
  <si>
    <t>RMTHE002-04</t>
  </si>
  <si>
    <t>Harissa Paste (1x 1 kg) (FOR MINDFUL)</t>
  </si>
  <si>
    <t>RMTHE002-05</t>
  </si>
  <si>
    <t>Sundried Tomato Paste (1 x 1.2kg)</t>
  </si>
  <si>
    <t>1 X 1.2KG</t>
  </si>
  <si>
    <t>RMTHE002-07</t>
  </si>
  <si>
    <t>WHOLEGRAIN MUSTARD (1 X 5 KG)</t>
  </si>
  <si>
    <t>RMTHE002-08</t>
  </si>
  <si>
    <t xml:space="preserve">Harissa Paste </t>
  </si>
  <si>
    <t>RMTOP001-01</t>
  </si>
  <si>
    <t>SEMOLINA COARSE (CAT B)</t>
  </si>
  <si>
    <t>TOP-OP (FOODS) LTD</t>
  </si>
  <si>
    <t>RMTOP001-02</t>
  </si>
  <si>
    <t>Tate and Lyle Granulated Sugar(1 x 25kg) (40 BAGS)</t>
  </si>
  <si>
    <t>RMTOP001-10</t>
  </si>
  <si>
    <t>CITRIC ACID</t>
  </si>
  <si>
    <t>1X25KG</t>
  </si>
  <si>
    <t>RMTOP001-11</t>
  </si>
  <si>
    <t>TAMARIND CONCENTRATE</t>
  </si>
  <si>
    <t>RMTOP001-16</t>
  </si>
  <si>
    <t>RICE FLOUR</t>
  </si>
  <si>
    <t>RMTOP001-26</t>
  </si>
  <si>
    <t>CHICK PEAS</t>
  </si>
  <si>
    <t>RMTOP001-27</t>
  </si>
  <si>
    <t>GROUND ALMONDS (CAT A)</t>
  </si>
  <si>
    <t>RMTOP001-31</t>
  </si>
  <si>
    <t>DRY CORINDER LEAVES</t>
  </si>
  <si>
    <t>10 X 100G</t>
  </si>
  <si>
    <t>RMTOP001-32</t>
  </si>
  <si>
    <t xml:space="preserve">JAGGERY BROWN </t>
  </si>
  <si>
    <t>12 X 875G</t>
  </si>
  <si>
    <t>RMTOP001-33</t>
  </si>
  <si>
    <t>DRIED BAY LEAF</t>
  </si>
  <si>
    <t>RMTOP001-35</t>
  </si>
  <si>
    <t>TOP-OP FENNEL POWDER</t>
  </si>
  <si>
    <t>20 X 100G</t>
  </si>
  <si>
    <t>RMTOP001-36</t>
  </si>
  <si>
    <t>WHOLE GREEN CARDMOM</t>
  </si>
  <si>
    <t>10 X 200G</t>
  </si>
  <si>
    <t>RMTOP001-39</t>
  </si>
  <si>
    <t>TOPOP VALIARY GREEN (WHOLE FENNEL)</t>
  </si>
  <si>
    <t>6 X 1KG</t>
  </si>
  <si>
    <t>RMTOP001-40</t>
  </si>
  <si>
    <t>TOPOP CLOVES (WHOLE)</t>
  </si>
  <si>
    <t>RMTOP001-46</t>
  </si>
  <si>
    <t>Desiccated Coconut Fine 6x750g (CAT B)</t>
  </si>
  <si>
    <t>6 x 750G</t>
  </si>
  <si>
    <t>RMTOP001-47</t>
  </si>
  <si>
    <t xml:space="preserve">Top-Op Chilli Whole Dandicut 20x100g </t>
  </si>
  <si>
    <t>RMTOP001-50</t>
  </si>
  <si>
    <t>NEW: CHINESE FIVE SPICE</t>
  </si>
  <si>
    <t>RMTOP001-51</t>
  </si>
  <si>
    <t>NEW: CLOVE POWDER</t>
  </si>
  <si>
    <t>20 X 50G</t>
  </si>
  <si>
    <t>RMTOP001-52</t>
  </si>
  <si>
    <t>MIXED HERBS (6 x 300)</t>
  </si>
  <si>
    <t>6 x 300G</t>
  </si>
  <si>
    <t>RMTOP001-53</t>
  </si>
  <si>
    <t>GARLIC POWDER (10 x 400G)</t>
  </si>
  <si>
    <t>10 x 400G</t>
  </si>
  <si>
    <t>RMTOP001-54</t>
  </si>
  <si>
    <t>TILDA GOLDEN SELA BASMATI RICE</t>
  </si>
  <si>
    <t>RMTOP001-56</t>
  </si>
  <si>
    <t>DRIED OREGANO</t>
  </si>
  <si>
    <t>RMTOP001-57</t>
  </si>
  <si>
    <t>RAW COCONUT CHIPS (1 x10kg)</t>
  </si>
  <si>
    <t>RMTOP001-58</t>
  </si>
  <si>
    <t>Cinnamon Powder (10x300g )</t>
  </si>
  <si>
    <t>10x300g</t>
  </si>
  <si>
    <t>RMTOP001-59</t>
  </si>
  <si>
    <t>Elaichi Powder (10x300g)</t>
  </si>
  <si>
    <t>RMTOP001-60</t>
  </si>
  <si>
    <t>ALMOND FLAKES  (1 x 10kg)</t>
  </si>
  <si>
    <t>RMTOP001-61</t>
  </si>
  <si>
    <t>CASHEW NUT BROKEN/LP (1x50lbs)</t>
  </si>
  <si>
    <t>RMTOP001-62</t>
  </si>
  <si>
    <t>MDH KASHMIRI MIRCH (10x100g )</t>
  </si>
  <si>
    <t>RMTOP001-63</t>
  </si>
  <si>
    <t>TOPOP DHANA BHARDO 10x300g (Crushed Coriander)</t>
  </si>
  <si>
    <t>RMTOP001-64</t>
  </si>
  <si>
    <t>CHINESE FIVE SPICE POWDER (1 x 20KG)</t>
  </si>
  <si>
    <t>RMTOP001-65</t>
  </si>
  <si>
    <t>TOP-OP TOOR DAL PLAIN (6 x 2kg)</t>
  </si>
  <si>
    <t>6 x 2kg</t>
  </si>
  <si>
    <t>RMTOP001-66</t>
  </si>
  <si>
    <t>Moong Dal Yellow 6x2kg</t>
  </si>
  <si>
    <t>RMTRA003-01</t>
  </si>
  <si>
    <t>King Prawn Selection (150g)(Tempura,Coriander)</t>
  </si>
  <si>
    <t>TRANGS UK LTD</t>
  </si>
  <si>
    <t>1 X 12</t>
  </si>
  <si>
    <t>RMTRA003-02</t>
  </si>
  <si>
    <t>RED AND WHITE BAUBLE 18g</t>
  </si>
  <si>
    <t>18gx184</t>
  </si>
  <si>
    <t>RMTRA003-03</t>
  </si>
  <si>
    <t>PRAWN PARCEL STAR PRINTED (penang prawn parcel)20g (6x1.8kg)</t>
  </si>
  <si>
    <t>20gx540</t>
  </si>
  <si>
    <t>RMTRA003-04</t>
  </si>
  <si>
    <t>PRAWN BAGUETTE TOAST</t>
  </si>
  <si>
    <t>21gx134</t>
  </si>
  <si>
    <t>RMTRA003-05</t>
  </si>
  <si>
    <t>THAI FISH CAKE</t>
  </si>
  <si>
    <t>22gx120</t>
  </si>
  <si>
    <t>RMTRA003-07</t>
  </si>
  <si>
    <t>Crispy battered prawns (1x1.6kg)</t>
  </si>
  <si>
    <t>1x1.6kg</t>
  </si>
  <si>
    <t>RMTRA003-08</t>
  </si>
  <si>
    <t>LEMON GRASS VEGETABLE SPRING ROLL 21g (6x1.8kg)</t>
  </si>
  <si>
    <t>21gx514</t>
  </si>
  <si>
    <t>RMTRA003-09</t>
  </si>
  <si>
    <t>GFF Prawn Bao Bun Selection(180g)(Lemongrass,Kimchi)</t>
  </si>
  <si>
    <t>1 x 6</t>
  </si>
  <si>
    <t>RMTRA003-10</t>
  </si>
  <si>
    <t>GFF Vegan Bao Bun Selection(180g)(Mushroom,Jackfruit)</t>
  </si>
  <si>
    <t>RMTRA003-11</t>
  </si>
  <si>
    <t>GFF Prawn Lollipop Selection(136g)(Coriander,Kimchi)</t>
  </si>
  <si>
    <t>1 X 8</t>
  </si>
  <si>
    <t>RMTRA003-12</t>
  </si>
  <si>
    <t>GFF Coated Prawn Selection(132g)(Coconut,Hot&amp;Spicy)</t>
  </si>
  <si>
    <t>RMTRA003-13</t>
  </si>
  <si>
    <t>GFF Vegan Shiumai (20gx10pc)</t>
  </si>
  <si>
    <t>20gx10pc</t>
  </si>
  <si>
    <t>RMTRA003-14</t>
  </si>
  <si>
    <t>GFF No Pork Belly Bites(200g)(1x10pc+sauce)</t>
  </si>
  <si>
    <t>1 x 10</t>
  </si>
  <si>
    <t>RMUPB001-02</t>
  </si>
  <si>
    <t>Vegetable Samosa 15g  (50pcs x 6pkt)</t>
  </si>
  <si>
    <t>U.P.B. PRODUCTS LTD</t>
  </si>
  <si>
    <t>50 X 6</t>
  </si>
  <si>
    <t>RMUNI001-01</t>
  </si>
  <si>
    <t>SALT</t>
  </si>
  <si>
    <t>UNIVAR SOLUTIONS BV</t>
  </si>
  <si>
    <t>RMUNI001-03</t>
  </si>
  <si>
    <t>NOVATION ENDURA 0100 FG (1 x 25kg)</t>
  </si>
  <si>
    <t>RMUNI001-04</t>
  </si>
  <si>
    <t>NOVATION PRIMA 650 FG PDR 20K BG (1X20KG)</t>
  </si>
  <si>
    <t>RMUNI001-05</t>
  </si>
  <si>
    <t>CORN FLOUR MERITENA 100 -  25K BG</t>
  </si>
  <si>
    <t>RMUKM001-01</t>
  </si>
  <si>
    <t>DICED PANEER 16mm</t>
  </si>
  <si>
    <t>UKAY KHOA MANUFACTURING LTD</t>
  </si>
  <si>
    <t>RMVES001-01</t>
  </si>
  <si>
    <t>20-25mm Steam Cooked Diced CBC (1x10kg)(MOQ:66)</t>
  </si>
  <si>
    <t>VESTEY FOODS UK LIMITED</t>
  </si>
  <si>
    <t>1x10kg</t>
  </si>
  <si>
    <t>RMVAL001-01</t>
  </si>
  <si>
    <t>Rowse Bulk Blossom Honey 14kg</t>
  </si>
  <si>
    <t xml:space="preserve">Rowse Honey Limited </t>
  </si>
  <si>
    <t>1 X 14KG</t>
  </si>
  <si>
    <t>RMVIR001-04</t>
  </si>
  <si>
    <t>AJWAIN SEEDS</t>
  </si>
  <si>
    <t>VIRANI FOOD PRODUCTS LTD</t>
  </si>
  <si>
    <t>RMVIR001-05</t>
  </si>
  <si>
    <t>CUMMIN POWDER</t>
  </si>
  <si>
    <t>RMVIR001-11</t>
  </si>
  <si>
    <t>MUSTARD SEED WHOLE (CAT A)</t>
  </si>
  <si>
    <t>RMVIR001-12</t>
  </si>
  <si>
    <t>GARAM MASALA</t>
  </si>
  <si>
    <t>RMVIR001-13</t>
  </si>
  <si>
    <t>GROUND CORIANDER</t>
  </si>
  <si>
    <t>RMVIR001-23</t>
  </si>
  <si>
    <t>CRUSHED CORRIANDER</t>
  </si>
  <si>
    <t>RMVIR001-24</t>
  </si>
  <si>
    <t>Tikka Seasoning (reduced salt)</t>
  </si>
  <si>
    <t>RMVIR001-25</t>
  </si>
  <si>
    <t>Paprika Oleoresin BI00616</t>
  </si>
  <si>
    <t>1x 3.4KG</t>
  </si>
  <si>
    <t>RMVIR001-27</t>
  </si>
  <si>
    <t>Veg Buillion</t>
  </si>
  <si>
    <t>RMVIR001-29</t>
  </si>
  <si>
    <t>KALONGI -ONION SEEDS</t>
  </si>
  <si>
    <t>RMVIR001-33</t>
  </si>
  <si>
    <t>KOHINOOR GRAM FLOUR (8 X 2KG)</t>
  </si>
  <si>
    <t>8 X 2KG</t>
  </si>
  <si>
    <t>RMVIR001-38</t>
  </si>
  <si>
    <t>Ginger powder</t>
  </si>
  <si>
    <t>1 x 20KG</t>
  </si>
  <si>
    <t>RMVIR001-49</t>
  </si>
  <si>
    <t>Mace powder</t>
  </si>
  <si>
    <t>RMVIR001-51</t>
  </si>
  <si>
    <t>CRUSHED CHILLIES</t>
  </si>
  <si>
    <t>1X12.5KG</t>
  </si>
  <si>
    <t>RMVIR001-54</t>
  </si>
  <si>
    <t>Fenugreek leaf Kibbled</t>
  </si>
  <si>
    <t>1 x 6KG</t>
  </si>
  <si>
    <t>RMVIR001-55</t>
  </si>
  <si>
    <t>MADRAS CURRY POWDER - (Triton) (CAT A)</t>
  </si>
  <si>
    <t>RMVIR001-56</t>
  </si>
  <si>
    <t>Tandoori Masala Seasoning</t>
  </si>
  <si>
    <t>RMVIR001-59</t>
  </si>
  <si>
    <t>FRIED ONIONS</t>
  </si>
  <si>
    <t>RMVIR001-60</t>
  </si>
  <si>
    <t>JAGGERY BROWN</t>
  </si>
  <si>
    <t>1 X 16KG</t>
  </si>
  <si>
    <t>RMVIR001-62</t>
  </si>
  <si>
    <t>Rubbed Parsely</t>
  </si>
  <si>
    <t>RMVIR001-65</t>
  </si>
  <si>
    <t>Ground Smoked Paprika Heat Treated</t>
  </si>
  <si>
    <t>RMVIR001-66</t>
  </si>
  <si>
    <t>Asofoetida</t>
  </si>
  <si>
    <t>RMVIR001-67</t>
  </si>
  <si>
    <t>Red Lentils</t>
  </si>
  <si>
    <t>RMVIR001-68</t>
  </si>
  <si>
    <t>Channa Dall</t>
  </si>
  <si>
    <t>RMVIR001-69</t>
  </si>
  <si>
    <t>Ground Nutmeg (1 x 10KG)</t>
  </si>
  <si>
    <t>RMVIR001-70</t>
  </si>
  <si>
    <t>Roasted Garam Masala (1x 25KG)</t>
  </si>
  <si>
    <t>RMVIR001-71</t>
  </si>
  <si>
    <t>Channa Masala Seasoning (1X25KG)</t>
  </si>
  <si>
    <t>RMVIR001-73</t>
  </si>
  <si>
    <t>Moong Dall (1 X 25KG)</t>
  </si>
  <si>
    <t>RMVIR001-74</t>
  </si>
  <si>
    <t>Ground Pepper White Heat Treated (1 x 25KG)</t>
  </si>
  <si>
    <t>RMVIR001-76</t>
  </si>
  <si>
    <t>Pepper Black Ground HT (1 X 25KG)</t>
  </si>
  <si>
    <t>RMVIR001-78</t>
  </si>
  <si>
    <t>Tikka Masala Seasoning (No Sugar) (for mindful)(1x 10kg)</t>
  </si>
  <si>
    <t>RMVIR001-79</t>
  </si>
  <si>
    <t>Chilli Powder 25 Scoville (1x25kg)</t>
  </si>
  <si>
    <t>RMVIR001-80</t>
  </si>
  <si>
    <t>Turmeric Ground (1x25kg)</t>
  </si>
  <si>
    <t>RMVIR001-81</t>
  </si>
  <si>
    <t>Cumin Seed Whole (1x25kg)</t>
  </si>
  <si>
    <t>RMVIR001-82</t>
  </si>
  <si>
    <t>Paprika Ground Heat Treated (1X25kg)</t>
  </si>
  <si>
    <t>RMVIR001-83</t>
  </si>
  <si>
    <t>Pepper Black Coarse HT (1X25 kg)</t>
  </si>
  <si>
    <t>RMVIR001-84</t>
  </si>
  <si>
    <t>Garlic Powder (1x25kg)</t>
  </si>
  <si>
    <t>RMWIN001-11</t>
  </si>
  <si>
    <t>WH Peking Duck Sauce (CAT A)</t>
  </si>
  <si>
    <t>W.WING YIP (LONDON) LTD</t>
  </si>
  <si>
    <t>4 x 5.7KG</t>
  </si>
  <si>
    <t>RMWIN001-17</t>
  </si>
  <si>
    <t>Mai Siam Thai Green Curry Paste (Medium) 1kg x12</t>
  </si>
  <si>
    <t>12X1KG</t>
  </si>
  <si>
    <t>RMWIN001-24</t>
  </si>
  <si>
    <t>Dehydrated Garlic Granule (Lao Zi Hao)</t>
  </si>
  <si>
    <t>RMWIN001-27</t>
  </si>
  <si>
    <t>pearl river brand  superor light soya sauce (2 x 8 L)</t>
  </si>
  <si>
    <t>2 X 8L</t>
  </si>
  <si>
    <t>RMWIN001-32</t>
  </si>
  <si>
    <t>Healthy Boy Mushroom Soy Sauce</t>
  </si>
  <si>
    <t>RMWIN001-33</t>
  </si>
  <si>
    <t>Tiantan Lungkow Bean Vermicelli</t>
  </si>
  <si>
    <t>RMWES001-01</t>
  </si>
  <si>
    <t>NEW: BALTI PASTE (CAT B)</t>
  </si>
  <si>
    <t>WEST MILL/ AB WORLD FOODS</t>
  </si>
  <si>
    <t>RMWES001-02</t>
  </si>
  <si>
    <t>G/DRAGN THAI FRAG RCE 1 X 20KG</t>
  </si>
  <si>
    <t>RMWES001-03</t>
  </si>
  <si>
    <t>BALTI PASTE (168 cases) (2x2.3kg)</t>
  </si>
  <si>
    <t>2x2.3kg</t>
  </si>
  <si>
    <t>RMWHI001-03</t>
  </si>
  <si>
    <t xml:space="preserve">Quality Plain Flour  </t>
  </si>
  <si>
    <t>WHITWORTH BROS.LTD</t>
  </si>
  <si>
    <t>RMWHO001-01</t>
  </si>
  <si>
    <t>SUNFLOWER MINCE</t>
  </si>
  <si>
    <t>WHOLE LTD</t>
  </si>
  <si>
    <t>Nominal code</t>
  </si>
  <si>
    <t>Category</t>
  </si>
  <si>
    <t>RESALE</t>
  </si>
  <si>
    <t>PASTRY</t>
  </si>
  <si>
    <t>DAIRY</t>
  </si>
  <si>
    <t>RICE/PULSE/LENTILS</t>
  </si>
  <si>
    <t>DELIST</t>
  </si>
  <si>
    <t>VEGETABLE-AMBIENT</t>
  </si>
  <si>
    <t>NOODLES-CHILLED</t>
  </si>
  <si>
    <t>VEGETABLE-FROZEN</t>
  </si>
  <si>
    <t>OIL</t>
  </si>
  <si>
    <t>MILK-VEGAN</t>
  </si>
  <si>
    <t>DRY FRUITS/NUTS</t>
  </si>
  <si>
    <t>FLOUR</t>
  </si>
  <si>
    <t>MINCE-SUNFLOWER</t>
  </si>
  <si>
    <t>MINCE-SOYA</t>
  </si>
  <si>
    <t xml:space="preserve">RAW MATERIAL-FUNCTIONAL </t>
  </si>
  <si>
    <t>CHEESE</t>
  </si>
  <si>
    <t>SAUCE</t>
  </si>
  <si>
    <t>PROTEIN-CHILLED-EGG</t>
  </si>
  <si>
    <t xml:space="preserve">PROTEIN-CHILLED-BEEF </t>
  </si>
  <si>
    <t>PROTEIN-FROZEN-BEEF</t>
  </si>
  <si>
    <t>PROTEIN-CHILLED-CHICKEN</t>
  </si>
  <si>
    <t>PROTEIN-FROZEN-CHICKEN</t>
  </si>
  <si>
    <t>PROTEIN-FROZEN-DUCK</t>
  </si>
  <si>
    <t>PROTEIN-FROZEN-SEAFOOD</t>
  </si>
  <si>
    <t>PROTEIN-FROZEN-LAMB</t>
  </si>
  <si>
    <t>VEGETABLE-FRESH</t>
  </si>
  <si>
    <t>VEGETABLE-TINNED</t>
  </si>
  <si>
    <t>VEGETABLE-CHILLED</t>
  </si>
  <si>
    <t>SPICES-AMBIENT-PASTE</t>
  </si>
  <si>
    <t>SPICES-CHILLED-PASTE</t>
  </si>
  <si>
    <t>SPICES-AMBIENT-LIQUID</t>
  </si>
  <si>
    <t>SPICES-AMBIENT-DRY</t>
  </si>
  <si>
    <t>INTERNAL NAME</t>
  </si>
  <si>
    <t>SPRING ROLL PASTRY TYJ 8.5" ( Wheat, Milk)</t>
  </si>
  <si>
    <t>SPRING ROLL PASTRY TYJ 6" ( Wheat, Milk)</t>
  </si>
  <si>
    <t>PEAS (FROZEN)</t>
  </si>
  <si>
    <t>SPINACH CHOPPED (FROZEN)</t>
  </si>
  <si>
    <t>VEGETABLES MIX (FROZEN)</t>
  </si>
  <si>
    <t>GREEN PEPPER DICED 10MM (FROZEN)</t>
  </si>
  <si>
    <t>RED PEPPER DICED 20MM (FROZEN)</t>
  </si>
  <si>
    <t>SWEET CORN (FROZEN)</t>
  </si>
  <si>
    <t>GREEN BEANS CUT (FROZEN)</t>
  </si>
  <si>
    <t>CAULIFLOWER FLORETS 15/30 (FROZEN)</t>
  </si>
  <si>
    <t>BAY CORN CUT (FROZEN)</t>
  </si>
  <si>
    <t>SOYA BEANS (FROZEN)</t>
  </si>
  <si>
    <t>CHERRY TOMATO HALF (FROZEN)</t>
  </si>
  <si>
    <t>BROCCOLI 20/40 (FROZEN)</t>
  </si>
  <si>
    <t>GREEN BEANS FINE (FROZEN)</t>
  </si>
  <si>
    <t>YELLOW PEPPER DICED 20MM (FROZEN)</t>
  </si>
  <si>
    <t>SWEET POTATO DICED 10MM (FROZEN)</t>
  </si>
  <si>
    <t>BUTTERNUT DICED 20MM (FROZEN)</t>
  </si>
  <si>
    <t>AUBERGINE DICED 20MM (FROZEN)</t>
  </si>
  <si>
    <t>COURGETTE DICED 20MM (FROZEN)</t>
  </si>
  <si>
    <t>CHESTNUT MUSHROOM SLICED (FROZEN)</t>
  </si>
  <si>
    <t>RED PEPPER DICED 10MM (FROZEN)</t>
  </si>
  <si>
    <t>SPRING ONION CHOPPED 4MM (FROZEN)</t>
  </si>
  <si>
    <t>LEEKS DICED 10MM (FROZEN)</t>
  </si>
  <si>
    <t>BROAD BEAN (FROZEN)</t>
  </si>
  <si>
    <t>CARROT DICED 10MM (FROZEN)</t>
  </si>
  <si>
    <t>GARLIC PUREE (FROZEN)</t>
  </si>
  <si>
    <t>GREEN CHILLI PUREE (FROZEN)</t>
  </si>
  <si>
    <t>RED CHILLI PUREE (FROZEN)</t>
  </si>
  <si>
    <t>PINEAPPLE TIDBITS (FROZEN)</t>
  </si>
  <si>
    <t>ONION WHITE DICED 10MM (FROZEN)</t>
  </si>
  <si>
    <t>GINGER PUREE (FROZEN)</t>
  </si>
  <si>
    <t>DARK SPECKLED LENTILS (FROZEN)</t>
  </si>
  <si>
    <t>CANNELLINI BEANS (FROZEN)</t>
  </si>
  <si>
    <t>BLACK TURTLE BEANS (FROZEN)</t>
  </si>
  <si>
    <t>POTATO DICED 10MM (FROZEN)</t>
  </si>
  <si>
    <t>CRANBERRRY SAUCE</t>
  </si>
  <si>
    <t>MAPLE SYRUP</t>
  </si>
  <si>
    <t>CHIPOTLE CHILLI PASTE</t>
  </si>
  <si>
    <t>OAT MILK</t>
  </si>
  <si>
    <t>APPLE SAUCE</t>
  </si>
  <si>
    <t>FAJITA SEASONING</t>
  </si>
  <si>
    <t>REDCURRENT JELLY</t>
  </si>
  <si>
    <t>RED PEPPER ROASTED DICED 10MM (FROZEN)</t>
  </si>
  <si>
    <t>AUBERGINE GRILLED SLICED (FROZEN)</t>
  </si>
  <si>
    <t>AUBERGINE ROASTED DICED 20MM (FROZEN)</t>
  </si>
  <si>
    <t>WHITE QUINOA</t>
  </si>
  <si>
    <t>RED QUINOA</t>
  </si>
  <si>
    <t>BLACK QUINOA</t>
  </si>
  <si>
    <t>BROWN RICE</t>
  </si>
  <si>
    <t>SALSA DIP</t>
  </si>
  <si>
    <t>CORIANDER CHOPPED (FROZEN)</t>
  </si>
  <si>
    <t>PARSLEY CHOPPED (FROZEN)</t>
  </si>
  <si>
    <t>BASIL CHOPPED (FROZEN)</t>
  </si>
  <si>
    <t>MINT CHOPPED (FROZEN)</t>
  </si>
  <si>
    <t>CURRY LEAVES (FROZEN)</t>
  </si>
  <si>
    <t>LIME LEAVES MILLED (FROZEN)</t>
  </si>
  <si>
    <t>LEMON GRASS MILLED (FROZEN)</t>
  </si>
  <si>
    <t>GALANGAL MILLED (FROZEN)</t>
  </si>
  <si>
    <t>ROSEMARY CHOPPED (FROZEN)</t>
  </si>
  <si>
    <t>THYME CHOPPED (FROZEN)</t>
  </si>
  <si>
    <t>SAGE CHOPPED (FROZEN)</t>
  </si>
  <si>
    <t>DUCK SHREDDED (EU) (FROZEN)</t>
  </si>
  <si>
    <t>HOMOUS</t>
  </si>
  <si>
    <t>CANNELLINI BEANS (DRAINDED)</t>
  </si>
  <si>
    <t>BUTTER BEANS (DRAINED)</t>
  </si>
  <si>
    <t>SWEETCORN (DRAINED)</t>
  </si>
  <si>
    <t>BAKING POWDER</t>
  </si>
  <si>
    <t>ONION RTU 10MM</t>
  </si>
  <si>
    <t>SPINACH LEAF (FROZEN)</t>
  </si>
  <si>
    <t>CHERRY TOMATO WHOLE (FROZEN)</t>
  </si>
  <si>
    <t>MARJORAM RUBBED</t>
  </si>
  <si>
    <t>MILK WHOLE</t>
  </si>
  <si>
    <t>MILK SEMI SKIMMED</t>
  </si>
  <si>
    <t>YOGHURT</t>
  </si>
  <si>
    <t>WHOLE EGG LIQUID</t>
  </si>
  <si>
    <t>SINGLE CREAM - FRESH</t>
  </si>
  <si>
    <t>SINGLE CREAM - UHT</t>
  </si>
  <si>
    <t>BLACK TURTLE BEANS (DRAINED)</t>
  </si>
  <si>
    <t>TORTILLA 25CM</t>
  </si>
  <si>
    <t>HOT SAUCE</t>
  </si>
  <si>
    <t>JALAPENOS SLICED (DRAINED)</t>
  </si>
  <si>
    <t>JALAPENOS DICED (DRAINED)</t>
  </si>
  <si>
    <t>THAI RED CURRY PASTE</t>
  </si>
  <si>
    <t>THAI GREEN CURRY PASTE</t>
  </si>
  <si>
    <t>CARAMELISED SUGAR SYRUP</t>
  </si>
  <si>
    <t>LIGHT BROWN SUGAR</t>
  </si>
  <si>
    <t>PUMPKIN SEEDS HT</t>
  </si>
  <si>
    <t>BICARBONATE OF SODA</t>
  </si>
  <si>
    <t>NATIVE POTATO STARCH</t>
  </si>
  <si>
    <t>POTATO FLAKE</t>
  </si>
  <si>
    <t>SOYA MINCE</t>
  </si>
  <si>
    <t xml:space="preserve">CHICKEN BREAST WHOLE </t>
  </si>
  <si>
    <t>CHICKEN BREAST DICED 10G-14G (CHILLED)</t>
  </si>
  <si>
    <t>CHICKEN BREAST DICED 18G-23G (CHILLED)</t>
  </si>
  <si>
    <t>CHICKEN BREAST STRIPS 10G-14G (CHILLED)</t>
  </si>
  <si>
    <t>PINEAPPLE CONCENTRATE</t>
  </si>
  <si>
    <t>NO EGG NOODLE COOKED (CHILLED)</t>
  </si>
  <si>
    <t>VINEGAR RICE</t>
  </si>
  <si>
    <t>VINEGAR MALT</t>
  </si>
  <si>
    <t>GOAT CHEESE</t>
  </si>
  <si>
    <t>BUTTER</t>
  </si>
  <si>
    <t>LANCASHIRE CHEESE</t>
  </si>
  <si>
    <t>MATURE CHEDDAR GRATED CHEESE</t>
  </si>
  <si>
    <t>RICOTTA CHEESE</t>
  </si>
  <si>
    <t>FETA CHEESE</t>
  </si>
  <si>
    <t>CREAM CHEESE</t>
  </si>
  <si>
    <t>BRIE DE MEAUX CHEESE</t>
  </si>
  <si>
    <t>LAMB MINCE COOKED (FROZEN)</t>
  </si>
  <si>
    <t>PLUM CHUTNEY</t>
  </si>
  <si>
    <t>ONION MARMALADE</t>
  </si>
  <si>
    <t>CHILLI JAM</t>
  </si>
  <si>
    <t>CHICKEN BREAST COOKED DICED 12MM (FROZEN)</t>
  </si>
  <si>
    <t>CHICKEN BREAST COOKED FINES</t>
  </si>
  <si>
    <t>SEASONED JACKET WEDGES</t>
  </si>
  <si>
    <t>ONION DICED 10MM (FRESH)</t>
  </si>
  <si>
    <t>POTATO DICED 10MM (FRESH)</t>
  </si>
  <si>
    <t>CABBAGE SHREDDED</t>
  </si>
  <si>
    <t>LEEK SLICED</t>
  </si>
  <si>
    <t xml:space="preserve">RED ONION DICED 10MM </t>
  </si>
  <si>
    <t>RED PEPPER SLICED</t>
  </si>
  <si>
    <t>ONION DICED 3MM</t>
  </si>
  <si>
    <t>RED PEPPER DICED 20MM (FRESH)</t>
  </si>
  <si>
    <t>ONION DICED 25MM</t>
  </si>
  <si>
    <t>GREEN BEANS BATON 30MM-60MM</t>
  </si>
  <si>
    <t>SAVOY CABBAGE</t>
  </si>
  <si>
    <t>GREEN PEPPER DICED 20MM (FRESH)</t>
  </si>
  <si>
    <t>CARROT BATON 2.5MM</t>
  </si>
  <si>
    <t>CARROT BATON 8.5CM</t>
  </si>
  <si>
    <t>ONION CHOPPED 2MM-6MM</t>
  </si>
  <si>
    <t>CORIANDER CHOPPED (FRESH)</t>
  </si>
  <si>
    <t>MUSHROOM SLICED</t>
  </si>
  <si>
    <t>POTATO DICED 20MM</t>
  </si>
  <si>
    <t>POTATO GRATED</t>
  </si>
  <si>
    <t>SPRING ONION CHOPPED 20MM (FRESH)</t>
  </si>
  <si>
    <t>CHOPPED MINT (FRESH)</t>
  </si>
  <si>
    <t>TOMATO DICED</t>
  </si>
  <si>
    <t>SPRING ONION CHOPPED 10MM</t>
  </si>
  <si>
    <t>MUSHROOM CHOPPED 5MM-10MM</t>
  </si>
  <si>
    <t>GREEN BEANS DICED 10MM</t>
  </si>
  <si>
    <t>CARROT DICD 20MM</t>
  </si>
  <si>
    <t>SPINACH BABY WHOLE</t>
  </si>
  <si>
    <t>GREEN BEANS BATON 30MM</t>
  </si>
  <si>
    <t>PARSLEY CHOPPED (FRESH)</t>
  </si>
  <si>
    <t>RED PEPPER BATON HALF (FRESH)</t>
  </si>
  <si>
    <t>YELLOW PEPPER BATON HALF (FRESH)</t>
  </si>
  <si>
    <t>CARROT BATON HALF 30MM</t>
  </si>
  <si>
    <t>RED ONION CHOPPED 5MM</t>
  </si>
  <si>
    <t>SWEET POTATO GRATED</t>
  </si>
  <si>
    <t>KALE RUF CUT</t>
  </si>
  <si>
    <t>CAULIFLOWER DICED 20MM</t>
  </si>
  <si>
    <t>YELLOW PEPPER SLICED 6MM</t>
  </si>
  <si>
    <t>RED ONION SLICED SLICED 3MM</t>
  </si>
  <si>
    <t>GINGER POWDER</t>
  </si>
  <si>
    <t>MACE POWDER</t>
  </si>
  <si>
    <t>MUSHROOM MIXED SLICED</t>
  </si>
  <si>
    <t>SPINACH BABY SHREDDED</t>
  </si>
  <si>
    <t xml:space="preserve">BEANS SPROUTS WASHED </t>
  </si>
  <si>
    <t>ONION SLICED 2MM</t>
  </si>
  <si>
    <t>CARROT BATON RTE</t>
  </si>
  <si>
    <t>CABBAGE RED SHREDDED 3MM</t>
  </si>
  <si>
    <t>BRITISH HALAL CHICKEN BREAST DICED 12G-14G</t>
  </si>
  <si>
    <t>BRITISH HALAL CHICKEN BREAST DICED 22G-25G</t>
  </si>
  <si>
    <t>BRITISH HALAL CHICKEN THIGH MINCE</t>
  </si>
  <si>
    <t>BRITISH HALAL CHICKEN INNER FILLET</t>
  </si>
  <si>
    <t>BRITISH HALAL BEEF MINCE</t>
  </si>
  <si>
    <t>SOY SAUCE TAMARI (GLUTEN FREE)</t>
  </si>
  <si>
    <t>PLUM SAUCE</t>
  </si>
  <si>
    <t>SUGAR</t>
  </si>
  <si>
    <t>SPRING ROLL PASTRY KIM'S 8" (Wheat)</t>
  </si>
  <si>
    <t>LEMON JUICE</t>
  </si>
  <si>
    <t>COCONUT MILK</t>
  </si>
  <si>
    <t>TOMATO PASTE</t>
  </si>
  <si>
    <t>WATER CHESTNUT SLICED (FROZEN)</t>
  </si>
  <si>
    <t>COCONUT CHIPS</t>
  </si>
  <si>
    <t>APRICOT CHOPPED</t>
  </si>
  <si>
    <t>ALMOND GROUND</t>
  </si>
  <si>
    <t>ALMOND FLAKE</t>
  </si>
  <si>
    <t>RED KIDNEY BEANS (DRAINED)</t>
  </si>
  <si>
    <t>CHICK PEAS (DRAINED)</t>
  </si>
  <si>
    <t>OLIVE OIL</t>
  </si>
  <si>
    <t>MANGO PULP</t>
  </si>
  <si>
    <t>TOMATO CRUSHED (BLENDED)</t>
  </si>
  <si>
    <t xml:space="preserve">RAPSEED OIL </t>
  </si>
  <si>
    <t>SESAME SEED OIL TOASTED</t>
  </si>
  <si>
    <t>CHESTNUT ROASTED COOKED</t>
  </si>
  <si>
    <t>HW CHICKEN THIGH MINCE 6MM</t>
  </si>
  <si>
    <t>HW CHICKEN BREAST DICED (FROZEN)</t>
  </si>
  <si>
    <t>HW CHICKEN BREAST DICED (CHILLED)</t>
  </si>
  <si>
    <t xml:space="preserve">HERITAGE BEEF CHUCK DICED </t>
  </si>
  <si>
    <t>HERITAGE BEEF MINCED 90VL</t>
  </si>
  <si>
    <t>BRITISH HALAL LAMB MINCE 90VL</t>
  </si>
  <si>
    <t>BRITISH HALAL LAMB LEG DICED 28x28x28</t>
  </si>
  <si>
    <t>ENGEVITA YEAST FLAKES</t>
  </si>
  <si>
    <t>MUSHROOM SLICED (DRAINED)</t>
  </si>
  <si>
    <t>PANKO BREADCRUMBS</t>
  </si>
  <si>
    <t>TORTILLA 6.5"</t>
  </si>
  <si>
    <t>PINTO BEANS REFRIED</t>
  </si>
  <si>
    <t>GF BREAD CRUMBS</t>
  </si>
  <si>
    <t>JACKFRUIT PULLED (FROZEN)</t>
  </si>
  <si>
    <t>TAMARIND SAUCE</t>
  </si>
  <si>
    <t xml:space="preserve">CASHEW NUT </t>
  </si>
  <si>
    <t>MUSTARD SEED</t>
  </si>
  <si>
    <t>BLACK CARDAMOM POWDER</t>
  </si>
  <si>
    <t>CAYENNE PEPPER</t>
  </si>
  <si>
    <t>BLACK PEPPER WHOLE</t>
  </si>
  <si>
    <t>DRY CHILLI WHOLE</t>
  </si>
  <si>
    <t>BASMATI RICE</t>
  </si>
  <si>
    <t>YOGHURT &amp; MINT RAITA 30%</t>
  </si>
  <si>
    <t>MINT RAITA DIP POT</t>
  </si>
  <si>
    <t>GARLIC MAYONNAISE DIP POT</t>
  </si>
  <si>
    <t>COCONUT YOUGHURT</t>
  </si>
  <si>
    <t>PINE NUTS</t>
  </si>
  <si>
    <t>SALMON FISH DICED</t>
  </si>
  <si>
    <t>COD FISH DICED</t>
  </si>
  <si>
    <t>PRAWN (FROZEN)</t>
  </si>
  <si>
    <t>DUCK SHREDDED (CHINA) (FROZEN)</t>
  </si>
  <si>
    <t>HOISIN SAUCE</t>
  </si>
  <si>
    <t>FISH SAUCE</t>
  </si>
  <si>
    <t>THAI PANANG CURRY PASTE</t>
  </si>
  <si>
    <t>SOY SAUCE LIGHT</t>
  </si>
  <si>
    <t>BAMBOO SHOOTS STRIPS (DRAINED)</t>
  </si>
  <si>
    <t>HARISSA PASTE</t>
  </si>
  <si>
    <t>SUNDRIED TOMATO PASTE</t>
  </si>
  <si>
    <t>GARLIC POWDER</t>
  </si>
  <si>
    <t>CINNAMON POWDER</t>
  </si>
  <si>
    <t>ROASTED GARAM MASALA</t>
  </si>
  <si>
    <t>CHANNA MASALA SEASONING</t>
  </si>
  <si>
    <t>BALTI PASTE</t>
  </si>
  <si>
    <t>NAAN BREAD MINI</t>
  </si>
  <si>
    <t>NAAN BREAD PLAIN TANDOORI</t>
  </si>
  <si>
    <t>FILO PASTRY SHEET</t>
  </si>
  <si>
    <t>SAMOSA PASTRY - MEDIUM CUT</t>
  </si>
  <si>
    <t>SAMOSA PASTRY - SMALL CUT</t>
  </si>
  <si>
    <t>SAMOSA PASTRY SEEDED - LARGE CUT</t>
  </si>
  <si>
    <t>SAMOSA PASTRY - THICK CUT</t>
  </si>
  <si>
    <t>SAMOSA PASTRY SEEDED - SMALL CUT</t>
  </si>
  <si>
    <t>FILO PASTRY CUT 80MM x 80MM</t>
  </si>
  <si>
    <t>SAMOSA PASTRY - LARGE CUT</t>
  </si>
  <si>
    <t>SAMOSA PASTRY SEEDED - MEDIUM CUT</t>
  </si>
  <si>
    <t>SAMOSA PASTRY BASIL AND OREGANO - SMALL CUT</t>
  </si>
  <si>
    <t>SUNDRIED TOMATO CHOPPED</t>
  </si>
  <si>
    <t>BLACK OLIVE</t>
  </si>
  <si>
    <t>MUSTARD WHOLEGRAIN</t>
  </si>
  <si>
    <t>SEMOLINA</t>
  </si>
  <si>
    <t>CHICK PEAS (DRY)</t>
  </si>
  <si>
    <t>BAY LEAF</t>
  </si>
  <si>
    <t>FENNEL POWDER</t>
  </si>
  <si>
    <t>CLOVE POWDER</t>
  </si>
  <si>
    <t>GREEN CARDAMOM WHOLE</t>
  </si>
  <si>
    <t>FENNEL SEEDS</t>
  </si>
  <si>
    <t>CLOVES WHOLE</t>
  </si>
  <si>
    <t>COCONUT FINE</t>
  </si>
  <si>
    <t>CHINESE FIVE SPICE</t>
  </si>
  <si>
    <t>DRY MIXED HERBS</t>
  </si>
  <si>
    <t>DRY OREGANO</t>
  </si>
  <si>
    <t>GREEN CARDAMOM POWDER</t>
  </si>
  <si>
    <t>KASHMIRI CHILLI POWDER</t>
  </si>
  <si>
    <t>CRUSHED CORIANDER SEEDS</t>
  </si>
  <si>
    <t>TOOR DAL</t>
  </si>
  <si>
    <t>MOONG DAL</t>
  </si>
  <si>
    <t>VEGETABLE SAMOSA BITES</t>
  </si>
  <si>
    <t>STARCH NOVATION ENDURA 0100</t>
  </si>
  <si>
    <t>STARCH PRIMA 650</t>
  </si>
  <si>
    <t>CORN FLOUR</t>
  </si>
  <si>
    <t>PANEER DICED</t>
  </si>
  <si>
    <t>CHICKEN COOKED DICED 20-25MM</t>
  </si>
  <si>
    <t>HONEY</t>
  </si>
  <si>
    <t>CUMIN POWDER</t>
  </si>
  <si>
    <t>CORIANDER POWDER</t>
  </si>
  <si>
    <t xml:space="preserve">TIKKA SEASONING </t>
  </si>
  <si>
    <t xml:space="preserve">PAPRIKA OLEORESIN </t>
  </si>
  <si>
    <t>VEG BUILLION</t>
  </si>
  <si>
    <t>ONION SEED</t>
  </si>
  <si>
    <t>GRAM FLOUR</t>
  </si>
  <si>
    <t>CRUSHED CHILLI</t>
  </si>
  <si>
    <t>FENUGREEK KIBBLED</t>
  </si>
  <si>
    <t>MADRAS CURRY POWDER</t>
  </si>
  <si>
    <t>TANDOORI MASALA</t>
  </si>
  <si>
    <t>FRIED ONION</t>
  </si>
  <si>
    <t>ASOFOETIDA</t>
  </si>
  <si>
    <t>RED LENTIL</t>
  </si>
  <si>
    <t>CHANNA DAL</t>
  </si>
  <si>
    <t>NUTMEG POWDER</t>
  </si>
  <si>
    <t>TIKKA MASALA SEASONING (NO SUGAR)</t>
  </si>
  <si>
    <t>CHILLI POWDER</t>
  </si>
  <si>
    <t>TURMERIC POWDER</t>
  </si>
  <si>
    <t>CUMIN SEED</t>
  </si>
  <si>
    <t>SMOKED PAPRIKA POWDER HT</t>
  </si>
  <si>
    <t>WHITE PEPPER POWDER HT</t>
  </si>
  <si>
    <t>BLACK PEPPER POWDER HT</t>
  </si>
  <si>
    <t>PAPRIKA POWDER HT</t>
  </si>
  <si>
    <t>BLACK PEPPER COARSE HT</t>
  </si>
  <si>
    <t>THAI FRAGRANT RICE</t>
  </si>
  <si>
    <t>PLAIN FLOUR</t>
  </si>
  <si>
    <t>BREADED CAMEMBERT</t>
  </si>
  <si>
    <t>CARROT SHREDDED 3MM-3MM-20MM</t>
  </si>
  <si>
    <t>Tamari Gluten Free Soy Sauce 6 x 1litre - DC</t>
  </si>
  <si>
    <r>
      <t xml:space="preserve">ITALIAN ROASTED COOKED CHESTNUT PIECES (Min Ord 80) </t>
    </r>
    <r>
      <rPr>
        <b/>
        <sz val="10"/>
        <color rgb="FFFF0000"/>
        <rFont val="Times New Roman"/>
        <family val="1"/>
      </rPr>
      <t>(For Stocktake enter as single item)</t>
    </r>
  </si>
  <si>
    <t>5014</t>
  </si>
  <si>
    <t>5015</t>
  </si>
  <si>
    <t>5008</t>
  </si>
  <si>
    <t>usage</t>
  </si>
  <si>
    <t>case size</t>
  </si>
  <si>
    <t xml:space="preserve">Total usage </t>
  </si>
  <si>
    <t>DAIRY0-01</t>
  </si>
  <si>
    <t>DAIRY0-02</t>
  </si>
  <si>
    <t>DAIRY0-04</t>
  </si>
  <si>
    <t>DAIRY0-05</t>
  </si>
  <si>
    <t>DAIRY0-06</t>
  </si>
  <si>
    <t>DAIRY0-07</t>
  </si>
  <si>
    <t>DAIRY0-08</t>
  </si>
  <si>
    <t>DAIRY0-09</t>
  </si>
  <si>
    <t>DAIRY0-10</t>
  </si>
  <si>
    <t>DAIRY0-11</t>
  </si>
  <si>
    <t>DAIRY0-12</t>
  </si>
  <si>
    <t>DAIRY0-13</t>
  </si>
  <si>
    <t>DAIRY0-14</t>
  </si>
  <si>
    <t>DAIRY0-15</t>
  </si>
  <si>
    <t>DAIRY0-16</t>
  </si>
  <si>
    <t>DAIRY0-17</t>
  </si>
  <si>
    <t>NEW CODE</t>
  </si>
  <si>
    <t>5327</t>
  </si>
  <si>
    <t>5328</t>
  </si>
  <si>
    <t>5326</t>
  </si>
  <si>
    <t>5330</t>
  </si>
  <si>
    <t>5329</t>
  </si>
  <si>
    <t>Case</t>
  </si>
  <si>
    <t>Case size</t>
  </si>
  <si>
    <t>Total usage</t>
  </si>
  <si>
    <t>5950</t>
  </si>
  <si>
    <t>5200</t>
  </si>
  <si>
    <t>5509</t>
  </si>
  <si>
    <t>5016</t>
  </si>
  <si>
    <t>5608</t>
  </si>
  <si>
    <t>5600</t>
  </si>
  <si>
    <t>5507</t>
  </si>
  <si>
    <t>5655</t>
  </si>
  <si>
    <t>5621</t>
  </si>
  <si>
    <t>5616</t>
  </si>
  <si>
    <t>5609</t>
  </si>
  <si>
    <t>5201</t>
  </si>
  <si>
    <t>5000</t>
  </si>
  <si>
    <t>5604</t>
  </si>
  <si>
    <t>case</t>
  </si>
  <si>
    <t>Total</t>
  </si>
  <si>
    <t>SPICE0-01</t>
  </si>
  <si>
    <t>SPICE0-03</t>
  </si>
  <si>
    <t>SPICE0-02</t>
  </si>
  <si>
    <t>SPICE0-04</t>
  </si>
  <si>
    <t>SPICE0-05</t>
  </si>
  <si>
    <t>SPICE0-06</t>
  </si>
  <si>
    <t>SPICE0-07</t>
  </si>
  <si>
    <t>SPICE0-08</t>
  </si>
  <si>
    <t>SPICE0-09</t>
  </si>
  <si>
    <t>SPICE0-10</t>
  </si>
  <si>
    <t>SPICE0-11</t>
  </si>
  <si>
    <t>SPICE0-12</t>
  </si>
  <si>
    <t>SPICE0-13</t>
  </si>
  <si>
    <t>SPICE0-14</t>
  </si>
  <si>
    <t>SPICE0-15</t>
  </si>
  <si>
    <t>SPICE0-16</t>
  </si>
  <si>
    <t>SPICE0-17</t>
  </si>
  <si>
    <t>SPICE0-18</t>
  </si>
  <si>
    <t>SPICE0-19</t>
  </si>
  <si>
    <t>SPICE0-20</t>
  </si>
  <si>
    <t>SPICE0-21</t>
  </si>
  <si>
    <t>SPICE0-22</t>
  </si>
  <si>
    <t>SPICE0-23</t>
  </si>
  <si>
    <t>SPICE0-24</t>
  </si>
  <si>
    <t>SPICE0-25</t>
  </si>
  <si>
    <t>SPICE0-26</t>
  </si>
  <si>
    <t>SPICE0-27</t>
  </si>
  <si>
    <t>SPICE0-28</t>
  </si>
  <si>
    <t>SPICE0-29</t>
  </si>
  <si>
    <t>SPICE0-30</t>
  </si>
  <si>
    <t>SPICE0-31</t>
  </si>
  <si>
    <t>SPICE0-32</t>
  </si>
  <si>
    <t>SPICE0-33</t>
  </si>
  <si>
    <t>SPICE0-34</t>
  </si>
  <si>
    <t>SPICE0-35</t>
  </si>
  <si>
    <t>SPICE0-36</t>
  </si>
  <si>
    <t>SPICE0-37</t>
  </si>
  <si>
    <t>SPICE0-38</t>
  </si>
  <si>
    <t>SPICE0-39</t>
  </si>
  <si>
    <t>SPICE0-40</t>
  </si>
  <si>
    <t>SPICE0-41</t>
  </si>
  <si>
    <t>SPICE0-42</t>
  </si>
  <si>
    <t>SPICE0-43</t>
  </si>
  <si>
    <t>SPICE0-44</t>
  </si>
  <si>
    <t>SPICE0-45</t>
  </si>
  <si>
    <t>SPICE0-46</t>
  </si>
  <si>
    <t>SPICE0-47</t>
  </si>
  <si>
    <t>SPICE0-48</t>
  </si>
  <si>
    <t>SPICE0-49</t>
  </si>
  <si>
    <t>SPICE0-50</t>
  </si>
  <si>
    <t>SPICE0-51</t>
  </si>
  <si>
    <t>SPICE0-52</t>
  </si>
  <si>
    <t>SPICE0-53</t>
  </si>
  <si>
    <t>SPICE0-54</t>
  </si>
  <si>
    <t>SPICE0-55</t>
  </si>
  <si>
    <t>SPICE0-56</t>
  </si>
  <si>
    <t>SPICE0-57</t>
  </si>
  <si>
    <t>SPICE0-58</t>
  </si>
  <si>
    <t>SPICE0-59</t>
  </si>
  <si>
    <t>SPICE0-60</t>
  </si>
  <si>
    <t>SPICE0-61</t>
  </si>
  <si>
    <t>5630</t>
  </si>
  <si>
    <t>5603</t>
  </si>
  <si>
    <t>5619</t>
  </si>
  <si>
    <t>5601</t>
  </si>
  <si>
    <t>5606</t>
  </si>
  <si>
    <t>SAUCE0-01</t>
  </si>
  <si>
    <t>SAUCE0-02</t>
  </si>
  <si>
    <t>SAUCE0-03</t>
  </si>
  <si>
    <t>SAUCE0-04</t>
  </si>
  <si>
    <t>SAUCE0-05</t>
  </si>
  <si>
    <t>SAUCE0-06</t>
  </si>
  <si>
    <t>SAUCE0-07</t>
  </si>
  <si>
    <t>SAUCE0-08</t>
  </si>
  <si>
    <t>SAUCE0-09</t>
  </si>
  <si>
    <t>SAUCE0-10</t>
  </si>
  <si>
    <t>SAUCE0-11</t>
  </si>
  <si>
    <t>SAUCE0-12</t>
  </si>
  <si>
    <t>SAUCE0-13</t>
  </si>
  <si>
    <t>SAUCE0-14</t>
  </si>
  <si>
    <t>SAUCE0-15</t>
  </si>
  <si>
    <t>SAUCE0-16</t>
  </si>
  <si>
    <t>SAUCE0-17</t>
  </si>
  <si>
    <t>SAUCE0-18</t>
  </si>
  <si>
    <t>SAUCE0-19</t>
  </si>
  <si>
    <t>SAUCE0-20</t>
  </si>
  <si>
    <t>SAUCE0-21</t>
  </si>
  <si>
    <t>SAUCE0-22</t>
  </si>
  <si>
    <t>SAUCE0-23</t>
  </si>
  <si>
    <t>SAUCE0-24</t>
  </si>
  <si>
    <t>SAUCE0-25</t>
  </si>
  <si>
    <t>SAUCE0-26</t>
  </si>
  <si>
    <t>SAUCE0-27</t>
  </si>
  <si>
    <t>SAUCE0-28</t>
  </si>
  <si>
    <t>SAUCE0-29</t>
  </si>
  <si>
    <t>SAUCE0-30</t>
  </si>
  <si>
    <t>SAUCE0-31</t>
  </si>
  <si>
    <t>SAUCE0-32</t>
  </si>
  <si>
    <t>SAUCE0-33</t>
  </si>
  <si>
    <t>SAUCE0-34</t>
  </si>
  <si>
    <t>SAUCE0-35</t>
  </si>
  <si>
    <t>SAUCE0-36</t>
  </si>
  <si>
    <t>SAUCE0-37</t>
  </si>
  <si>
    <t>SAUCE0-38</t>
  </si>
  <si>
    <t>SAUCE0-39</t>
  </si>
  <si>
    <t>SAUCE0-40</t>
  </si>
  <si>
    <t>SAUCE0-41</t>
  </si>
  <si>
    <t>SAUCE0-42</t>
  </si>
  <si>
    <t>5350</t>
  </si>
  <si>
    <t>5352</t>
  </si>
  <si>
    <t>5351</t>
  </si>
  <si>
    <t>PASTRY-01</t>
  </si>
  <si>
    <t>PASTRY-02</t>
  </si>
  <si>
    <t>PASTRY-03</t>
  </si>
  <si>
    <t>PASTRY-04</t>
  </si>
  <si>
    <t>PASTRY-05</t>
  </si>
  <si>
    <t>PASTRY-06</t>
  </si>
  <si>
    <t>PASTRY-07</t>
  </si>
  <si>
    <t>PASTRY-08</t>
  </si>
  <si>
    <t>PASTRY-09</t>
  </si>
  <si>
    <t>PASTRY-10</t>
  </si>
  <si>
    <t>PASTRY-11</t>
  </si>
  <si>
    <t>PASTRY-12</t>
  </si>
  <si>
    <t>PASTRY-13</t>
  </si>
  <si>
    <t>PASTRY-14</t>
  </si>
  <si>
    <t>PASTRY-15</t>
  </si>
  <si>
    <t>5654</t>
  </si>
  <si>
    <t>5401</t>
  </si>
  <si>
    <t>5501</t>
  </si>
  <si>
    <t>5300</t>
  </si>
  <si>
    <t>5375</t>
  </si>
  <si>
    <t>5376</t>
  </si>
  <si>
    <t>5653</t>
  </si>
  <si>
    <t>5650</t>
  </si>
  <si>
    <t>5703</t>
  </si>
  <si>
    <t>5901</t>
  </si>
  <si>
    <t>ITALIAN ROASTED COOKED CHESTNUT PIECES (Min Ord 80) (For Stocktake enter as single item)</t>
  </si>
  <si>
    <t>5100</t>
  </si>
  <si>
    <t>5508</t>
  </si>
  <si>
    <t>5506</t>
  </si>
  <si>
    <t>5618</t>
  </si>
  <si>
    <t>5502</t>
  </si>
  <si>
    <t>5504</t>
  </si>
  <si>
    <t>SAUCE0-43</t>
  </si>
  <si>
    <t>5001</t>
  </si>
  <si>
    <t>5002</t>
  </si>
  <si>
    <t>5004</t>
  </si>
  <si>
    <t>5005</t>
  </si>
  <si>
    <t>5105</t>
  </si>
  <si>
    <t>5500</t>
  </si>
  <si>
    <t>5104</t>
  </si>
  <si>
    <t>5009</t>
  </si>
  <si>
    <t>5103</t>
  </si>
  <si>
    <t>5101</t>
  </si>
  <si>
    <t>5003</t>
  </si>
  <si>
    <t>INGRAD-01</t>
  </si>
  <si>
    <t>INGRAD-02</t>
  </si>
  <si>
    <t>INGRAD-03</t>
  </si>
  <si>
    <t>INGRAD-04</t>
  </si>
  <si>
    <t>INGRAD-05</t>
  </si>
  <si>
    <t>INGRAD-06</t>
  </si>
  <si>
    <t>INGRAD-07</t>
  </si>
  <si>
    <t>INGRAD-08</t>
  </si>
  <si>
    <t>INGRAD-09</t>
  </si>
  <si>
    <t>INGRAD-10</t>
  </si>
  <si>
    <t>INGRAD-11</t>
  </si>
  <si>
    <t>INGRAD-12</t>
  </si>
  <si>
    <t>INGRAD-13</t>
  </si>
  <si>
    <t>INGRAD-14</t>
  </si>
  <si>
    <t>INGRAD-15</t>
  </si>
  <si>
    <t>INGRAD-16</t>
  </si>
  <si>
    <t>INGRAD-17</t>
  </si>
  <si>
    <t>INGRAD-18</t>
  </si>
  <si>
    <t>INGRAD-19</t>
  </si>
  <si>
    <t>INGRAD-20</t>
  </si>
  <si>
    <t>INGRAD-21</t>
  </si>
  <si>
    <t>INGRAD-22</t>
  </si>
  <si>
    <t>INGRAD-23</t>
  </si>
  <si>
    <t>INGRAD-24</t>
  </si>
  <si>
    <t>INGRAD-25</t>
  </si>
  <si>
    <t>INGRAD-26</t>
  </si>
  <si>
    <t>INGRAD-27</t>
  </si>
  <si>
    <t>INGRAD-28</t>
  </si>
  <si>
    <t>INGRAD-29</t>
  </si>
  <si>
    <t>INGRAD-30</t>
  </si>
  <si>
    <t>INGRAD-31</t>
  </si>
  <si>
    <t>INGRAD-32</t>
  </si>
  <si>
    <t>INGRAD-33</t>
  </si>
  <si>
    <t>INGRAD-34</t>
  </si>
  <si>
    <t>INGRAD-35</t>
  </si>
  <si>
    <t>INGRAD-36</t>
  </si>
  <si>
    <t>INGRAD-37</t>
  </si>
  <si>
    <t>INGRAD-38</t>
  </si>
  <si>
    <t>INGRAD-39</t>
  </si>
  <si>
    <t>INGRAD-40</t>
  </si>
  <si>
    <t>INGRAD-41</t>
  </si>
  <si>
    <t>INGRAD-42</t>
  </si>
  <si>
    <t>INGRAD-43</t>
  </si>
  <si>
    <t>INGRAD-44</t>
  </si>
  <si>
    <t>INGRAD-45</t>
  </si>
  <si>
    <t>INGRAD-46</t>
  </si>
  <si>
    <t>INGRAD-47</t>
  </si>
  <si>
    <t>INGRAD-48</t>
  </si>
  <si>
    <t>INGRAD-49</t>
  </si>
  <si>
    <t>INGRAD-50</t>
  </si>
  <si>
    <t>INGRAD-51</t>
  </si>
  <si>
    <t>INGRAD-52</t>
  </si>
  <si>
    <t>INGRAD-53</t>
  </si>
  <si>
    <t>INGRAD-54</t>
  </si>
  <si>
    <t>INGRAD-55</t>
  </si>
  <si>
    <t>INGRAD-56</t>
  </si>
  <si>
    <t>INGRAD-57</t>
  </si>
  <si>
    <t>INGRAD-58</t>
  </si>
  <si>
    <t>VEGCHI-01</t>
  </si>
  <si>
    <t>VEGCHI-02</t>
  </si>
  <si>
    <t>VEGCHI-03</t>
  </si>
  <si>
    <t>VEGCHI-04</t>
  </si>
  <si>
    <t>VEGCHI-05</t>
  </si>
  <si>
    <t>VEGCHI-06</t>
  </si>
  <si>
    <t>VEGCHI-07</t>
  </si>
  <si>
    <t>VEGCHI-08</t>
  </si>
  <si>
    <t>VEGCHI-09</t>
  </si>
  <si>
    <t>VEGCHI-10</t>
  </si>
  <si>
    <t>VEGCHI-11</t>
  </si>
  <si>
    <t>VEGCHI-12</t>
  </si>
  <si>
    <t>VEGCHI-13</t>
  </si>
  <si>
    <t>VEGCHI-14</t>
  </si>
  <si>
    <t>VEGCHI-15</t>
  </si>
  <si>
    <t>VEGCHI-16</t>
  </si>
  <si>
    <t>VEGCHI-17</t>
  </si>
  <si>
    <t>VEGCHI-18</t>
  </si>
  <si>
    <t>VEGCHI-19</t>
  </si>
  <si>
    <t>VEGCHI-20</t>
  </si>
  <si>
    <t>VEGCHI-21</t>
  </si>
  <si>
    <t>VEGCHI-22</t>
  </si>
  <si>
    <t>VEGCHI-23</t>
  </si>
  <si>
    <t>VEGCHI-24</t>
  </si>
  <si>
    <t>VEGCHI-25</t>
  </si>
  <si>
    <t>VEGCHI-26</t>
  </si>
  <si>
    <t>VEGCHI-27</t>
  </si>
  <si>
    <t>VEGCHI-28</t>
  </si>
  <si>
    <t>VEGCHI-29</t>
  </si>
  <si>
    <t>VEGCHI-30</t>
  </si>
  <si>
    <t>VEGCHI-31</t>
  </si>
  <si>
    <t>VEGCHI-32</t>
  </si>
  <si>
    <t>VEGCHI-33</t>
  </si>
  <si>
    <t>VEGCHI-34</t>
  </si>
  <si>
    <t>VEGCHI-35</t>
  </si>
  <si>
    <t>VEGCHI-36</t>
  </si>
  <si>
    <t>VEGCHI-37</t>
  </si>
  <si>
    <t>VEGCHI-38</t>
  </si>
  <si>
    <t>VEGCHI-39</t>
  </si>
  <si>
    <t>VEGCHI-40</t>
  </si>
  <si>
    <t>VEGCHI-41</t>
  </si>
  <si>
    <t>VEGCHI-42</t>
  </si>
  <si>
    <t>VEGCHI-43</t>
  </si>
  <si>
    <t>VEGCHI-44</t>
  </si>
  <si>
    <t>VEGCHI-45</t>
  </si>
  <si>
    <t>5102</t>
  </si>
  <si>
    <t>5011</t>
  </si>
  <si>
    <t>5013</t>
  </si>
  <si>
    <t>5109</t>
  </si>
  <si>
    <t>5006</t>
  </si>
  <si>
    <t>5610</t>
  </si>
  <si>
    <t>5625</t>
  </si>
  <si>
    <t>5108</t>
  </si>
  <si>
    <t>5107</t>
  </si>
  <si>
    <t>5623</t>
  </si>
  <si>
    <t>5624</t>
  </si>
  <si>
    <t>5708</t>
  </si>
  <si>
    <t>5505</t>
  </si>
  <si>
    <t>VEGFRO-01</t>
  </si>
  <si>
    <t>VEGFRO-02</t>
  </si>
  <si>
    <t>VEGFRO-03</t>
  </si>
  <si>
    <t>VEGFRO-04</t>
  </si>
  <si>
    <t>VEGFRO-05</t>
  </si>
  <si>
    <t>VEGFRO-06</t>
  </si>
  <si>
    <t>VEGFRO-07</t>
  </si>
  <si>
    <t>VEGFRO-08</t>
  </si>
  <si>
    <t>VEGFRO-09</t>
  </si>
  <si>
    <t>VEGFRO-10</t>
  </si>
  <si>
    <t>VEGFRO-11</t>
  </si>
  <si>
    <t>VEGFRO-12</t>
  </si>
  <si>
    <t>VEGFRO-13</t>
  </si>
  <si>
    <t>VEGFRO-14</t>
  </si>
  <si>
    <t>VEGFRO-15</t>
  </si>
  <si>
    <t>VEGFRO-16</t>
  </si>
  <si>
    <t>VEGFRO-17</t>
  </si>
  <si>
    <t>VEGFRO-18</t>
  </si>
  <si>
    <t>VEGFRO-19</t>
  </si>
  <si>
    <t>VEGFRO-20</t>
  </si>
  <si>
    <t>VEGFRO-21</t>
  </si>
  <si>
    <t>VEGFRO-22</t>
  </si>
  <si>
    <t>VEGFRO-23</t>
  </si>
  <si>
    <t>VEGFRO-24</t>
  </si>
  <si>
    <t>VEGFRO-25</t>
  </si>
  <si>
    <t>VEGFRO-26</t>
  </si>
  <si>
    <t>VEGFRO-27</t>
  </si>
  <si>
    <t>VEGFRO-28</t>
  </si>
  <si>
    <t>VEGFRO-29</t>
  </si>
  <si>
    <t>VEGFRO-30</t>
  </si>
  <si>
    <t>VEGFRO-31</t>
  </si>
  <si>
    <t>VEGFRO-32</t>
  </si>
  <si>
    <t>VEGFRO-33</t>
  </si>
  <si>
    <t>VEGFRO-34</t>
  </si>
  <si>
    <t>VEGFRO-35</t>
  </si>
  <si>
    <t>VEGFRO-36</t>
  </si>
  <si>
    <t>VEGFRO-37</t>
  </si>
  <si>
    <t>VEGFRO-38</t>
  </si>
  <si>
    <t>VEGFRO-39</t>
  </si>
  <si>
    <t>VEGFRO-40</t>
  </si>
  <si>
    <t>VEGFRO-41</t>
  </si>
  <si>
    <t>VEGFRO-42</t>
  </si>
  <si>
    <t>VEGFRO-43</t>
  </si>
  <si>
    <t>VEGFRO-44</t>
  </si>
  <si>
    <t>VEGFRO-45</t>
  </si>
  <si>
    <t>VEGFRO-46</t>
  </si>
  <si>
    <t>VEGFRO-47</t>
  </si>
  <si>
    <t>VEGFRO-48</t>
  </si>
  <si>
    <t>VEGFRO-49</t>
  </si>
  <si>
    <t>VEGFRO-50</t>
  </si>
  <si>
    <t>VEGFRO-51</t>
  </si>
  <si>
    <t>New Sage Code</t>
  </si>
  <si>
    <t>Sub Category</t>
  </si>
  <si>
    <t>VEGAN</t>
  </si>
  <si>
    <t>CREAM</t>
  </si>
  <si>
    <t>MILK</t>
  </si>
  <si>
    <t>BEEF-CHILLED</t>
  </si>
  <si>
    <t>BEEF-FROZEN</t>
  </si>
  <si>
    <t>CHICKEN-CHILLED</t>
  </si>
  <si>
    <t>EGG-CHILLED</t>
  </si>
  <si>
    <t>CHICKEN-FROZEN</t>
  </si>
  <si>
    <t>DUCK-FROZEN</t>
  </si>
  <si>
    <t>LAMB-FROZEN</t>
  </si>
  <si>
    <t>SEAFOOD-FROZEN</t>
  </si>
  <si>
    <t>SEAFOOD-CHILLED</t>
  </si>
  <si>
    <t>DIPS</t>
  </si>
  <si>
    <t>PASTE</t>
  </si>
  <si>
    <t>BLENDED</t>
  </si>
  <si>
    <t>GROUND</t>
  </si>
  <si>
    <t>WHOLE</t>
  </si>
  <si>
    <t xml:space="preserve">BLENDED </t>
  </si>
  <si>
    <t xml:space="preserve">FUNCTIONAL </t>
  </si>
  <si>
    <t>SEEDS</t>
  </si>
  <si>
    <t>SAMOSA</t>
  </si>
  <si>
    <t>SPRING ROLLS</t>
  </si>
  <si>
    <t>DRY FRUITS &amp; NUTS</t>
  </si>
  <si>
    <t>MINCE</t>
  </si>
  <si>
    <t>RICE</t>
  </si>
  <si>
    <t>PULSES</t>
  </si>
  <si>
    <t>CABBAGE</t>
  </si>
  <si>
    <t>CARROT</t>
  </si>
  <si>
    <t>POTATO</t>
  </si>
  <si>
    <t>QUINOA</t>
  </si>
  <si>
    <t>ONION</t>
  </si>
  <si>
    <t>MINT CHOPPED (FRESH)</t>
  </si>
  <si>
    <t>HERB-DRY</t>
  </si>
  <si>
    <t>PEPPER</t>
  </si>
  <si>
    <t>GREEN BEANS</t>
  </si>
  <si>
    <t>SPINACH</t>
  </si>
  <si>
    <t>MUSHROOM</t>
  </si>
  <si>
    <t>AUBERGINE</t>
  </si>
  <si>
    <t>TOMATO</t>
  </si>
  <si>
    <t xml:space="preserve">TOMATO </t>
  </si>
  <si>
    <t xml:space="preserve">BEANS </t>
  </si>
  <si>
    <t xml:space="preserve">GREEN BEANS </t>
  </si>
  <si>
    <t>RECIPE COMPONENT</t>
  </si>
  <si>
    <t>VEGCHI-46</t>
  </si>
  <si>
    <t>VEGCHI-47</t>
  </si>
  <si>
    <t>FLORRETS</t>
  </si>
  <si>
    <t>LEAVES</t>
  </si>
  <si>
    <t>PUREE</t>
  </si>
  <si>
    <t>MILLED</t>
  </si>
  <si>
    <t>HERBS</t>
  </si>
  <si>
    <t>LEAF</t>
  </si>
  <si>
    <t xml:space="preserve">MISC </t>
  </si>
  <si>
    <t>TINNED</t>
  </si>
  <si>
    <t>MISC</t>
  </si>
  <si>
    <t>ERP ID</t>
  </si>
  <si>
    <t>SAMOSA PASTRY CUT LARGE 305x105mm</t>
  </si>
  <si>
    <t>SAMOSA PASTRY CUT MEDIUM 220x75mm</t>
  </si>
  <si>
    <t>8 Inch Spring Roll Pastry Kims</t>
  </si>
  <si>
    <t>SAMOSA PASTRY CUT THICK 310x125mm</t>
  </si>
  <si>
    <t>SEEDED SAMOSA PASTRY CUT LARGE 305x105mm</t>
  </si>
  <si>
    <t>TYJ PASTRY 8.5 INCH (wt 550g per packet)</t>
  </si>
  <si>
    <t>SAMOSA PASTRY CUT SMALL 200x65mm</t>
  </si>
  <si>
    <t>SEEDED SAMOSA PASTRY CUT MEDIUM 220x75mm</t>
  </si>
  <si>
    <t>SEEDED SAMOSA PASTRY CUT SMALL 200x65mm</t>
  </si>
  <si>
    <t xml:space="preserve">FILO PASTRY </t>
  </si>
  <si>
    <t xml:space="preserve">SAMOSA PASTRY BASIL &amp; OREGANO 200x65mm </t>
  </si>
  <si>
    <t xml:space="preserve">FILO PASTRY 80MM X 80MM </t>
  </si>
  <si>
    <t>Ambient 16.5cm (6.5 INCH) Flour Tortillas (CAT B)</t>
  </si>
  <si>
    <t>TYJ 6 INCH Spring Roll Pastry 40x50 pcs</t>
  </si>
  <si>
    <t>SPRING ROLL PASTRY KIMS 8 INCH (Wheat)</t>
  </si>
  <si>
    <t>SPRING ROLL PASTRY TYJ 8.5 INCH ( Wheat, Milk)</t>
  </si>
  <si>
    <t>SPRING ROLL PASTRY TYJ 6 INCH ( Wheat, Milk)</t>
  </si>
  <si>
    <t>Name</t>
  </si>
  <si>
    <t xml:space="preserve">Code </t>
  </si>
  <si>
    <t>KTC001</t>
  </si>
  <si>
    <t>BAC001</t>
  </si>
  <si>
    <t>BAK001</t>
  </si>
  <si>
    <t>BOW001</t>
  </si>
  <si>
    <t>DAR001</t>
  </si>
  <si>
    <t>DIN001</t>
  </si>
  <si>
    <t>DOV001</t>
  </si>
  <si>
    <t>FOO001</t>
  </si>
  <si>
    <t>FOX001</t>
  </si>
  <si>
    <t>FUN001</t>
  </si>
  <si>
    <t>GAF001</t>
  </si>
  <si>
    <t>GOO001</t>
  </si>
  <si>
    <t>HAW001</t>
  </si>
  <si>
    <t>HAR002</t>
  </si>
  <si>
    <t>BRI006</t>
  </si>
  <si>
    <t>CAM003</t>
  </si>
  <si>
    <t>CKF001</t>
  </si>
  <si>
    <t>ABE001</t>
  </si>
  <si>
    <t>ASI001</t>
  </si>
  <si>
    <t>GIO001</t>
  </si>
  <si>
    <t>HEN001</t>
  </si>
  <si>
    <t>DAR002</t>
  </si>
  <si>
    <t>EUR002</t>
  </si>
  <si>
    <t>GER002</t>
  </si>
  <si>
    <t>DON001</t>
  </si>
  <si>
    <t>FRE005</t>
  </si>
  <si>
    <t>HAB001</t>
  </si>
  <si>
    <t>HAR006</t>
  </si>
  <si>
    <t>HSM001</t>
  </si>
  <si>
    <t>HOP001</t>
  </si>
  <si>
    <t>IHF001</t>
  </si>
  <si>
    <t>IMS001</t>
  </si>
  <si>
    <t>INN001</t>
  </si>
  <si>
    <t>JAP002</t>
  </si>
  <si>
    <t>JAR001</t>
  </si>
  <si>
    <t>JFC001</t>
  </si>
  <si>
    <t>JSB001</t>
  </si>
  <si>
    <t>KEE001</t>
  </si>
  <si>
    <t>KEN003</t>
  </si>
  <si>
    <t>KIM001</t>
  </si>
  <si>
    <t>KIR001</t>
  </si>
  <si>
    <t>KLU001</t>
  </si>
  <si>
    <t>LEA001</t>
  </si>
  <si>
    <t>MAR001</t>
  </si>
  <si>
    <t>NIK001</t>
  </si>
  <si>
    <t>PIL001</t>
  </si>
  <si>
    <t>PIQ001</t>
  </si>
  <si>
    <t>REI001</t>
  </si>
  <si>
    <t>RUD001</t>
  </si>
  <si>
    <t>SAL001</t>
  </si>
  <si>
    <t>SEE001</t>
  </si>
  <si>
    <t>SOP001</t>
  </si>
  <si>
    <t>TOP001</t>
  </si>
  <si>
    <t>UNI001</t>
  </si>
  <si>
    <t>VES001</t>
  </si>
  <si>
    <t>VIR001</t>
  </si>
  <si>
    <t>WES001</t>
  </si>
  <si>
    <t>WHI001</t>
  </si>
  <si>
    <t>MAT001</t>
  </si>
  <si>
    <t>MAR005</t>
  </si>
  <si>
    <t>MXF001</t>
  </si>
  <si>
    <t>NEW003</t>
  </si>
  <si>
    <t>P&amp;B001</t>
  </si>
  <si>
    <t>PHA001</t>
  </si>
  <si>
    <t>PLA004</t>
  </si>
  <si>
    <t>QUE001</t>
  </si>
  <si>
    <t>REA002</t>
  </si>
  <si>
    <t>SOU0011</t>
  </si>
  <si>
    <t>STJ001</t>
  </si>
  <si>
    <t>THE002</t>
  </si>
  <si>
    <t>TRA003</t>
  </si>
  <si>
    <t>UPB001</t>
  </si>
  <si>
    <t>UKM001</t>
  </si>
  <si>
    <t>VAL001</t>
  </si>
  <si>
    <t>WIN001</t>
  </si>
  <si>
    <t>WHO001</t>
  </si>
  <si>
    <t xml:space="preserve">FRE003 </t>
  </si>
  <si>
    <t>FRE003E</t>
  </si>
  <si>
    <t>GOO001E</t>
  </si>
  <si>
    <t>MAR001E</t>
  </si>
  <si>
    <t>DON001E</t>
  </si>
  <si>
    <t>BOW001E</t>
  </si>
  <si>
    <t>PROTEIN-01</t>
  </si>
  <si>
    <t>PROTEIN-03</t>
  </si>
  <si>
    <t>PROTEIN-05</t>
  </si>
  <si>
    <t>PROTEIN-08</t>
  </si>
  <si>
    <t>PROTEIN-10</t>
  </si>
  <si>
    <t>PROTEIN-13</t>
  </si>
  <si>
    <t>PROTEIN-14</t>
  </si>
  <si>
    <t>PROTEIN-26</t>
  </si>
  <si>
    <t>PROTEIN-02</t>
  </si>
  <si>
    <t>PROTEIN-04</t>
  </si>
  <si>
    <t>PROTEIN-06</t>
  </si>
  <si>
    <t>PROTEIN-07</t>
  </si>
  <si>
    <t>PROTEIN-09</t>
  </si>
  <si>
    <t>PROTEIN-11</t>
  </si>
  <si>
    <t>PROTEIN-12</t>
  </si>
  <si>
    <t>PROTEIN-15</t>
  </si>
  <si>
    <t>PROTEIN-16</t>
  </si>
  <si>
    <t>PROTEIN-17</t>
  </si>
  <si>
    <t>PROTEIN-18</t>
  </si>
  <si>
    <t>PROTEIN-19</t>
  </si>
  <si>
    <t>PROTEIN-20</t>
  </si>
  <si>
    <t>PROTEIN-21</t>
  </si>
  <si>
    <t>PROTEIN-22</t>
  </si>
  <si>
    <t>PROTEIN-23</t>
  </si>
  <si>
    <t>PROTEIN-24</t>
  </si>
  <si>
    <t>PROTEIN-25</t>
  </si>
  <si>
    <t>PRICE</t>
  </si>
  <si>
    <t>Mul ID</t>
  </si>
  <si>
    <t>Price</t>
  </si>
  <si>
    <t>Multiplier ?</t>
  </si>
  <si>
    <t>MUL ID</t>
  </si>
  <si>
    <t xml:space="preserve">MUL </t>
  </si>
  <si>
    <t>4 x 1.9 litres</t>
  </si>
  <si>
    <t>SPICE0-62</t>
  </si>
  <si>
    <t>RMVIR001-86</t>
  </si>
  <si>
    <t>Mustard Powder (1x25kg)</t>
  </si>
  <si>
    <t xml:space="preserve">Mustard Powder </t>
  </si>
  <si>
    <t>INGRAD-59</t>
  </si>
  <si>
    <t>INGRAD-60</t>
  </si>
  <si>
    <t>6 x 2 KG</t>
  </si>
  <si>
    <t>MOONG DAL YELLOW</t>
  </si>
  <si>
    <t>RMIHF001-29</t>
  </si>
  <si>
    <t>CP-CUT ONION</t>
  </si>
  <si>
    <t>Pepper Red - CP cut</t>
  </si>
  <si>
    <t>Pepper Green - CP cut</t>
  </si>
  <si>
    <t>ONION CP CUT</t>
  </si>
  <si>
    <t>RED PEPPER CP CUT</t>
  </si>
  <si>
    <t>GREEN PEPPER CP CUT</t>
  </si>
  <si>
    <t>RMIHF001-30</t>
  </si>
  <si>
    <t>RMIHF001-31</t>
  </si>
  <si>
    <t>VEGCHI-48</t>
  </si>
  <si>
    <t>VEGCHI-49</t>
  </si>
  <si>
    <t>VEGCHI-50</t>
  </si>
  <si>
    <t>SPICE0-63</t>
  </si>
  <si>
    <t>RMVIR001-85</t>
  </si>
  <si>
    <t>GARLIC MINCED 1-2.5MM (1x10kg)</t>
  </si>
  <si>
    <t>GARLIC MINCED</t>
  </si>
  <si>
    <t>1 x 10 KG</t>
  </si>
  <si>
    <t>RMFOO008-06</t>
  </si>
  <si>
    <t>INGRAD-61</t>
  </si>
  <si>
    <t xml:space="preserve">IQF Chinese Ndles nests 60g (1x10kg) </t>
  </si>
  <si>
    <t xml:space="preserve">NOODELS NESTS </t>
  </si>
  <si>
    <t>INGRAD-62</t>
  </si>
  <si>
    <t>INGRAD-63</t>
  </si>
  <si>
    <t>IQF Penne Pasta 1 x 15k</t>
  </si>
  <si>
    <t>Food Team International Ltd</t>
  </si>
  <si>
    <t>GFF GARLIC AND HERB BUTTERFLY PRAWN 128G</t>
  </si>
  <si>
    <t>INGRAD-64</t>
  </si>
  <si>
    <t>INGRAD-65</t>
  </si>
  <si>
    <t>INGRAD-66</t>
  </si>
  <si>
    <t>INGRAD-67</t>
  </si>
  <si>
    <t>Chicken Samosa 40g - 50pcs*4 bags- 8kg</t>
  </si>
  <si>
    <t>WEIFANG BIONH FOOD TECH CO. LTD</t>
  </si>
  <si>
    <t>Chicken Spring Roll 35g - 60pcs*4bags-8.4kg</t>
  </si>
  <si>
    <t>INGRAD-68</t>
  </si>
  <si>
    <t>PENNE PASTA</t>
  </si>
  <si>
    <t>GFF ORIENTAL SELECTION 236G</t>
  </si>
  <si>
    <t>CHICKEN SAMOSA 40G</t>
  </si>
  <si>
    <t>ORIENTAL SELECTION 236G</t>
  </si>
  <si>
    <t>GARLIC &amp; HERB PRAWNS 128G</t>
  </si>
  <si>
    <t>NAAN MINI 10G</t>
  </si>
  <si>
    <t>HOT DOG ROLLS - MINI</t>
  </si>
  <si>
    <t>BASMATI RICE - PREMIUM</t>
  </si>
  <si>
    <t>CHICKEN SPRING ROLL 35G</t>
  </si>
  <si>
    <t>Ready to Pack</t>
  </si>
  <si>
    <t>Ingredient</t>
  </si>
  <si>
    <t>1 x 1</t>
  </si>
  <si>
    <t>Mini Naan Canape Base 10g(2bagsX200Naan) MOQ 81</t>
  </si>
  <si>
    <t>Baked Earth Bakery Limited</t>
  </si>
  <si>
    <t>2 x 200 PCS</t>
  </si>
  <si>
    <t>Mini Hot Dog rolls (230Unit/Cs)</t>
  </si>
  <si>
    <t>MONTANA BAKERY Ltd</t>
  </si>
  <si>
    <t>1 x 230</t>
  </si>
  <si>
    <t>HEERA 1121 PREMIUM RICE (50) (1x20KG)</t>
  </si>
  <si>
    <t>P &amp; B FOODS</t>
  </si>
  <si>
    <t>50 x 4</t>
  </si>
  <si>
    <t>60 x 4</t>
  </si>
  <si>
    <t>VEGFRO-52</t>
  </si>
  <si>
    <t>VEGFRO-53</t>
  </si>
  <si>
    <t>MANGO IRREGULAR CUT 6-12MM (FROZEN)</t>
  </si>
  <si>
    <t>Mango Irregular Cut 6-12mm IQF (1x10KG)</t>
  </si>
  <si>
    <t>BELFIELD FARMS (YEARSLEY FOOD LTD</t>
  </si>
  <si>
    <t>1 x 15 KG</t>
  </si>
  <si>
    <t>VEGCHI-51</t>
  </si>
  <si>
    <t>VEGCHI-52</t>
  </si>
  <si>
    <t>VEGCHI-53</t>
  </si>
  <si>
    <t>GINGER GRATED</t>
  </si>
  <si>
    <t>POTATO SLICED 3MM</t>
  </si>
  <si>
    <t>CABBAGE RED DICED 10MM</t>
  </si>
  <si>
    <t>GRATED GINGER</t>
  </si>
  <si>
    <t>Potato Sliced 3mm</t>
  </si>
  <si>
    <t>10MM DICED RED CABBAGE</t>
  </si>
  <si>
    <t>SPICE0-64</t>
  </si>
  <si>
    <t>PUL BIBER - HT</t>
  </si>
  <si>
    <t>Pul Biber HT (1X10KG)</t>
  </si>
  <si>
    <t>SAUCE0-44</t>
  </si>
  <si>
    <t>SAUCE0-45</t>
  </si>
  <si>
    <t>GOCHUJANG PASTE</t>
  </si>
  <si>
    <t>BARBECUE SAUCE</t>
  </si>
  <si>
    <t>Karimix UK Limited</t>
  </si>
  <si>
    <t>EVFAV BARBECUE SAUCE 2 x 4.8 KG</t>
  </si>
  <si>
    <t>2 x 4.8 KG</t>
  </si>
  <si>
    <t>Karimix Gochujang Paste (1x10kg)</t>
  </si>
  <si>
    <t>PROTEIN-27</t>
  </si>
  <si>
    <t>PROTEIN-28</t>
  </si>
  <si>
    <t>PROTEIN-29</t>
  </si>
  <si>
    <t>PROTEIN-30</t>
  </si>
  <si>
    <t>PROTEIN-31</t>
  </si>
  <si>
    <t>PROTEIN-32</t>
  </si>
  <si>
    <t>CHICKEN THIGH CUT 18-22MM</t>
  </si>
  <si>
    <t>BRITISH HALAL LAMB MINCE 80VL</t>
  </si>
  <si>
    <t>CHICKEN COOKED RTA</t>
  </si>
  <si>
    <t>CHICKEN THIGH MINCE RTA</t>
  </si>
  <si>
    <t>BEEF BRISKET</t>
  </si>
  <si>
    <t>HW CHICKEN BREAST DICED 20-30MM</t>
  </si>
  <si>
    <t>CHICKEN THIGH FILLET 18-22mm</t>
  </si>
  <si>
    <t>BRITISH HALAL MINCED LAMB 80VL</t>
  </si>
  <si>
    <t>Lamb-chilled</t>
  </si>
  <si>
    <t>RTA Cooked Chicken (1X5kg)</t>
  </si>
  <si>
    <t>1 x 5 KG</t>
  </si>
  <si>
    <t>Halal RTA Mince Chicken Thigh (1x5kg)</t>
  </si>
  <si>
    <t>Whole Beef Brisket Cut into 3 Lengthways (1x1kg)</t>
  </si>
  <si>
    <t>1 x 1 KG</t>
  </si>
  <si>
    <t>20-30mm Diced Higher Welfare chicken breast (Hand Diced)</t>
  </si>
  <si>
    <t>PASTRY-16</t>
  </si>
  <si>
    <t>RMSTJ001-24</t>
  </si>
  <si>
    <t>Yellow Pastry XL - 310mm X 125MM</t>
  </si>
  <si>
    <t>VEGFRO-54</t>
  </si>
  <si>
    <t>RMHAR002-48</t>
  </si>
  <si>
    <t>GREEN PEPPER DICED 20MM (FROZEN)</t>
  </si>
  <si>
    <t>20MM DICED  GREEN PEPPER</t>
  </si>
  <si>
    <t>KHANUM MANGO CHUTNEY 4x5kg</t>
  </si>
  <si>
    <t>SAUCE0-46</t>
  </si>
  <si>
    <t>RMSOP001-07</t>
  </si>
  <si>
    <t>MANGO CHUTNEY</t>
  </si>
  <si>
    <t>4 X 5 kg</t>
  </si>
  <si>
    <t>Caramel Colour</t>
  </si>
  <si>
    <t>BREAD CRUMBS - PANCO</t>
  </si>
  <si>
    <t>INGRAD-69</t>
  </si>
  <si>
    <t>INGRAD-70</t>
  </si>
  <si>
    <t>INGRAD-71</t>
  </si>
  <si>
    <t>RMKLU001-10</t>
  </si>
  <si>
    <t>Diced Apricots with s02 (1x12.5kg)</t>
  </si>
  <si>
    <t>APRICOT CHOPPED - SO2</t>
  </si>
  <si>
    <t>INGRAD-72</t>
  </si>
  <si>
    <t>RMKLU001-11</t>
  </si>
  <si>
    <t>Sultanas- Chinese (1x12.5kg)</t>
  </si>
  <si>
    <t>SULTANAS</t>
  </si>
  <si>
    <t>SAMOSA PASTRY - YELLOW - THICK CUT</t>
  </si>
  <si>
    <t>PASTRY-17</t>
  </si>
  <si>
    <t>SAMOSA PASTRY - YELLOW - LARGE CUT</t>
  </si>
  <si>
    <t>Yellow Pastry Large - 310mm X 110MM</t>
  </si>
  <si>
    <t>RMSTJ001-26</t>
  </si>
  <si>
    <t>INGRAD-73</t>
  </si>
  <si>
    <t>Crispy Coated Poppin Chicken</t>
  </si>
  <si>
    <t>RMHSM001-06</t>
  </si>
  <si>
    <t>10 x 1 KG</t>
  </si>
  <si>
    <t>VEGFRO-55</t>
  </si>
  <si>
    <t>VEGFRO-56</t>
  </si>
  <si>
    <t>RMDAR001-20</t>
  </si>
  <si>
    <t>Garlic Diced 4mm China (1x10kg)</t>
  </si>
  <si>
    <t>GARLIC DICED 4MM</t>
  </si>
  <si>
    <t>1 X 10 kg</t>
  </si>
  <si>
    <t>RMHAR002-38</t>
  </si>
  <si>
    <t>Irregular cut red peppers (1x10kg)</t>
  </si>
  <si>
    <t>RED PEPPER - IRREGULAR CUT</t>
  </si>
  <si>
    <t>Updated At</t>
  </si>
  <si>
    <t>PASTRY-18</t>
  </si>
  <si>
    <t>RMSTJ001-25</t>
  </si>
  <si>
    <t>PLAIN SAMOSA PASTRY 85MM x 235MM(ALDI)</t>
  </si>
  <si>
    <t>SAMOSA PASTRY - PLAIN ALDI</t>
  </si>
  <si>
    <t>5325</t>
  </si>
  <si>
    <t>5515</t>
  </si>
  <si>
    <t>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</si>
</sst>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6282A"/>
      <name val="Times New Roman"/>
      <family val="1"/>
    </font>
    <font>
      <b/>
      <sz val="10"/>
      <color theme="1"/>
      <name val="Times New Roman"/>
      <family val="1"/>
    </font>
    <font>
      <sz val="10"/>
      <color rgb="FF191919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91919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theme="0" tint="-0.3499799966812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dotted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9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1" applyNumberFormat="0" applyAlignment="0" applyProtection="0"/>
  </cellStyleXfs>
  <cellXfs count="189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0" borderId="5" xfId="0" applyFont="1" applyBorder="1"/>
    <xf numFmtId="0" fontId="5" fillId="0" borderId="7" xfId="0" applyFont="1" applyBorder="1"/>
    <xf numFmtId="0" fontId="5" fillId="0" borderId="5" xfId="0" applyFont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49" fontId="5" fillId="0" borderId="5" xfId="0" applyNumberFormat="1" applyFont="1" applyBorder="1"/>
    <xf numFmtId="49" fontId="5" fillId="0" borderId="7" xfId="0" applyNumberFormat="1" applyFont="1" applyBorder="1"/>
    <xf numFmtId="49" fontId="5" fillId="0" borderId="0" xfId="0" applyNumberFormat="1" applyFont="1"/>
    <xf numFmtId="49" fontId="5" fillId="0" borderId="8" xfId="0" applyNumberFormat="1" applyFont="1" applyBorder="1"/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49" fontId="5" fillId="0" borderId="2" xfId="0" applyNumberFormat="1" applyFont="1" applyBorder="1"/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5" fillId="7" borderId="2" xfId="0" applyNumberFormat="1" applyFont="1" applyFill="1" applyBorder="1"/>
    <xf numFmtId="49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left" wrapText="1"/>
    </xf>
    <xf numFmtId="0" fontId="5" fillId="7" borderId="7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7" borderId="0" xfId="0" applyFont="1" applyFill="1"/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49" fontId="5" fillId="7" borderId="2" xfId="0" applyNumberFormat="1" applyFont="1" applyFill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0" fontId="7" fillId="0" borderId="0" xfId="0" applyFont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49" fontId="5" fillId="7" borderId="0" xfId="0" applyNumberFormat="1" applyFont="1" applyFill="1"/>
    <xf numFmtId="0" fontId="5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49" fontId="5" fillId="8" borderId="0" xfId="0" applyNumberFormat="1" applyFont="1" applyFill="1"/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 wrapText="1"/>
    </xf>
    <xf numFmtId="49" fontId="5" fillId="9" borderId="2" xfId="0" applyNumberFormat="1" applyFont="1" applyFill="1" applyBorder="1"/>
    <xf numFmtId="0" fontId="5" fillId="9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/>
    </xf>
    <xf numFmtId="0" fontId="5" fillId="0" borderId="3" xfId="0" applyFont="1" applyBorder="1"/>
    <xf numFmtId="2" fontId="5" fillId="0" borderId="0" xfId="0" applyNumberFormat="1" applyFont="1"/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8" borderId="2" xfId="0" applyFont="1" applyFill="1" applyBorder="1"/>
    <xf numFmtId="0" fontId="5" fillId="8" borderId="2" xfId="0" applyFont="1" applyFill="1" applyBorder="1" applyAlignment="1">
      <alignment horizontal="left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8" borderId="0" xfId="0" applyFont="1" applyFill="1"/>
    <xf numFmtId="49" fontId="5" fillId="0" borderId="0" xfId="0" applyNumberFormat="1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/>
    </xf>
    <xf numFmtId="49" fontId="5" fillId="10" borderId="0" xfId="0" applyNumberFormat="1" applyFont="1" applyFill="1"/>
    <xf numFmtId="49" fontId="5" fillId="10" borderId="2" xfId="0" applyNumberFormat="1" applyFont="1" applyFill="1" applyBorder="1"/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6" fillId="10" borderId="7" xfId="0" applyFont="1" applyFill="1" applyBorder="1" applyAlignment="1">
      <alignment vertical="center"/>
    </xf>
    <xf numFmtId="0" fontId="5" fillId="10" borderId="0" xfId="0" applyFont="1" applyFill="1" applyAlignment="1">
      <alignment horizontal="left" wrapText="1"/>
    </xf>
    <xf numFmtId="0" fontId="10" fillId="0" borderId="2" xfId="0" applyFont="1" applyBorder="1"/>
    <xf numFmtId="0" fontId="10" fillId="10" borderId="2" xfId="0" applyFont="1" applyFill="1" applyBorder="1"/>
    <xf numFmtId="0" fontId="10" fillId="0" borderId="2" xfId="0" applyFont="1" applyBorder="1" applyAlignment="1">
      <alignment horizontal="center"/>
    </xf>
    <xf numFmtId="0" fontId="10" fillId="0" borderId="0" xfId="0" applyFont="1"/>
    <xf numFmtId="49" fontId="10" fillId="0" borderId="2" xfId="0" applyNumberFormat="1" applyFont="1" applyBorder="1"/>
    <xf numFmtId="49" fontId="10" fillId="0" borderId="2" xfId="0" applyNumberFormat="1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10" fillId="10" borderId="2" xfId="0" applyFont="1" applyFill="1" applyBorder="1" applyAlignment="1">
      <alignment horizontal="left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49" fontId="10" fillId="0" borderId="0" xfId="0" applyNumberFormat="1" applyFont="1"/>
    <xf numFmtId="49" fontId="10" fillId="10" borderId="0" xfId="0" applyNumberFormat="1" applyFont="1" applyFill="1"/>
    <xf numFmtId="0" fontId="10" fillId="0" borderId="0" xfId="0" applyFont="1" applyAlignment="1">
      <alignment horizontal="center"/>
    </xf>
    <xf numFmtId="49" fontId="10" fillId="10" borderId="2" xfId="0" applyNumberFormat="1" applyFont="1" applyFill="1" applyBorder="1"/>
    <xf numFmtId="0" fontId="0" fillId="0" borderId="0" xfId="0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11" borderId="0" xfId="0" applyFill="1"/>
    <xf numFmtId="0" fontId="13" fillId="8" borderId="0" xfId="0" applyFont="1" applyFill="1" applyAlignment="1">
      <alignment horizontal="center"/>
    </xf>
    <xf numFmtId="164" fontId="0" fillId="0" borderId="0" xfId="0" applyNumberFormat="1"/>
    <xf numFmtId="0" fontId="20" fillId="8" borderId="0" xfId="0" applyFont="1" applyFill="1" applyAlignment="1">
      <alignment horizontal="center" vertical="center"/>
    </xf>
    <xf numFmtId="0" fontId="21" fillId="3" borderId="0" xfId="21"/>
    <xf numFmtId="0" fontId="19" fillId="2" borderId="0" xfId="20" applyAlignment="1">
      <alignment horizontal="center" vertical="center"/>
    </xf>
    <xf numFmtId="0" fontId="21" fillId="3" borderId="0" xfId="21" applyAlignment="1">
      <alignment horizontal="center" vertical="center"/>
    </xf>
    <xf numFmtId="0" fontId="13" fillId="8" borderId="0" xfId="0" applyFont="1" applyFill="1" applyAlignment="1">
      <alignment vertical="center"/>
    </xf>
    <xf numFmtId="164" fontId="13" fillId="8" borderId="0" xfId="0" applyNumberFormat="1" applyFont="1" applyFill="1" applyAlignment="1">
      <alignment horizontal="center" vertical="center"/>
    </xf>
    <xf numFmtId="164" fontId="13" fillId="8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5" xfId="0" applyFont="1" applyBorder="1"/>
    <xf numFmtId="0" fontId="16" fillId="0" borderId="5" xfId="0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22" fillId="4" borderId="12" xfId="22" applyBorder="1"/>
    <xf numFmtId="0" fontId="13" fillId="8" borderId="0" xfId="0" applyFont="1" applyFill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5" xfId="0" applyFont="1" applyBorder="1" applyAlignment="1">
      <alignment horizontal="left" vertical="top"/>
    </xf>
    <xf numFmtId="164" fontId="16" fillId="0" borderId="5" xfId="0" applyNumberFormat="1" applyFont="1" applyBorder="1" applyAlignment="1">
      <alignment horizontal="left" vertical="center"/>
    </xf>
    <xf numFmtId="164" fontId="16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20" fillId="8" borderId="5" xfId="0" applyFont="1" applyFill="1" applyBorder="1" applyAlignment="1">
      <alignment horizontal="center" vertical="center"/>
    </xf>
    <xf numFmtId="164" fontId="20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/>
    </xf>
    <xf numFmtId="0" fontId="0" fillId="0" borderId="5" xfId="0" applyBorder="1"/>
    <xf numFmtId="164" fontId="0" fillId="0" borderId="5" xfId="0" applyNumberFormat="1" applyBorder="1"/>
    <xf numFmtId="0" fontId="24" fillId="0" borderId="5" xfId="0" applyFont="1" applyBorder="1"/>
    <xf numFmtId="0" fontId="24" fillId="0" borderId="5" xfId="0" applyFont="1" applyBorder="1" applyAlignment="1">
      <alignment horizontal="center"/>
    </xf>
    <xf numFmtId="164" fontId="24" fillId="0" borderId="5" xfId="0" applyNumberFormat="1" applyFont="1" applyBorder="1"/>
    <xf numFmtId="0" fontId="23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164" fontId="13" fillId="8" borderId="0" xfId="0" applyNumberFormat="1" applyFont="1" applyFill="1" applyAlignment="1">
      <alignment horizontal="left" vertical="center"/>
    </xf>
    <xf numFmtId="164" fontId="14" fillId="0" borderId="5" xfId="0" applyNumberFormat="1" applyFont="1" applyBorder="1" applyAlignment="1">
      <alignment horizontal="left"/>
    </xf>
    <xf numFmtId="164" fontId="14" fillId="0" borderId="0" xfId="0" applyNumberFormat="1" applyFont="1" applyAlignment="1">
      <alignment horizontal="left"/>
    </xf>
    <xf numFmtId="0" fontId="13" fillId="8" borderId="0" xfId="0" applyFont="1" applyFill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/>
    <xf numFmtId="0" fontId="25" fillId="3" borderId="0" xfId="21" applyFont="1"/>
    <xf numFmtId="0" fontId="23" fillId="0" borderId="5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Neutral" xfId="21" builtinId="28"/>
    <cellStyle name="Calculation" xfId="22" builtinId="2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" Type="http://schemas.openxmlformats.org/officeDocument/2006/relationships/theme" Target="theme/theme1.xml" /><Relationship Id="rId2" Type="http://schemas.microsoft.com/office/2017/10/relationships/person" Target="persons/person.xml" /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9" Type="http://schemas.openxmlformats.org/officeDocument/2006/relationships/worksheet" Target="worksheets/sheet6.xml" /><Relationship Id="rId15" Type="http://schemas.openxmlformats.org/officeDocument/2006/relationships/calcChain" Target="calcChain.xml" /><Relationship Id="rId1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ehouse" id="{D8A572ED-977E-47D9-B373-219478E61278}" userId="S-1-5-21-3690086992-72211959-3538062833-112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3.xml><?xml version="1.0" encoding="utf-8"?>
<ThreadedComments xmlns="http://schemas.microsoft.com/office/spreadsheetml/2018/threadedcomments" xmlns:x="http://schemas.openxmlformats.org/spreadsheetml/2006/main">
  <threadedComment ref="H55" dT="2024-01-25T09:19:18" personId="{D8A572ED-977E-47D9-B373-219478E61278}" id="{621D5362-CA44-46E1-B140-E7332A83EAE8}">
    <text xml:space="preserve">UNIT ? </text>
  </threadedComment>
</ThreadedComments>
</file>

<file path=xl/threadedComments/threadedComments6.xml><?xml version="1.0" encoding="utf-8"?>
<ThreadedComments xmlns="http://schemas.microsoft.com/office/spreadsheetml/2018/threadedcomments" xmlns:x="http://schemas.openxmlformats.org/spreadsheetml/2006/main">
  <threadedComment ref="H8" dT="2024-01-25T11:27:40" personId="{D8A572ED-977E-47D9-B373-219478E61278}" id="{FAE0D667-B9EF-40A1-978D-B41F4ED26B79}">
    <text xml:space="preserve">Is It 1200 KG ?
</text>
  </threadedComment>
  <threadedComment ref="F11" dT="2024-01-25T11:38:42" personId="{D8A572ED-977E-47D9-B373-219478E61278}" id="{DF0729EE-2BC3-4CF5-98E8-B4E05B80819A}">
    <text>Do we need to write size also ?</text>
  </threadedComment>
</ThreadedComment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microsoft.com/office/2017/10/relationships/threadedComment" Target="../threadedComments/threadedComments3.xml" /><Relationship Id="rId3" Type="http://schemas.openxmlformats.org/officeDocument/2006/relationships/vmlDrawing" Target="../drawings/vmlDrawing1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microsoft.com/office/2017/10/relationships/threadedComment" Target="../threadedComments/threadedComments6.xml" /><Relationship Id="rId3" Type="http://schemas.openxmlformats.org/officeDocument/2006/relationships/vmlDrawing" Target="../drawings/vmlDrawing2.v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find-and-update.company-information.service.gov.uk/company/02826665" TargetMode="Externa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https://find-and-update.company-information.service.gov.uk/company/02826665" TargetMode="External" /><Relationship Id="rId2" Type="http://schemas.openxmlformats.org/officeDocument/2006/relationships/comments" Target="../comments10.xml" /><Relationship Id="rId3" Type="http://schemas.openxmlformats.org/officeDocument/2006/relationships/vmlDrawing" Target="../drawings/vmlDrawing3.vml" /><Relationship Id="rId4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B2D36B-76D6-4FA1-B5C2-EC13F1F2694B}">
  <dimension ref="A1:AI58"/>
  <sheetViews>
    <sheetView zoomScale="70" zoomScaleNormal="70" workbookViewId="0" topLeftCell="A1">
      <pane ySplit="1" topLeftCell="A37" activePane="bottomLeft" state="frozen"/>
      <selection pane="topLeft" activeCell="A1" sqref="A1"/>
      <selection pane="bottomLeft" activeCell="E64" sqref="E64"/>
    </sheetView>
  </sheetViews>
  <sheetFormatPr defaultRowHeight="15"/>
  <cols>
    <col min="1" max="1" width="8.57142857142857" style="120" bestFit="1" customWidth="1"/>
    <col min="2" max="2" width="16.1428571428571" style="120" bestFit="1" customWidth="1"/>
    <col min="3" max="3" width="20.4285714285714" style="120" bestFit="1" customWidth="1"/>
    <col min="4" max="4" width="19.2857142857143" style="187" bestFit="1" customWidth="1"/>
    <col min="5" max="5" width="71.5714285714286" style="130" bestFit="1" customWidth="1"/>
    <col min="6" max="6" width="60.7142857142857" style="130" bestFit="1" customWidth="1"/>
    <col min="7" max="7" width="55.1428571428571" bestFit="1" customWidth="1"/>
    <col min="8" max="8" width="12.4285714285714" bestFit="1" customWidth="1"/>
    <col min="9" max="9" width="8.14285714285714" bestFit="1" customWidth="1"/>
    <col min="10" max="10" width="14.7142857142857" style="120" bestFit="1" customWidth="1"/>
    <col min="11" max="11" width="9.85714285714286" style="134" bestFit="1" customWidth="1"/>
    <col min="12" max="12" width="17.2857142857143" customWidth="1"/>
  </cols>
  <sheetData>
    <row r="1" spans="1:12" s="121" customFormat="1" ht="15.75">
      <c r="A1" s="121" t="s">
        <v>1785</v>
      </c>
      <c r="B1" s="121" t="s">
        <v>1729</v>
      </c>
      <c r="C1" s="121" t="s">
        <v>1730</v>
      </c>
      <c r="D1" s="139" t="s">
        <v>0</v>
      </c>
      <c r="E1" s="122" t="s">
        <v>1</v>
      </c>
      <c r="F1" s="122" t="s">
        <v>1060</v>
      </c>
      <c r="G1" s="121" t="s">
        <v>2</v>
      </c>
      <c r="H1" s="121" t="s">
        <v>3</v>
      </c>
      <c r="I1" s="121" t="s">
        <v>1917</v>
      </c>
      <c r="J1" s="133" t="s">
        <v>1026</v>
      </c>
      <c r="K1" s="140" t="s">
        <v>1915</v>
      </c>
      <c r="L1" s="121" t="s">
        <v>2073</v>
      </c>
    </row>
    <row r="2" spans="1:11" ht="18.75">
      <c r="A2" s="148">
        <v>1996</v>
      </c>
      <c r="B2" s="148" t="s">
        <v>1678</v>
      </c>
      <c r="C2" s="148" t="s">
        <v>1782</v>
      </c>
      <c r="D2" s="185" t="s">
        <v>39</v>
      </c>
      <c r="E2" s="169" t="s">
        <v>40</v>
      </c>
      <c r="F2" s="169" t="s">
        <v>1063</v>
      </c>
      <c r="G2" s="148" t="s">
        <v>41</v>
      </c>
      <c r="H2" s="148" t="s">
        <v>42</v>
      </c>
      <c r="I2" s="148">
        <v>287</v>
      </c>
      <c r="J2" s="148" t="s">
        <v>1665</v>
      </c>
      <c r="K2" s="149">
        <v>10.60</v>
      </c>
    </row>
    <row r="3" spans="1:11" ht="18.75">
      <c r="A3" s="148">
        <v>1997</v>
      </c>
      <c r="B3" s="148" t="s">
        <v>1679</v>
      </c>
      <c r="C3" s="148" t="s">
        <v>1782</v>
      </c>
      <c r="D3" s="185" t="s">
        <v>98</v>
      </c>
      <c r="E3" s="169" t="s">
        <v>99</v>
      </c>
      <c r="F3" s="169" t="s">
        <v>1091</v>
      </c>
      <c r="G3" s="148" t="s">
        <v>41</v>
      </c>
      <c r="H3" s="148" t="s">
        <v>42</v>
      </c>
      <c r="I3" s="148">
        <v>289</v>
      </c>
      <c r="J3" s="148" t="s">
        <v>1403</v>
      </c>
      <c r="K3" s="149">
        <v>9</v>
      </c>
    </row>
    <row r="4" spans="1:11" ht="18.75">
      <c r="A4" s="148">
        <v>1998</v>
      </c>
      <c r="B4" s="148" t="s">
        <v>1680</v>
      </c>
      <c r="C4" s="148" t="s">
        <v>1759</v>
      </c>
      <c r="D4" s="185" t="s">
        <v>359</v>
      </c>
      <c r="E4" s="169" t="s">
        <v>360</v>
      </c>
      <c r="F4" s="169" t="s">
        <v>1175</v>
      </c>
      <c r="G4" s="148" t="s">
        <v>361</v>
      </c>
      <c r="H4" s="148" t="s">
        <v>117</v>
      </c>
      <c r="I4" s="148">
        <v>290</v>
      </c>
      <c r="J4" s="148" t="s">
        <v>1676</v>
      </c>
      <c r="K4" s="149">
        <v>17.40</v>
      </c>
    </row>
    <row r="5" spans="1:11" ht="18.75">
      <c r="A5" s="148">
        <v>1999</v>
      </c>
      <c r="B5" s="148" t="s">
        <v>1681</v>
      </c>
      <c r="C5" s="148" t="s">
        <v>1782</v>
      </c>
      <c r="D5" s="185" t="s">
        <v>88</v>
      </c>
      <c r="E5" s="169" t="s">
        <v>89</v>
      </c>
      <c r="F5" s="169" t="s">
        <v>1086</v>
      </c>
      <c r="G5" s="148" t="s">
        <v>41</v>
      </c>
      <c r="H5" s="148" t="s">
        <v>42</v>
      </c>
      <c r="I5" s="148">
        <v>291</v>
      </c>
      <c r="J5" s="148" t="s">
        <v>1552</v>
      </c>
      <c r="K5" s="149">
        <v>6.40</v>
      </c>
    </row>
    <row r="6" spans="1:11" ht="18.75">
      <c r="A6" s="148">
        <v>2000</v>
      </c>
      <c r="B6" s="148" t="s">
        <v>1682</v>
      </c>
      <c r="C6" s="148" t="s">
        <v>1764</v>
      </c>
      <c r="D6" s="185" t="s">
        <v>82</v>
      </c>
      <c r="E6" s="169" t="s">
        <v>83</v>
      </c>
      <c r="F6" s="169" t="s">
        <v>1082</v>
      </c>
      <c r="G6" s="148" t="s">
        <v>41</v>
      </c>
      <c r="H6" s="148" t="s">
        <v>42</v>
      </c>
      <c r="I6" s="148">
        <v>292</v>
      </c>
      <c r="J6" s="148" t="s">
        <v>1554</v>
      </c>
      <c r="K6" s="149">
        <v>13.50</v>
      </c>
    </row>
    <row r="7" spans="1:11" ht="18.75">
      <c r="A7" s="148">
        <v>2001</v>
      </c>
      <c r="B7" s="148" t="s">
        <v>1683</v>
      </c>
      <c r="C7" s="148" t="s">
        <v>1780</v>
      </c>
      <c r="D7" s="185" t="s">
        <v>84</v>
      </c>
      <c r="E7" s="169" t="s">
        <v>85</v>
      </c>
      <c r="F7" s="169" t="s">
        <v>1083</v>
      </c>
      <c r="G7" s="148" t="s">
        <v>41</v>
      </c>
      <c r="H7" s="148" t="s">
        <v>42</v>
      </c>
      <c r="I7" s="148">
        <v>293</v>
      </c>
      <c r="J7" s="148" t="s">
        <v>1557</v>
      </c>
      <c r="K7" s="149">
        <v>14.50</v>
      </c>
    </row>
    <row r="8" spans="1:11" ht="18.75">
      <c r="A8" s="148">
        <v>2002</v>
      </c>
      <c r="B8" s="148" t="s">
        <v>1684</v>
      </c>
      <c r="C8" s="148" t="s">
        <v>1759</v>
      </c>
      <c r="D8" s="185" t="s">
        <v>72</v>
      </c>
      <c r="E8" s="169" t="s">
        <v>73</v>
      </c>
      <c r="F8" s="169" t="s">
        <v>1077</v>
      </c>
      <c r="G8" s="148" t="s">
        <v>41</v>
      </c>
      <c r="H8" s="148" t="s">
        <v>42</v>
      </c>
      <c r="I8" s="148">
        <v>295</v>
      </c>
      <c r="J8" s="148" t="s">
        <v>1551</v>
      </c>
      <c r="K8" s="149">
        <v>10.70</v>
      </c>
    </row>
    <row r="9" spans="1:11" ht="18.75">
      <c r="A9" s="148">
        <v>2003</v>
      </c>
      <c r="B9" s="148" t="s">
        <v>1685</v>
      </c>
      <c r="C9" s="148" t="s">
        <v>1759</v>
      </c>
      <c r="D9" s="185" t="s">
        <v>112</v>
      </c>
      <c r="E9" s="169" t="s">
        <v>113</v>
      </c>
      <c r="F9" s="169" t="s">
        <v>1096</v>
      </c>
      <c r="G9" s="148" t="s">
        <v>41</v>
      </c>
      <c r="H9" s="148" t="s">
        <v>42</v>
      </c>
      <c r="I9" s="148">
        <v>296</v>
      </c>
      <c r="J9" s="148">
        <v>5001</v>
      </c>
      <c r="K9" s="149">
        <v>7.50</v>
      </c>
    </row>
    <row r="10" spans="1:11" ht="18.75">
      <c r="A10" s="148">
        <v>2004</v>
      </c>
      <c r="B10" s="148" t="s">
        <v>1686</v>
      </c>
      <c r="C10" s="148" t="s">
        <v>1782</v>
      </c>
      <c r="D10" s="185" t="s">
        <v>528</v>
      </c>
      <c r="E10" s="169" t="s">
        <v>529</v>
      </c>
      <c r="F10" s="169" t="s">
        <v>1234</v>
      </c>
      <c r="G10" s="148" t="s">
        <v>525</v>
      </c>
      <c r="H10" s="148" t="s">
        <v>230</v>
      </c>
      <c r="I10" s="148">
        <v>297</v>
      </c>
      <c r="J10" s="148" t="s">
        <v>1677</v>
      </c>
      <c r="K10" s="149">
        <v>24.90</v>
      </c>
    </row>
    <row r="11" spans="1:11" ht="18.75">
      <c r="A11" s="148">
        <v>2005</v>
      </c>
      <c r="B11" s="148" t="s">
        <v>1687</v>
      </c>
      <c r="C11" s="148" t="s">
        <v>1780</v>
      </c>
      <c r="D11" s="185" t="s">
        <v>169</v>
      </c>
      <c r="E11" s="169" t="s">
        <v>170</v>
      </c>
      <c r="F11" s="169" t="s">
        <v>1112</v>
      </c>
      <c r="G11" s="148" t="s">
        <v>171</v>
      </c>
      <c r="H11" s="148" t="s">
        <v>18</v>
      </c>
      <c r="I11" s="148">
        <v>298</v>
      </c>
      <c r="J11" s="148" t="s">
        <v>1555</v>
      </c>
      <c r="K11" s="149">
        <v>36.75</v>
      </c>
    </row>
    <row r="12" spans="1:11" ht="18.75">
      <c r="A12" s="148">
        <v>2006</v>
      </c>
      <c r="B12" s="148" t="s">
        <v>1688</v>
      </c>
      <c r="C12" s="148" t="s">
        <v>1778</v>
      </c>
      <c r="D12" s="185" t="s">
        <v>90</v>
      </c>
      <c r="E12" s="169" t="s">
        <v>91</v>
      </c>
      <c r="F12" s="169" t="s">
        <v>1087</v>
      </c>
      <c r="G12" s="148" t="s">
        <v>41</v>
      </c>
      <c r="H12" s="148" t="s">
        <v>42</v>
      </c>
      <c r="I12" s="148">
        <v>299</v>
      </c>
      <c r="J12" s="148" t="s">
        <v>1670</v>
      </c>
      <c r="K12" s="149">
        <v>13</v>
      </c>
    </row>
    <row r="13" spans="1:11" ht="18.75">
      <c r="A13" s="148">
        <v>2007</v>
      </c>
      <c r="B13" s="148" t="s">
        <v>1689</v>
      </c>
      <c r="C13" s="148" t="s">
        <v>1777</v>
      </c>
      <c r="D13" s="185" t="s">
        <v>225</v>
      </c>
      <c r="E13" s="169" t="s">
        <v>226</v>
      </c>
      <c r="F13" s="169" t="s">
        <v>1130</v>
      </c>
      <c r="G13" s="148" t="s">
        <v>227</v>
      </c>
      <c r="H13" s="148" t="s">
        <v>104</v>
      </c>
      <c r="I13" s="148">
        <v>300</v>
      </c>
      <c r="J13" s="148">
        <v>5103</v>
      </c>
      <c r="K13" s="149">
        <v>13.65</v>
      </c>
    </row>
    <row r="14" spans="1:11" ht="18.75">
      <c r="A14" s="148">
        <v>2008</v>
      </c>
      <c r="B14" s="148" t="s">
        <v>1690</v>
      </c>
      <c r="C14" s="148" t="s">
        <v>1764</v>
      </c>
      <c r="D14" s="185" t="s">
        <v>52</v>
      </c>
      <c r="E14" s="169" t="s">
        <v>53</v>
      </c>
      <c r="F14" s="169" t="s">
        <v>1067</v>
      </c>
      <c r="G14" s="148" t="s">
        <v>41</v>
      </c>
      <c r="H14" s="148" t="s">
        <v>42</v>
      </c>
      <c r="I14" s="148">
        <v>301</v>
      </c>
      <c r="J14" s="148" t="s">
        <v>1554</v>
      </c>
      <c r="K14" s="149">
        <v>13.50</v>
      </c>
    </row>
    <row r="15" spans="1:11" ht="18.75">
      <c r="A15" s="148">
        <v>2009</v>
      </c>
      <c r="B15" s="148" t="s">
        <v>1691</v>
      </c>
      <c r="C15" s="148" t="s">
        <v>1776</v>
      </c>
      <c r="D15" s="185" t="s">
        <v>58</v>
      </c>
      <c r="E15" s="169" t="s">
        <v>59</v>
      </c>
      <c r="F15" s="169" t="s">
        <v>1070</v>
      </c>
      <c r="G15" s="148" t="s">
        <v>41</v>
      </c>
      <c r="H15" s="148" t="s">
        <v>42</v>
      </c>
      <c r="I15" s="148">
        <v>302</v>
      </c>
      <c r="J15" s="148" t="s">
        <v>1560</v>
      </c>
      <c r="K15" s="149">
        <v>11.50</v>
      </c>
    </row>
    <row r="16" spans="1:11" ht="18.75">
      <c r="A16" s="148">
        <v>2010</v>
      </c>
      <c r="B16" s="148" t="s">
        <v>1692</v>
      </c>
      <c r="C16" s="148" t="s">
        <v>1778</v>
      </c>
      <c r="D16" s="185" t="s">
        <v>100</v>
      </c>
      <c r="E16" s="169" t="s">
        <v>101</v>
      </c>
      <c r="F16" s="169" t="s">
        <v>1092</v>
      </c>
      <c r="G16" s="148" t="s">
        <v>41</v>
      </c>
      <c r="H16" s="148" t="s">
        <v>42</v>
      </c>
      <c r="I16" s="148">
        <v>303</v>
      </c>
      <c r="J16" s="148">
        <v>5612</v>
      </c>
      <c r="K16" s="149">
        <v>12</v>
      </c>
    </row>
    <row r="17" spans="1:11" ht="18.75">
      <c r="A17" s="148">
        <v>2011</v>
      </c>
      <c r="B17" s="148" t="s">
        <v>1693</v>
      </c>
      <c r="C17" s="148" t="s">
        <v>1770</v>
      </c>
      <c r="D17" s="185" t="s">
        <v>64</v>
      </c>
      <c r="E17" s="169" t="s">
        <v>65</v>
      </c>
      <c r="F17" s="169" t="s">
        <v>1073</v>
      </c>
      <c r="G17" s="148" t="s">
        <v>41</v>
      </c>
      <c r="H17" s="148" t="s">
        <v>42</v>
      </c>
      <c r="I17" s="148">
        <v>304</v>
      </c>
      <c r="J17" s="148" t="s">
        <v>1544</v>
      </c>
      <c r="K17" s="149">
        <v>14.50</v>
      </c>
    </row>
    <row r="18" spans="1:11" ht="18.75">
      <c r="A18" s="148">
        <v>2012</v>
      </c>
      <c r="B18" s="148" t="s">
        <v>1694</v>
      </c>
      <c r="C18" s="148" t="s">
        <v>1765</v>
      </c>
      <c r="D18" s="185" t="s">
        <v>56</v>
      </c>
      <c r="E18" s="169" t="s">
        <v>57</v>
      </c>
      <c r="F18" s="169" t="s">
        <v>1069</v>
      </c>
      <c r="G18" s="148" t="s">
        <v>41</v>
      </c>
      <c r="H18" s="148" t="s">
        <v>42</v>
      </c>
      <c r="I18" s="148">
        <v>305</v>
      </c>
      <c r="J18" s="148" t="s">
        <v>1558</v>
      </c>
      <c r="K18" s="149">
        <v>11.50</v>
      </c>
    </row>
    <row r="19" spans="1:11" ht="18.75">
      <c r="A19" s="148">
        <v>2013</v>
      </c>
      <c r="B19" s="148" t="s">
        <v>1695</v>
      </c>
      <c r="C19" s="148" t="s">
        <v>1764</v>
      </c>
      <c r="D19" s="185" t="s">
        <v>70</v>
      </c>
      <c r="E19" s="169" t="s">
        <v>71</v>
      </c>
      <c r="F19" s="169" t="s">
        <v>1076</v>
      </c>
      <c r="G19" s="148" t="s">
        <v>41</v>
      </c>
      <c r="H19" s="148" t="s">
        <v>42</v>
      </c>
      <c r="I19" s="148">
        <v>306</v>
      </c>
      <c r="J19" s="148" t="s">
        <v>1554</v>
      </c>
      <c r="K19" s="149">
        <v>13</v>
      </c>
    </row>
    <row r="20" spans="1:11" ht="18.75">
      <c r="A20" s="148">
        <v>2014</v>
      </c>
      <c r="B20" s="148" t="s">
        <v>1696</v>
      </c>
      <c r="C20" s="148" t="s">
        <v>1782</v>
      </c>
      <c r="D20" s="185" t="s">
        <v>60</v>
      </c>
      <c r="E20" s="169" t="s">
        <v>61</v>
      </c>
      <c r="F20" s="169" t="s">
        <v>1071</v>
      </c>
      <c r="G20" s="148" t="s">
        <v>41</v>
      </c>
      <c r="H20" s="148" t="s">
        <v>42</v>
      </c>
      <c r="I20" s="148">
        <v>307</v>
      </c>
      <c r="J20" s="148" t="s">
        <v>1666</v>
      </c>
      <c r="K20" s="149">
        <v>24.50</v>
      </c>
    </row>
    <row r="21" spans="1:11" ht="18.75">
      <c r="A21" s="148">
        <v>2015</v>
      </c>
      <c r="B21" s="148" t="s">
        <v>1697</v>
      </c>
      <c r="C21" s="148" t="s">
        <v>1782</v>
      </c>
      <c r="D21" s="185" t="s">
        <v>74</v>
      </c>
      <c r="E21" s="169" t="s">
        <v>75</v>
      </c>
      <c r="F21" s="169" t="s">
        <v>1078</v>
      </c>
      <c r="G21" s="148" t="s">
        <v>41</v>
      </c>
      <c r="H21" s="148" t="s">
        <v>42</v>
      </c>
      <c r="I21" s="148">
        <v>308</v>
      </c>
      <c r="J21" s="148" t="s">
        <v>1667</v>
      </c>
      <c r="K21" s="149">
        <v>11</v>
      </c>
    </row>
    <row r="22" spans="1:11" ht="18.75">
      <c r="A22" s="148">
        <v>2016</v>
      </c>
      <c r="B22" s="148" t="s">
        <v>1698</v>
      </c>
      <c r="C22" s="148" t="s">
        <v>1769</v>
      </c>
      <c r="D22" s="185" t="s">
        <v>228</v>
      </c>
      <c r="E22" s="169" t="s">
        <v>229</v>
      </c>
      <c r="F22" s="169" t="s">
        <v>1131</v>
      </c>
      <c r="G22" s="148" t="s">
        <v>227</v>
      </c>
      <c r="H22" s="148" t="s">
        <v>230</v>
      </c>
      <c r="I22" s="148">
        <v>309</v>
      </c>
      <c r="J22" s="148">
        <v>5100</v>
      </c>
      <c r="K22" s="149">
        <v>17.80</v>
      </c>
    </row>
    <row r="23" spans="1:11" ht="18.75">
      <c r="A23" s="148">
        <v>2017</v>
      </c>
      <c r="B23" s="148" t="s">
        <v>1699</v>
      </c>
      <c r="C23" s="148" t="s">
        <v>1780</v>
      </c>
      <c r="D23" s="185" t="s">
        <v>43</v>
      </c>
      <c r="E23" s="169" t="s">
        <v>44</v>
      </c>
      <c r="F23" s="169" t="s">
        <v>1064</v>
      </c>
      <c r="G23" s="148" t="s">
        <v>41</v>
      </c>
      <c r="H23" s="148" t="s">
        <v>45</v>
      </c>
      <c r="I23" s="148">
        <v>310</v>
      </c>
      <c r="J23" s="148" t="s">
        <v>1559</v>
      </c>
      <c r="K23" s="149">
        <v>10</v>
      </c>
    </row>
    <row r="24" spans="1:11" ht="18.75">
      <c r="A24" s="148">
        <v>2018</v>
      </c>
      <c r="B24" s="148" t="s">
        <v>1700</v>
      </c>
      <c r="C24" s="148" t="s">
        <v>1764</v>
      </c>
      <c r="D24" s="185" t="s">
        <v>50</v>
      </c>
      <c r="E24" s="169" t="s">
        <v>51</v>
      </c>
      <c r="F24" s="169" t="s">
        <v>1066</v>
      </c>
      <c r="G24" s="148" t="s">
        <v>41</v>
      </c>
      <c r="H24" s="148" t="s">
        <v>42</v>
      </c>
      <c r="I24" s="148">
        <v>311</v>
      </c>
      <c r="J24" s="148" t="s">
        <v>1554</v>
      </c>
      <c r="K24" s="149">
        <v>13</v>
      </c>
    </row>
    <row r="25" spans="1:11" ht="18.75">
      <c r="A25" s="148">
        <v>2019</v>
      </c>
      <c r="B25" s="148" t="s">
        <v>1701</v>
      </c>
      <c r="C25" s="148" t="s">
        <v>1776</v>
      </c>
      <c r="D25" s="185" t="s">
        <v>66</v>
      </c>
      <c r="E25" s="169" t="s">
        <v>67</v>
      </c>
      <c r="F25" s="169" t="s">
        <v>1074</v>
      </c>
      <c r="G25" s="148" t="s">
        <v>41</v>
      </c>
      <c r="H25" s="148" t="s">
        <v>42</v>
      </c>
      <c r="I25" s="148">
        <v>312</v>
      </c>
      <c r="J25" s="148" t="s">
        <v>1560</v>
      </c>
      <c r="K25" s="149">
        <v>15</v>
      </c>
    </row>
    <row r="26" spans="1:11" ht="18.75">
      <c r="A26" s="148">
        <v>2020</v>
      </c>
      <c r="B26" s="148" t="s">
        <v>1702</v>
      </c>
      <c r="C26" s="148" t="s">
        <v>1771</v>
      </c>
      <c r="D26" s="185" t="s">
        <v>62</v>
      </c>
      <c r="E26" s="169" t="s">
        <v>63</v>
      </c>
      <c r="F26" s="169" t="s">
        <v>1072</v>
      </c>
      <c r="G26" s="148" t="s">
        <v>41</v>
      </c>
      <c r="H26" s="148" t="s">
        <v>42</v>
      </c>
      <c r="I26" s="148">
        <v>313</v>
      </c>
      <c r="J26" s="148" t="s">
        <v>1535</v>
      </c>
      <c r="K26" s="149">
        <v>19</v>
      </c>
    </row>
    <row r="27" spans="1:11" ht="18.75">
      <c r="A27" s="148">
        <v>2021</v>
      </c>
      <c r="B27" s="148" t="s">
        <v>1703</v>
      </c>
      <c r="C27" s="148" t="s">
        <v>1782</v>
      </c>
      <c r="D27" s="185" t="s">
        <v>80</v>
      </c>
      <c r="E27" s="169" t="s">
        <v>81</v>
      </c>
      <c r="F27" s="169" t="s">
        <v>1081</v>
      </c>
      <c r="G27" s="148" t="s">
        <v>41</v>
      </c>
      <c r="H27" s="148" t="s">
        <v>42</v>
      </c>
      <c r="I27" s="148">
        <v>314</v>
      </c>
      <c r="J27" s="148" t="s">
        <v>1556</v>
      </c>
      <c r="K27" s="149">
        <v>16</v>
      </c>
    </row>
    <row r="28" spans="1:11" ht="18.75">
      <c r="A28" s="148">
        <v>2022</v>
      </c>
      <c r="B28" s="148" t="s">
        <v>1704</v>
      </c>
      <c r="C28" s="148" t="s">
        <v>1778</v>
      </c>
      <c r="D28" s="185" t="s">
        <v>92</v>
      </c>
      <c r="E28" s="169" t="s">
        <v>93</v>
      </c>
      <c r="F28" s="169" t="s">
        <v>1088</v>
      </c>
      <c r="G28" s="148" t="s">
        <v>41</v>
      </c>
      <c r="H28" s="148" t="s">
        <v>42</v>
      </c>
      <c r="I28" s="148">
        <v>315</v>
      </c>
      <c r="J28" s="148">
        <v>5625</v>
      </c>
      <c r="K28" s="149">
        <v>14.50</v>
      </c>
    </row>
    <row r="29" spans="1:11" ht="18.75">
      <c r="A29" s="148">
        <v>2023</v>
      </c>
      <c r="B29" s="148" t="s">
        <v>1705</v>
      </c>
      <c r="C29" s="148" t="s">
        <v>1778</v>
      </c>
      <c r="D29" s="185" t="s">
        <v>94</v>
      </c>
      <c r="E29" s="169" t="s">
        <v>95</v>
      </c>
      <c r="F29" s="169" t="s">
        <v>1089</v>
      </c>
      <c r="G29" s="148" t="s">
        <v>41</v>
      </c>
      <c r="H29" s="148" t="s">
        <v>42</v>
      </c>
      <c r="I29" s="148">
        <v>316</v>
      </c>
      <c r="J29" s="148" t="s">
        <v>1671</v>
      </c>
      <c r="K29" s="149">
        <v>14.50</v>
      </c>
    </row>
    <row r="30" spans="1:11" ht="18.75">
      <c r="A30" s="148">
        <v>2024</v>
      </c>
      <c r="B30" s="148" t="s">
        <v>1706</v>
      </c>
      <c r="C30" s="148" t="s">
        <v>1771</v>
      </c>
      <c r="D30" s="185" t="s">
        <v>48</v>
      </c>
      <c r="E30" s="169" t="s">
        <v>49</v>
      </c>
      <c r="F30" s="169" t="s">
        <v>1085</v>
      </c>
      <c r="G30" s="148" t="s">
        <v>41</v>
      </c>
      <c r="H30" s="148" t="s">
        <v>42</v>
      </c>
      <c r="I30" s="148">
        <v>317</v>
      </c>
      <c r="J30" s="148" t="s">
        <v>1535</v>
      </c>
      <c r="K30" s="149">
        <v>13.50</v>
      </c>
    </row>
    <row r="31" spans="1:11" ht="18.75">
      <c r="A31" s="148">
        <v>2025</v>
      </c>
      <c r="B31" s="148" t="s">
        <v>1707</v>
      </c>
      <c r="C31" s="148" t="s">
        <v>1782</v>
      </c>
      <c r="D31" s="185" t="s">
        <v>96</v>
      </c>
      <c r="E31" s="169" t="s">
        <v>97</v>
      </c>
      <c r="F31" s="169" t="s">
        <v>1090</v>
      </c>
      <c r="G31" s="148" t="s">
        <v>41</v>
      </c>
      <c r="H31" s="148" t="s">
        <v>42</v>
      </c>
      <c r="I31" s="148">
        <v>318</v>
      </c>
      <c r="J31" s="148">
        <v>5618</v>
      </c>
      <c r="K31" s="149">
        <v>26.50</v>
      </c>
    </row>
    <row r="32" spans="1:35" s="136" customFormat="1" ht="18.75">
      <c r="A32" s="148">
        <v>2026</v>
      </c>
      <c r="B32" s="148" t="s">
        <v>1708</v>
      </c>
      <c r="C32" s="148" t="s">
        <v>1782</v>
      </c>
      <c r="D32" s="185" t="s">
        <v>54</v>
      </c>
      <c r="E32" s="169" t="s">
        <v>55</v>
      </c>
      <c r="F32" s="169" t="s">
        <v>1068</v>
      </c>
      <c r="G32" s="148" t="s">
        <v>41</v>
      </c>
      <c r="H32" s="148" t="s">
        <v>42</v>
      </c>
      <c r="I32" s="148">
        <v>319</v>
      </c>
      <c r="J32" s="148">
        <v>5106</v>
      </c>
      <c r="K32" s="149">
        <v>15.50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11" ht="18.75">
      <c r="A33" s="148">
        <v>2027</v>
      </c>
      <c r="B33" s="148" t="s">
        <v>1709</v>
      </c>
      <c r="C33" s="148" t="s">
        <v>1771</v>
      </c>
      <c r="D33" s="185" t="s">
        <v>105</v>
      </c>
      <c r="E33" s="169" t="s">
        <v>106</v>
      </c>
      <c r="F33" s="169" t="s">
        <v>1093</v>
      </c>
      <c r="G33" s="148" t="s">
        <v>41</v>
      </c>
      <c r="H33" s="148" t="s">
        <v>107</v>
      </c>
      <c r="I33" s="148">
        <v>320</v>
      </c>
      <c r="J33" s="148">
        <v>5501</v>
      </c>
      <c r="K33" s="149">
        <v>26.40</v>
      </c>
    </row>
    <row r="34" spans="1:11" ht="18.75">
      <c r="A34" s="148">
        <v>2028</v>
      </c>
      <c r="B34" s="148" t="s">
        <v>1710</v>
      </c>
      <c r="C34" s="148" t="s">
        <v>1779</v>
      </c>
      <c r="D34" s="185" t="s">
        <v>184</v>
      </c>
      <c r="E34" s="169" t="s">
        <v>185</v>
      </c>
      <c r="F34" s="169" t="s">
        <v>1118</v>
      </c>
      <c r="G34" s="148" t="s">
        <v>171</v>
      </c>
      <c r="H34" s="148" t="s">
        <v>186</v>
      </c>
      <c r="I34" s="148">
        <v>322</v>
      </c>
      <c r="J34" s="148" t="s">
        <v>1674</v>
      </c>
      <c r="K34" s="149">
        <v>54.90</v>
      </c>
    </row>
    <row r="35" spans="1:11" ht="18.75">
      <c r="A35" s="148">
        <v>2029</v>
      </c>
      <c r="B35" s="148" t="s">
        <v>1711</v>
      </c>
      <c r="C35" s="148" t="s">
        <v>1782</v>
      </c>
      <c r="D35" s="185" t="s">
        <v>86</v>
      </c>
      <c r="E35" s="169" t="s">
        <v>87</v>
      </c>
      <c r="F35" s="169" t="s">
        <v>1084</v>
      </c>
      <c r="G35" s="148" t="s">
        <v>41</v>
      </c>
      <c r="H35" s="148" t="s">
        <v>42</v>
      </c>
      <c r="I35" s="148">
        <v>323</v>
      </c>
      <c r="J35" s="148" t="s">
        <v>1669</v>
      </c>
      <c r="K35" s="149">
        <v>11</v>
      </c>
    </row>
    <row r="36" spans="1:11" ht="18.75">
      <c r="A36" s="148">
        <v>2030</v>
      </c>
      <c r="B36" s="148" t="s">
        <v>1712</v>
      </c>
      <c r="C36" s="148" t="s">
        <v>1780</v>
      </c>
      <c r="D36" s="185" t="s">
        <v>172</v>
      </c>
      <c r="E36" s="169" t="s">
        <v>173</v>
      </c>
      <c r="F36" s="169" t="s">
        <v>1113</v>
      </c>
      <c r="G36" s="148" t="s">
        <v>171</v>
      </c>
      <c r="H36" s="148" t="s">
        <v>18</v>
      </c>
      <c r="I36" s="148">
        <v>324</v>
      </c>
      <c r="J36" s="148" t="s">
        <v>1672</v>
      </c>
      <c r="K36" s="149">
        <v>29.25</v>
      </c>
    </row>
    <row r="37" spans="1:35" s="136" customFormat="1" ht="18.75">
      <c r="A37" s="148">
        <v>2031</v>
      </c>
      <c r="B37" s="148" t="s">
        <v>1713</v>
      </c>
      <c r="C37" s="148" t="s">
        <v>1768</v>
      </c>
      <c r="D37" s="185" t="s">
        <v>235</v>
      </c>
      <c r="E37" s="169" t="s">
        <v>236</v>
      </c>
      <c r="F37" s="169" t="s">
        <v>1105</v>
      </c>
      <c r="G37" s="148" t="s">
        <v>237</v>
      </c>
      <c r="H37" s="148" t="s">
        <v>141</v>
      </c>
      <c r="I37" s="148">
        <v>325</v>
      </c>
      <c r="J37" s="148">
        <v>5109</v>
      </c>
      <c r="K37" s="149">
        <v>18.60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11" ht="18.75">
      <c r="A38" s="148">
        <v>2032</v>
      </c>
      <c r="B38" s="148" t="s">
        <v>1714</v>
      </c>
      <c r="C38" s="148" t="s">
        <v>1782</v>
      </c>
      <c r="D38" s="185" t="s">
        <v>46</v>
      </c>
      <c r="E38" s="169" t="s">
        <v>47</v>
      </c>
      <c r="F38" s="169" t="s">
        <v>1065</v>
      </c>
      <c r="G38" s="148" t="s">
        <v>41</v>
      </c>
      <c r="H38" s="148" t="s">
        <v>42</v>
      </c>
      <c r="I38" s="148">
        <v>326</v>
      </c>
      <c r="J38" s="148" t="s">
        <v>1560</v>
      </c>
      <c r="K38" s="149">
        <v>11.50</v>
      </c>
    </row>
    <row r="39" spans="1:11" ht="18.75">
      <c r="A39" s="148">
        <v>2033</v>
      </c>
      <c r="B39" s="148" t="s">
        <v>1715</v>
      </c>
      <c r="C39" s="148" t="s">
        <v>1779</v>
      </c>
      <c r="D39" s="185" t="s">
        <v>187</v>
      </c>
      <c r="E39" s="169" t="s">
        <v>188</v>
      </c>
      <c r="F39" s="169" t="s">
        <v>1119</v>
      </c>
      <c r="G39" s="148" t="s">
        <v>171</v>
      </c>
      <c r="H39" s="148" t="s">
        <v>186</v>
      </c>
      <c r="I39" s="148">
        <v>327</v>
      </c>
      <c r="J39" s="148" t="s">
        <v>1675</v>
      </c>
      <c r="K39" s="149">
        <v>74.70</v>
      </c>
    </row>
    <row r="40" spans="1:11" ht="18.75">
      <c r="A40" s="148">
        <v>2034</v>
      </c>
      <c r="B40" s="148" t="s">
        <v>1716</v>
      </c>
      <c r="C40" s="148" t="s">
        <v>1771</v>
      </c>
      <c r="D40" s="185" t="s">
        <v>108</v>
      </c>
      <c r="E40" s="169" t="s">
        <v>109</v>
      </c>
      <c r="F40" s="169" t="s">
        <v>1094</v>
      </c>
      <c r="G40" s="148" t="s">
        <v>41</v>
      </c>
      <c r="H40" s="148" t="s">
        <v>107</v>
      </c>
      <c r="I40" s="148">
        <v>328</v>
      </c>
      <c r="J40" s="148">
        <v>5501</v>
      </c>
      <c r="K40" s="149">
        <v>18</v>
      </c>
    </row>
    <row r="41" spans="1:11" ht="18.75">
      <c r="A41" s="148">
        <v>2035</v>
      </c>
      <c r="B41" s="148" t="s">
        <v>1717</v>
      </c>
      <c r="C41" s="148" t="s">
        <v>1768</v>
      </c>
      <c r="D41" s="185" t="s">
        <v>76</v>
      </c>
      <c r="E41" s="169" t="s">
        <v>77</v>
      </c>
      <c r="F41" s="169" t="s">
        <v>1079</v>
      </c>
      <c r="G41" s="148" t="s">
        <v>41</v>
      </c>
      <c r="H41" s="148" t="s">
        <v>42</v>
      </c>
      <c r="I41" s="148">
        <v>329</v>
      </c>
      <c r="J41" s="148" t="s">
        <v>1668</v>
      </c>
      <c r="K41" s="149">
        <v>11</v>
      </c>
    </row>
    <row r="42" spans="1:11" ht="18.75">
      <c r="A42" s="148">
        <v>2036</v>
      </c>
      <c r="B42" s="148" t="s">
        <v>1718</v>
      </c>
      <c r="C42" s="148" t="s">
        <v>1780</v>
      </c>
      <c r="D42" s="185" t="s">
        <v>174</v>
      </c>
      <c r="E42" s="169" t="s">
        <v>175</v>
      </c>
      <c r="F42" s="169" t="s">
        <v>1114</v>
      </c>
      <c r="G42" s="148" t="s">
        <v>171</v>
      </c>
      <c r="H42" s="148" t="s">
        <v>176</v>
      </c>
      <c r="I42" s="148">
        <v>330</v>
      </c>
      <c r="J42" s="148" t="s">
        <v>1402</v>
      </c>
      <c r="K42" s="149">
        <v>36.60</v>
      </c>
    </row>
    <row r="43" spans="1:11" ht="18.75">
      <c r="A43" s="148">
        <v>2037</v>
      </c>
      <c r="B43" s="148" t="s">
        <v>1719</v>
      </c>
      <c r="C43" s="148" t="s">
        <v>1771</v>
      </c>
      <c r="D43" s="185" t="s">
        <v>110</v>
      </c>
      <c r="E43" s="169" t="s">
        <v>111</v>
      </c>
      <c r="F43" s="169" t="s">
        <v>1095</v>
      </c>
      <c r="G43" s="148" t="s">
        <v>41</v>
      </c>
      <c r="H43" s="148" t="s">
        <v>107</v>
      </c>
      <c r="I43" s="148">
        <v>331</v>
      </c>
      <c r="J43" s="148">
        <v>5501</v>
      </c>
      <c r="K43" s="149">
        <v>18.60</v>
      </c>
    </row>
    <row r="44" spans="1:11" ht="18.75">
      <c r="A44" s="148">
        <v>2038</v>
      </c>
      <c r="B44" s="148" t="s">
        <v>1720</v>
      </c>
      <c r="C44" s="148" t="s">
        <v>1779</v>
      </c>
      <c r="D44" s="185" t="s">
        <v>182</v>
      </c>
      <c r="E44" s="169" t="s">
        <v>183</v>
      </c>
      <c r="F44" s="169" t="s">
        <v>1117</v>
      </c>
      <c r="G44" s="148" t="s">
        <v>171</v>
      </c>
      <c r="H44" s="148" t="s">
        <v>18</v>
      </c>
      <c r="I44" s="148">
        <v>332</v>
      </c>
      <c r="J44" s="148" t="s">
        <v>1673</v>
      </c>
      <c r="K44" s="149">
        <v>115.80</v>
      </c>
    </row>
    <row r="45" spans="1:11" ht="18.75">
      <c r="A45" s="148">
        <v>2039</v>
      </c>
      <c r="B45" s="148" t="s">
        <v>1721</v>
      </c>
      <c r="C45" s="148" t="s">
        <v>1777</v>
      </c>
      <c r="D45" s="185" t="s">
        <v>179</v>
      </c>
      <c r="E45" s="169" t="s">
        <v>180</v>
      </c>
      <c r="F45" s="169" t="s">
        <v>1116</v>
      </c>
      <c r="G45" s="148" t="s">
        <v>171</v>
      </c>
      <c r="H45" s="148" t="s">
        <v>181</v>
      </c>
      <c r="I45" s="148">
        <v>333</v>
      </c>
      <c r="J45" s="148" t="s">
        <v>1402</v>
      </c>
      <c r="K45" s="149">
        <v>50.88</v>
      </c>
    </row>
    <row r="46" spans="1:11" ht="18.75">
      <c r="A46" s="148">
        <v>2040</v>
      </c>
      <c r="B46" s="148" t="s">
        <v>1722</v>
      </c>
      <c r="C46" s="148" t="s">
        <v>1772</v>
      </c>
      <c r="D46" s="185" t="s">
        <v>68</v>
      </c>
      <c r="E46" s="169" t="s">
        <v>69</v>
      </c>
      <c r="F46" s="169" t="s">
        <v>1075</v>
      </c>
      <c r="G46" s="148" t="s">
        <v>41</v>
      </c>
      <c r="H46" s="148" t="s">
        <v>45</v>
      </c>
      <c r="I46" s="148">
        <v>334</v>
      </c>
      <c r="J46" s="148" t="s">
        <v>1558</v>
      </c>
      <c r="K46" s="149">
        <v>9</v>
      </c>
    </row>
    <row r="47" spans="1:11" ht="18.75">
      <c r="A47" s="148">
        <v>2041</v>
      </c>
      <c r="B47" s="148" t="s">
        <v>1723</v>
      </c>
      <c r="C47" s="148" t="s">
        <v>1768</v>
      </c>
      <c r="D47" s="185" t="s">
        <v>142</v>
      </c>
      <c r="E47" s="169" t="s">
        <v>143</v>
      </c>
      <c r="F47" s="169" t="s">
        <v>1106</v>
      </c>
      <c r="G47" s="148" t="s">
        <v>138</v>
      </c>
      <c r="H47" s="148" t="s">
        <v>42</v>
      </c>
      <c r="I47" s="148">
        <v>335</v>
      </c>
      <c r="J47" s="148" t="s">
        <v>1668</v>
      </c>
      <c r="K47" s="149">
        <v>28.70</v>
      </c>
    </row>
    <row r="48" spans="1:11" ht="18.75">
      <c r="A48" s="148">
        <v>2042</v>
      </c>
      <c r="B48" s="148" t="s">
        <v>1724</v>
      </c>
      <c r="C48" s="148" t="s">
        <v>1782</v>
      </c>
      <c r="D48" s="185" t="s">
        <v>78</v>
      </c>
      <c r="E48" s="169" t="s">
        <v>79</v>
      </c>
      <c r="F48" s="169" t="s">
        <v>1080</v>
      </c>
      <c r="G48" s="148" t="s">
        <v>41</v>
      </c>
      <c r="H48" s="148" t="s">
        <v>42</v>
      </c>
      <c r="I48" s="148">
        <v>336</v>
      </c>
      <c r="J48" s="148" t="s">
        <v>1560</v>
      </c>
      <c r="K48" s="149">
        <v>9</v>
      </c>
    </row>
    <row r="49" spans="1:11" ht="18.75">
      <c r="A49" s="148">
        <v>2043</v>
      </c>
      <c r="B49" s="148" t="s">
        <v>1725</v>
      </c>
      <c r="C49" s="148" t="s">
        <v>1780</v>
      </c>
      <c r="D49" s="185" t="s">
        <v>177</v>
      </c>
      <c r="E49" s="169" t="s">
        <v>178</v>
      </c>
      <c r="F49" s="169" t="s">
        <v>1115</v>
      </c>
      <c r="G49" s="148" t="s">
        <v>171</v>
      </c>
      <c r="H49" s="148" t="s">
        <v>176</v>
      </c>
      <c r="I49" s="148">
        <v>337</v>
      </c>
      <c r="J49" s="148" t="s">
        <v>1402</v>
      </c>
      <c r="K49" s="149">
        <v>37.8</v>
      </c>
    </row>
    <row r="50" spans="1:11" ht="18.75">
      <c r="A50" s="148">
        <v>2044</v>
      </c>
      <c r="B50" s="148" t="s">
        <v>1726</v>
      </c>
      <c r="C50" s="148" t="s">
        <v>1780</v>
      </c>
      <c r="D50" s="185" t="s">
        <v>189</v>
      </c>
      <c r="E50" s="169" t="s">
        <v>190</v>
      </c>
      <c r="F50" s="169" t="s">
        <v>1120</v>
      </c>
      <c r="G50" s="148" t="s">
        <v>171</v>
      </c>
      <c r="H50" s="148" t="s">
        <v>186</v>
      </c>
      <c r="I50" s="148">
        <v>338</v>
      </c>
      <c r="J50" s="148" t="s">
        <v>1402</v>
      </c>
      <c r="K50" s="149">
        <v>81.75</v>
      </c>
    </row>
    <row r="51" spans="1:11" ht="18.75">
      <c r="A51" s="148">
        <v>2045</v>
      </c>
      <c r="B51" s="148" t="s">
        <v>1727</v>
      </c>
      <c r="C51" s="148" t="s">
        <v>1780</v>
      </c>
      <c r="D51" s="185" t="s">
        <v>191</v>
      </c>
      <c r="E51" s="169" t="s">
        <v>192</v>
      </c>
      <c r="F51" s="169" t="s">
        <v>1121</v>
      </c>
      <c r="G51" s="148" t="s">
        <v>171</v>
      </c>
      <c r="H51" s="148" t="s">
        <v>186</v>
      </c>
      <c r="I51" s="148">
        <v>339</v>
      </c>
      <c r="J51" s="148" t="s">
        <v>1402</v>
      </c>
      <c r="K51" s="149">
        <v>80.25</v>
      </c>
    </row>
    <row r="52" spans="1:11" ht="18.75">
      <c r="A52" s="148">
        <v>2046</v>
      </c>
      <c r="B52" s="148" t="s">
        <v>1728</v>
      </c>
      <c r="C52" s="148" t="s">
        <v>1780</v>
      </c>
      <c r="D52" s="185" t="s">
        <v>196</v>
      </c>
      <c r="E52" s="169" t="s">
        <v>197</v>
      </c>
      <c r="F52" s="169" t="s">
        <v>1122</v>
      </c>
      <c r="G52" s="148" t="s">
        <v>171</v>
      </c>
      <c r="H52" s="148" t="s">
        <v>186</v>
      </c>
      <c r="I52" s="148">
        <v>340</v>
      </c>
      <c r="J52" s="148" t="s">
        <v>1402</v>
      </c>
      <c r="K52" s="149">
        <v>63.60</v>
      </c>
    </row>
    <row r="53" spans="1:11" ht="18.75">
      <c r="A53" s="148">
        <v>2532</v>
      </c>
      <c r="B53" s="148" t="s">
        <v>1984</v>
      </c>
      <c r="C53" s="148" t="s">
        <v>1782</v>
      </c>
      <c r="D53" s="185"/>
      <c r="E53" s="169" t="s">
        <v>1987</v>
      </c>
      <c r="F53" s="169" t="s">
        <v>1986</v>
      </c>
      <c r="G53" s="148" t="s">
        <v>1988</v>
      </c>
      <c r="H53" s="148" t="s">
        <v>42</v>
      </c>
      <c r="I53" s="148"/>
      <c r="J53" s="148">
        <v>5618</v>
      </c>
      <c r="K53" s="149">
        <v>26</v>
      </c>
    </row>
    <row r="54" spans="1:11" ht="18.75">
      <c r="A54" s="148">
        <v>2543</v>
      </c>
      <c r="B54" s="148" t="s">
        <v>1985</v>
      </c>
      <c r="C54" s="148" t="s">
        <v>1782</v>
      </c>
      <c r="D54" s="185"/>
      <c r="E54" s="169" t="s">
        <v>1951</v>
      </c>
      <c r="F54" s="169" t="s">
        <v>1962</v>
      </c>
      <c r="G54" s="148" t="s">
        <v>1952</v>
      </c>
      <c r="H54" s="148" t="s">
        <v>1989</v>
      </c>
      <c r="I54" s="148"/>
      <c r="J54" s="148">
        <v>5355</v>
      </c>
      <c r="K54" s="149">
        <v>18.45</v>
      </c>
    </row>
    <row r="55" spans="1:11" ht="18.75">
      <c r="A55" s="148">
        <v>2570</v>
      </c>
      <c r="B55" s="148" t="s">
        <v>2034</v>
      </c>
      <c r="C55" s="148" t="s">
        <v>1764</v>
      </c>
      <c r="D55" s="185" t="s">
        <v>2035</v>
      </c>
      <c r="E55" s="170" t="s">
        <v>2037</v>
      </c>
      <c r="F55" s="170" t="s">
        <v>2036</v>
      </c>
      <c r="G55" s="148" t="s">
        <v>41</v>
      </c>
      <c r="H55" s="148" t="s">
        <v>1944</v>
      </c>
      <c r="I55" s="148">
        <v>629</v>
      </c>
      <c r="J55" s="167">
        <v>5005</v>
      </c>
      <c r="K55" s="168">
        <v>13.50</v>
      </c>
    </row>
    <row r="56" spans="1:12" ht="18.75">
      <c r="A56" s="167">
        <v>2576</v>
      </c>
      <c r="B56" s="148" t="s">
        <v>2064</v>
      </c>
      <c r="C56" s="167" t="s">
        <v>1782</v>
      </c>
      <c r="D56" s="186" t="s">
        <v>2066</v>
      </c>
      <c r="E56" s="170" t="s">
        <v>2067</v>
      </c>
      <c r="F56" s="170" t="s">
        <v>2068</v>
      </c>
      <c r="G56" s="148" t="s">
        <v>171</v>
      </c>
      <c r="H56" s="166" t="s">
        <v>2069</v>
      </c>
      <c r="I56" s="166">
        <v>640</v>
      </c>
      <c r="J56" s="167">
        <v>5610</v>
      </c>
      <c r="K56" s="168">
        <v>29.20</v>
      </c>
      <c r="L56" s="188">
        <v>45906</v>
      </c>
    </row>
    <row r="57" spans="1:12" ht="18.75">
      <c r="A57" s="167">
        <v>2577</v>
      </c>
      <c r="B57" s="148" t="s">
        <v>2065</v>
      </c>
      <c r="C57" s="148" t="s">
        <v>1764</v>
      </c>
      <c r="D57" s="185" t="s">
        <v>2070</v>
      </c>
      <c r="E57" s="170" t="s">
        <v>2071</v>
      </c>
      <c r="F57" s="170" t="s">
        <v>2072</v>
      </c>
      <c r="G57" s="148" t="s">
        <v>41</v>
      </c>
      <c r="H57" s="166" t="s">
        <v>2069</v>
      </c>
      <c r="I57" s="166">
        <v>641</v>
      </c>
      <c r="J57" s="167">
        <v>5005</v>
      </c>
      <c r="K57" s="168">
        <v>19</v>
      </c>
      <c r="L57" s="188">
        <v>45906</v>
      </c>
    </row>
    <row r="58" spans="1:11" ht="18.75">
      <c r="A58" s="167"/>
      <c r="B58" s="167"/>
      <c r="C58" s="167"/>
      <c r="D58" s="186"/>
      <c r="E58" s="170"/>
      <c r="F58" s="170"/>
      <c r="G58" s="166"/>
      <c r="H58" s="166"/>
      <c r="I58" s="166"/>
      <c r="J58" s="167"/>
      <c r="K58" s="168"/>
    </row>
  </sheetData>
  <conditionalFormatting sqref="F2:F54">
    <cfRule type="duplicateValues" priority="1" dxfId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90DBD5-155E-4430-9007-308CB444245F}">
  <dimension ref="A1:O55"/>
  <sheetViews>
    <sheetView zoomScale="85" zoomScaleNormal="85" workbookViewId="0" topLeftCell="A34">
      <selection pane="topLeft" activeCell="B55" sqref="B55"/>
    </sheetView>
  </sheetViews>
  <sheetFormatPr defaultRowHeight="15"/>
  <cols>
    <col min="1" max="1" width="7.28571428571429" bestFit="1" customWidth="1"/>
    <col min="2" max="2" width="16.1428571428571" bestFit="1" customWidth="1"/>
    <col min="3" max="3" width="16.2857142857143" bestFit="1" customWidth="1"/>
    <col min="4" max="4" width="15.2857142857143" bestFit="1" customWidth="1"/>
    <col min="5" max="5" width="49.1428571428571" bestFit="1" customWidth="1"/>
    <col min="6" max="6" width="44.8571428571429" bestFit="1" customWidth="1"/>
    <col min="7" max="7" width="48.1428571428571" bestFit="1" customWidth="1"/>
    <col min="8" max="8" width="10.4285714285714" bestFit="1" customWidth="1"/>
    <col min="9" max="9" width="8" bestFit="1" customWidth="1"/>
    <col min="10" max="10" width="14.7142857142857" style="131" bestFit="1" customWidth="1"/>
    <col min="11" max="11" width="7.71428571428571" style="134" bestFit="1" customWidth="1"/>
    <col min="12" max="14" width="0" hidden="1" customWidth="1"/>
    <col min="15" max="15" width="38.5714285714286" customWidth="1"/>
  </cols>
  <sheetData>
    <row r="1" spans="1:14" s="121" customFormat="1" ht="15.75">
      <c r="A1" s="121" t="s">
        <v>1785</v>
      </c>
      <c r="B1" s="121" t="s">
        <v>1729</v>
      </c>
      <c r="C1" s="121" t="s">
        <v>1730</v>
      </c>
      <c r="D1" s="121" t="s">
        <v>0</v>
      </c>
      <c r="E1" s="121" t="s">
        <v>1</v>
      </c>
      <c r="F1" s="121" t="s">
        <v>1060</v>
      </c>
      <c r="G1" s="121" t="s">
        <v>2</v>
      </c>
      <c r="H1" s="121" t="s">
        <v>3</v>
      </c>
      <c r="I1" s="121" t="s">
        <v>1917</v>
      </c>
      <c r="J1" s="121" t="s">
        <v>1026</v>
      </c>
      <c r="K1" s="140" t="s">
        <v>1915</v>
      </c>
      <c r="L1" s="121" t="s">
        <v>1388</v>
      </c>
      <c r="M1" s="121" t="s">
        <v>1389</v>
      </c>
      <c r="N1" s="121" t="s">
        <v>1406</v>
      </c>
    </row>
    <row r="3" spans="1:14" ht="15.75" customHeight="1">
      <c r="A3" s="144">
        <v>2058</v>
      </c>
      <c r="B3" s="144" t="s">
        <v>1620</v>
      </c>
      <c r="C3" s="144" t="s">
        <v>1761</v>
      </c>
      <c r="D3" s="144" t="s">
        <v>460</v>
      </c>
      <c r="E3" s="144" t="s">
        <v>461</v>
      </c>
      <c r="F3" s="144" t="s">
        <v>1219</v>
      </c>
      <c r="G3" s="144" t="s">
        <v>364</v>
      </c>
      <c r="H3" s="144" t="s">
        <v>462</v>
      </c>
      <c r="I3" s="144">
        <v>341</v>
      </c>
      <c r="J3" s="144" t="s">
        <v>1403</v>
      </c>
      <c r="K3" s="145">
        <v>10.50</v>
      </c>
      <c r="L3" s="143">
        <v>18064.50</v>
      </c>
      <c r="M3" s="143">
        <v>10</v>
      </c>
      <c r="N3" s="143">
        <f t="shared" si="0" ref="N3:N30">L3*M3</f>
        <v>180645</v>
      </c>
    </row>
    <row r="4" spans="1:14" ht="15.75">
      <c r="A4" s="144">
        <v>2059</v>
      </c>
      <c r="B4" s="144" t="s">
        <v>1621</v>
      </c>
      <c r="C4" s="144" t="s">
        <v>1759</v>
      </c>
      <c r="D4" s="144" t="s">
        <v>365</v>
      </c>
      <c r="E4" s="144" t="s">
        <v>366</v>
      </c>
      <c r="F4" s="144" t="s">
        <v>1177</v>
      </c>
      <c r="G4" s="144" t="s">
        <v>364</v>
      </c>
      <c r="H4" s="144" t="s">
        <v>42</v>
      </c>
      <c r="I4" s="144">
        <v>342</v>
      </c>
      <c r="J4" s="144" t="s">
        <v>1551</v>
      </c>
      <c r="K4" s="145">
        <v>8.90</v>
      </c>
      <c r="L4" s="143">
        <v>9141.60</v>
      </c>
      <c r="M4" s="143">
        <v>10</v>
      </c>
      <c r="N4" s="143">
        <f t="shared" si="0"/>
        <v>91416</v>
      </c>
    </row>
    <row r="5" spans="1:14" ht="15.75">
      <c r="A5" s="144">
        <v>2060</v>
      </c>
      <c r="B5" s="144" t="s">
        <v>1622</v>
      </c>
      <c r="C5" s="144" t="s">
        <v>1761</v>
      </c>
      <c r="D5" s="144" t="s">
        <v>362</v>
      </c>
      <c r="E5" s="144" t="s">
        <v>363</v>
      </c>
      <c r="F5" s="144" t="s">
        <v>1176</v>
      </c>
      <c r="G5" s="144" t="s">
        <v>364</v>
      </c>
      <c r="H5" s="144" t="s">
        <v>42</v>
      </c>
      <c r="I5" s="144">
        <v>343</v>
      </c>
      <c r="J5" s="144" t="s">
        <v>1403</v>
      </c>
      <c r="K5" s="145">
        <v>10</v>
      </c>
      <c r="L5" s="143">
        <v>2232.50</v>
      </c>
      <c r="M5" s="143">
        <v>10</v>
      </c>
      <c r="N5" s="143">
        <f t="shared" si="0"/>
        <v>22325</v>
      </c>
    </row>
    <row r="6" spans="1:14" ht="15.75">
      <c r="A6" s="144">
        <v>2061</v>
      </c>
      <c r="B6" s="144" t="s">
        <v>1623</v>
      </c>
      <c r="C6" s="144" t="s">
        <v>1758</v>
      </c>
      <c r="D6" s="144" t="s">
        <v>367</v>
      </c>
      <c r="E6" s="144" t="s">
        <v>368</v>
      </c>
      <c r="F6" s="144" t="s">
        <v>1357</v>
      </c>
      <c r="G6" s="144" t="s">
        <v>364</v>
      </c>
      <c r="H6" s="144" t="s">
        <v>42</v>
      </c>
      <c r="I6" s="144">
        <v>344</v>
      </c>
      <c r="J6" s="144" t="s">
        <v>1552</v>
      </c>
      <c r="K6" s="145">
        <v>11.30</v>
      </c>
      <c r="L6" s="143">
        <v>2072.25</v>
      </c>
      <c r="M6" s="143">
        <v>10</v>
      </c>
      <c r="N6" s="143">
        <f t="shared" si="0"/>
        <v>20722.50</v>
      </c>
    </row>
    <row r="7" spans="1:14" ht="15.75">
      <c r="A7" s="144">
        <v>2062</v>
      </c>
      <c r="B7" s="144" t="s">
        <v>1624</v>
      </c>
      <c r="C7" s="144" t="s">
        <v>1761</v>
      </c>
      <c r="D7" s="144" t="s">
        <v>393</v>
      </c>
      <c r="E7" s="144" t="s">
        <v>394</v>
      </c>
      <c r="F7" s="144" t="s">
        <v>1190</v>
      </c>
      <c r="G7" s="144" t="s">
        <v>364</v>
      </c>
      <c r="H7" s="144" t="s">
        <v>249</v>
      </c>
      <c r="I7" s="144">
        <v>345</v>
      </c>
      <c r="J7" s="144" t="s">
        <v>1403</v>
      </c>
      <c r="K7" s="145">
        <v>1.1</v>
      </c>
      <c r="L7" s="143">
        <v>20707</v>
      </c>
      <c r="M7" s="143">
        <v>1</v>
      </c>
      <c r="N7" s="143">
        <f t="shared" si="0"/>
        <v>20707</v>
      </c>
    </row>
    <row r="8" spans="1:14" ht="15.75">
      <c r="A8" s="144">
        <v>2063</v>
      </c>
      <c r="B8" s="144" t="s">
        <v>1625</v>
      </c>
      <c r="C8" s="144" t="s">
        <v>1782</v>
      </c>
      <c r="D8" s="144" t="s">
        <v>457</v>
      </c>
      <c r="E8" s="144" t="s">
        <v>458</v>
      </c>
      <c r="F8" s="144" t="s">
        <v>1218</v>
      </c>
      <c r="G8" s="144" t="s">
        <v>364</v>
      </c>
      <c r="H8" s="144" t="s">
        <v>459</v>
      </c>
      <c r="I8" s="144">
        <v>346</v>
      </c>
      <c r="J8" s="144" t="s">
        <v>1561</v>
      </c>
      <c r="K8" s="145">
        <v>4.28</v>
      </c>
      <c r="L8" s="143">
        <v>3526.75</v>
      </c>
      <c r="M8" s="143">
        <v>4</v>
      </c>
      <c r="N8" s="143">
        <f t="shared" si="0"/>
        <v>14107</v>
      </c>
    </row>
    <row r="9" spans="1:14" ht="15.75">
      <c r="A9" s="144">
        <v>2064</v>
      </c>
      <c r="B9" s="144" t="s">
        <v>1626</v>
      </c>
      <c r="C9" s="144" t="s">
        <v>1759</v>
      </c>
      <c r="D9" s="144" t="s">
        <v>401</v>
      </c>
      <c r="E9" s="144" t="s">
        <v>402</v>
      </c>
      <c r="F9" s="144" t="s">
        <v>1194</v>
      </c>
      <c r="G9" s="144" t="s">
        <v>364</v>
      </c>
      <c r="H9" s="144" t="s">
        <v>249</v>
      </c>
      <c r="I9" s="144">
        <v>347</v>
      </c>
      <c r="J9" s="144" t="s">
        <v>1551</v>
      </c>
      <c r="K9" s="145">
        <v>1.05</v>
      </c>
      <c r="L9" s="143">
        <v>12488.50</v>
      </c>
      <c r="M9" s="143">
        <v>1</v>
      </c>
      <c r="N9" s="143">
        <f t="shared" si="0"/>
        <v>12488.50</v>
      </c>
    </row>
    <row r="10" spans="1:14" ht="15.75">
      <c r="A10" s="144">
        <v>2065</v>
      </c>
      <c r="B10" s="144" t="s">
        <v>1627</v>
      </c>
      <c r="C10" s="144" t="s">
        <v>1757</v>
      </c>
      <c r="D10" s="144" t="s">
        <v>369</v>
      </c>
      <c r="E10" s="144" t="s">
        <v>370</v>
      </c>
      <c r="F10" s="144" t="s">
        <v>1178</v>
      </c>
      <c r="G10" s="144" t="s">
        <v>364</v>
      </c>
      <c r="H10" s="144" t="s">
        <v>42</v>
      </c>
      <c r="I10" s="144">
        <v>348</v>
      </c>
      <c r="J10" s="144" t="s">
        <v>1553</v>
      </c>
      <c r="K10" s="145">
        <v>8.90</v>
      </c>
      <c r="L10" s="143">
        <v>647.3500000000003</v>
      </c>
      <c r="M10" s="143">
        <v>10</v>
      </c>
      <c r="N10" s="143">
        <f t="shared" si="0"/>
        <v>6473.500000000003</v>
      </c>
    </row>
    <row r="11" spans="1:14" ht="15.75">
      <c r="A11" s="144">
        <v>2066</v>
      </c>
      <c r="B11" s="144" t="s">
        <v>1628</v>
      </c>
      <c r="C11" s="144" t="s">
        <v>1780</v>
      </c>
      <c r="D11" s="144" t="s">
        <v>395</v>
      </c>
      <c r="E11" s="144" t="s">
        <v>396</v>
      </c>
      <c r="F11" s="144" t="s">
        <v>1191</v>
      </c>
      <c r="G11" s="144" t="s">
        <v>364</v>
      </c>
      <c r="H11" s="144" t="s">
        <v>249</v>
      </c>
      <c r="I11" s="144">
        <v>349</v>
      </c>
      <c r="J11" s="144" t="s">
        <v>1555</v>
      </c>
      <c r="K11" s="145">
        <v>3.79</v>
      </c>
      <c r="L11" s="143">
        <v>4493.50</v>
      </c>
      <c r="M11" s="143">
        <v>1</v>
      </c>
      <c r="N11" s="143">
        <f t="shared" si="0"/>
        <v>4493.50</v>
      </c>
    </row>
    <row r="12" spans="1:14" ht="15.75">
      <c r="A12" s="144">
        <v>2067</v>
      </c>
      <c r="B12" s="144" t="s">
        <v>1629</v>
      </c>
      <c r="C12" s="144" t="s">
        <v>1761</v>
      </c>
      <c r="D12" s="144" t="s">
        <v>381</v>
      </c>
      <c r="E12" s="144" t="s">
        <v>382</v>
      </c>
      <c r="F12" s="144" t="s">
        <v>1184</v>
      </c>
      <c r="G12" s="144" t="s">
        <v>364</v>
      </c>
      <c r="H12" s="144" t="s">
        <v>249</v>
      </c>
      <c r="I12" s="144">
        <v>350</v>
      </c>
      <c r="J12" s="144" t="s">
        <v>1403</v>
      </c>
      <c r="K12" s="145">
        <v>1.1</v>
      </c>
      <c r="L12" s="143">
        <v>2762.60</v>
      </c>
      <c r="M12" s="143">
        <v>1</v>
      </c>
      <c r="N12" s="143">
        <f t="shared" si="0"/>
        <v>2762.60</v>
      </c>
    </row>
    <row r="13" spans="1:14" ht="15.75">
      <c r="A13" s="144">
        <v>2068</v>
      </c>
      <c r="B13" s="144" t="s">
        <v>1630</v>
      </c>
      <c r="C13" s="144" t="s">
        <v>1782</v>
      </c>
      <c r="D13" s="144" t="s">
        <v>447</v>
      </c>
      <c r="E13" s="144" t="s">
        <v>448</v>
      </c>
      <c r="F13" s="144" t="s">
        <v>1211</v>
      </c>
      <c r="G13" s="144" t="s">
        <v>364</v>
      </c>
      <c r="H13" s="144" t="s">
        <v>332</v>
      </c>
      <c r="I13" s="144">
        <v>351</v>
      </c>
      <c r="J13" s="144" t="s">
        <v>1560</v>
      </c>
      <c r="K13" s="145">
        <v>4.89</v>
      </c>
      <c r="L13" s="143">
        <v>2738.50</v>
      </c>
      <c r="M13" s="143">
        <v>1</v>
      </c>
      <c r="N13" s="143">
        <f t="shared" si="0"/>
        <v>2738.50</v>
      </c>
    </row>
    <row r="14" spans="1:14" ht="15.75">
      <c r="A14" s="144">
        <v>2069</v>
      </c>
      <c r="B14" s="144" t="s">
        <v>1631</v>
      </c>
      <c r="C14" s="144" t="s">
        <v>1758</v>
      </c>
      <c r="D14" s="144" t="s">
        <v>463</v>
      </c>
      <c r="E14" s="144" t="s">
        <v>464</v>
      </c>
      <c r="F14" s="144" t="s">
        <v>1220</v>
      </c>
      <c r="G14" s="144" t="s">
        <v>364</v>
      </c>
      <c r="H14" s="144" t="s">
        <v>332</v>
      </c>
      <c r="I14" s="144">
        <v>352</v>
      </c>
      <c r="J14" s="144">
        <v>5002</v>
      </c>
      <c r="K14" s="145">
        <v>2.01</v>
      </c>
      <c r="L14" s="143">
        <v>2606</v>
      </c>
      <c r="M14" s="143">
        <v>1</v>
      </c>
      <c r="N14" s="143">
        <f t="shared" si="0"/>
        <v>2606</v>
      </c>
    </row>
    <row r="15" spans="1:14" ht="15.75">
      <c r="A15" s="144">
        <v>2070</v>
      </c>
      <c r="B15" s="144" t="s">
        <v>1632</v>
      </c>
      <c r="C15" s="144" t="s">
        <v>1764</v>
      </c>
      <c r="D15" s="144" t="s">
        <v>379</v>
      </c>
      <c r="E15" s="144" t="s">
        <v>380</v>
      </c>
      <c r="F15" s="144" t="s">
        <v>1183</v>
      </c>
      <c r="G15" s="144" t="s">
        <v>364</v>
      </c>
      <c r="H15" s="144" t="s">
        <v>249</v>
      </c>
      <c r="I15" s="144">
        <v>353</v>
      </c>
      <c r="J15" s="144" t="s">
        <v>1554</v>
      </c>
      <c r="K15" s="145">
        <v>3.04</v>
      </c>
      <c r="L15" s="143">
        <v>2502</v>
      </c>
      <c r="M15" s="143">
        <v>1</v>
      </c>
      <c r="N15" s="143">
        <f t="shared" si="0"/>
        <v>2502</v>
      </c>
    </row>
    <row r="16" spans="1:14" ht="15.75">
      <c r="A16" s="144">
        <v>2071</v>
      </c>
      <c r="B16" s="144" t="s">
        <v>1633</v>
      </c>
      <c r="C16" s="144" t="s">
        <v>1759</v>
      </c>
      <c r="D16" s="144" t="s">
        <v>399</v>
      </c>
      <c r="E16" s="144" t="s">
        <v>400</v>
      </c>
      <c r="F16" s="144" t="s">
        <v>1193</v>
      </c>
      <c r="G16" s="144" t="s">
        <v>364</v>
      </c>
      <c r="H16" s="144" t="s">
        <v>249</v>
      </c>
      <c r="I16" s="144">
        <v>354</v>
      </c>
      <c r="J16" s="144" t="s">
        <v>1551</v>
      </c>
      <c r="K16" s="145">
        <v>1.03</v>
      </c>
      <c r="L16" s="143">
        <v>2473</v>
      </c>
      <c r="M16" s="143">
        <v>1</v>
      </c>
      <c r="N16" s="143">
        <f t="shared" si="0"/>
        <v>2473</v>
      </c>
    </row>
    <row r="17" spans="1:14" ht="15.75">
      <c r="A17" s="144">
        <v>2072</v>
      </c>
      <c r="B17" s="144" t="s">
        <v>1634</v>
      </c>
      <c r="C17" s="144" t="s">
        <v>1767</v>
      </c>
      <c r="D17" s="144" t="s">
        <v>453</v>
      </c>
      <c r="E17" s="144" t="s">
        <v>454</v>
      </c>
      <c r="F17" s="144" t="s">
        <v>1216</v>
      </c>
      <c r="G17" s="144" t="s">
        <v>364</v>
      </c>
      <c r="H17" s="144" t="s">
        <v>332</v>
      </c>
      <c r="I17" s="144">
        <v>355</v>
      </c>
      <c r="J17" s="144">
        <v>5500</v>
      </c>
      <c r="K17" s="145">
        <v>4.89</v>
      </c>
      <c r="L17" s="143">
        <v>1395</v>
      </c>
      <c r="M17" s="143">
        <v>1</v>
      </c>
      <c r="N17" s="143">
        <f t="shared" si="0"/>
        <v>1395</v>
      </c>
    </row>
    <row r="18" spans="1:15" s="136" customFormat="1" ht="15.75">
      <c r="A18" s="144">
        <v>2073</v>
      </c>
      <c r="B18" s="144" t="s">
        <v>1635</v>
      </c>
      <c r="C18" s="144" t="s">
        <v>1759</v>
      </c>
      <c r="D18" s="144" t="s">
        <v>441</v>
      </c>
      <c r="E18" s="144" t="s">
        <v>442</v>
      </c>
      <c r="F18" s="144" t="s">
        <v>1209</v>
      </c>
      <c r="G18" s="144" t="s">
        <v>364</v>
      </c>
      <c r="H18" s="144" t="s">
        <v>141</v>
      </c>
      <c r="I18" s="144">
        <v>356</v>
      </c>
      <c r="J18" s="144">
        <v>5001</v>
      </c>
      <c r="K18" s="145">
        <v>37.50</v>
      </c>
      <c r="L18" s="143">
        <v>109.34999999999997</v>
      </c>
      <c r="M18" s="143">
        <v>10</v>
      </c>
      <c r="N18" s="143">
        <f t="shared" si="0"/>
        <v>1093.4999999999995</v>
      </c>
      <c r="O18"/>
    </row>
    <row r="19" spans="1:14" ht="15.75">
      <c r="A19" s="144">
        <v>2074</v>
      </c>
      <c r="B19" s="144" t="s">
        <v>1636</v>
      </c>
      <c r="C19" s="144" t="s">
        <v>1766</v>
      </c>
      <c r="D19" s="144" t="s">
        <v>419</v>
      </c>
      <c r="E19" s="144" t="s">
        <v>420</v>
      </c>
      <c r="F19" s="144" t="s">
        <v>1202</v>
      </c>
      <c r="G19" s="144" t="s">
        <v>364</v>
      </c>
      <c r="H19" s="144" t="s">
        <v>249</v>
      </c>
      <c r="I19" s="144">
        <v>357</v>
      </c>
      <c r="J19" s="144" t="s">
        <v>1559</v>
      </c>
      <c r="K19" s="145">
        <v>3.45</v>
      </c>
      <c r="L19" s="143">
        <v>775.55</v>
      </c>
      <c r="M19" s="143">
        <v>1</v>
      </c>
      <c r="N19" s="143">
        <f t="shared" si="0"/>
        <v>775.55</v>
      </c>
    </row>
    <row r="20" spans="1:14" ht="15.75">
      <c r="A20" s="144">
        <v>2075</v>
      </c>
      <c r="B20" s="144" t="s">
        <v>1637</v>
      </c>
      <c r="C20" s="144" t="s">
        <v>1761</v>
      </c>
      <c r="D20" s="144" t="s">
        <v>409</v>
      </c>
      <c r="E20" s="144" t="s">
        <v>410</v>
      </c>
      <c r="F20" s="144" t="s">
        <v>1198</v>
      </c>
      <c r="G20" s="144" t="s">
        <v>364</v>
      </c>
      <c r="H20" s="144" t="s">
        <v>249</v>
      </c>
      <c r="I20" s="144">
        <v>358</v>
      </c>
      <c r="J20" s="144" t="s">
        <v>1557</v>
      </c>
      <c r="K20" s="145">
        <v>4.89</v>
      </c>
      <c r="L20" s="143">
        <v>517.10</v>
      </c>
      <c r="M20" s="143">
        <v>1</v>
      </c>
      <c r="N20" s="143">
        <f t="shared" si="0"/>
        <v>517.10</v>
      </c>
    </row>
    <row r="21" spans="1:14" ht="15.75">
      <c r="A21" s="144">
        <v>2076</v>
      </c>
      <c r="B21" s="144" t="s">
        <v>1638</v>
      </c>
      <c r="C21" s="144" t="s">
        <v>1758</v>
      </c>
      <c r="D21" s="144" t="s">
        <v>431</v>
      </c>
      <c r="E21" s="144" t="s">
        <v>432</v>
      </c>
      <c r="F21" s="144" t="s">
        <v>1207</v>
      </c>
      <c r="G21" s="144" t="s">
        <v>364</v>
      </c>
      <c r="H21" s="144" t="s">
        <v>249</v>
      </c>
      <c r="I21" s="144">
        <v>359</v>
      </c>
      <c r="J21" s="144" t="s">
        <v>1552</v>
      </c>
      <c r="K21" s="145">
        <v>1.71</v>
      </c>
      <c r="L21" s="143">
        <v>371</v>
      </c>
      <c r="M21" s="143">
        <v>1</v>
      </c>
      <c r="N21" s="143">
        <f t="shared" si="0"/>
        <v>371</v>
      </c>
    </row>
    <row r="22" spans="1:14" ht="15.75">
      <c r="A22" s="144">
        <v>2077</v>
      </c>
      <c r="B22" s="144" t="s">
        <v>1639</v>
      </c>
      <c r="C22" s="144" t="s">
        <v>1766</v>
      </c>
      <c r="D22" s="144" t="s">
        <v>455</v>
      </c>
      <c r="E22" s="144" t="s">
        <v>456</v>
      </c>
      <c r="F22" s="144" t="s">
        <v>1217</v>
      </c>
      <c r="G22" s="144" t="s">
        <v>364</v>
      </c>
      <c r="H22" s="144" t="s">
        <v>332</v>
      </c>
      <c r="I22" s="144">
        <v>360</v>
      </c>
      <c r="J22" s="144" t="s">
        <v>1559</v>
      </c>
      <c r="K22" s="145">
        <v>3.66</v>
      </c>
      <c r="L22" s="143">
        <v>347.40</v>
      </c>
      <c r="M22" s="143">
        <v>1</v>
      </c>
      <c r="N22" s="143">
        <f t="shared" si="0"/>
        <v>347.40</v>
      </c>
    </row>
    <row r="23" spans="1:14" ht="15.75">
      <c r="A23" s="144">
        <v>2078</v>
      </c>
      <c r="B23" s="144" t="s">
        <v>1640</v>
      </c>
      <c r="C23" s="144" t="s">
        <v>1782</v>
      </c>
      <c r="D23" s="144" t="s">
        <v>407</v>
      </c>
      <c r="E23" s="144" t="s">
        <v>408</v>
      </c>
      <c r="F23" s="144" t="s">
        <v>1197</v>
      </c>
      <c r="G23" s="144" t="s">
        <v>364</v>
      </c>
      <c r="H23" s="144" t="s">
        <v>249</v>
      </c>
      <c r="I23" s="144">
        <v>361</v>
      </c>
      <c r="J23" s="144" t="s">
        <v>1544</v>
      </c>
      <c r="K23" s="145">
        <v>3.49</v>
      </c>
      <c r="L23" s="143">
        <v>334.50</v>
      </c>
      <c r="M23" s="143">
        <v>1</v>
      </c>
      <c r="N23" s="143">
        <f t="shared" si="0"/>
        <v>334.50</v>
      </c>
    </row>
    <row r="24" spans="1:14" ht="15.75">
      <c r="A24" s="144">
        <v>2079</v>
      </c>
      <c r="B24" s="144" t="s">
        <v>1641</v>
      </c>
      <c r="C24" s="144" t="s">
        <v>1757</v>
      </c>
      <c r="D24" s="144" t="s">
        <v>465</v>
      </c>
      <c r="E24" s="144" t="s">
        <v>466</v>
      </c>
      <c r="F24" s="144" t="s">
        <v>1221</v>
      </c>
      <c r="G24" s="144" t="s">
        <v>364</v>
      </c>
      <c r="H24" s="144" t="s">
        <v>462</v>
      </c>
      <c r="I24" s="144">
        <v>362</v>
      </c>
      <c r="J24" s="144" t="s">
        <v>1553</v>
      </c>
      <c r="K24" s="145">
        <v>18.90</v>
      </c>
      <c r="L24" s="143">
        <v>32</v>
      </c>
      <c r="M24" s="143">
        <v>10</v>
      </c>
      <c r="N24" s="143">
        <f t="shared" si="0"/>
        <v>320</v>
      </c>
    </row>
    <row r="25" spans="1:14" ht="15.75">
      <c r="A25" s="144">
        <v>2080</v>
      </c>
      <c r="B25" s="144" t="s">
        <v>1642</v>
      </c>
      <c r="C25" s="144" t="s">
        <v>1765</v>
      </c>
      <c r="D25" s="144" t="s">
        <v>425</v>
      </c>
      <c r="E25" s="144" t="s">
        <v>426</v>
      </c>
      <c r="F25" s="144" t="s">
        <v>1203</v>
      </c>
      <c r="G25" s="144" t="s">
        <v>364</v>
      </c>
      <c r="H25" s="144" t="s">
        <v>249</v>
      </c>
      <c r="I25" s="144">
        <v>363</v>
      </c>
      <c r="J25" s="144" t="s">
        <v>1558</v>
      </c>
      <c r="K25" s="145">
        <v>6.39</v>
      </c>
      <c r="L25" s="143">
        <v>277</v>
      </c>
      <c r="M25" s="143">
        <v>1</v>
      </c>
      <c r="N25" s="143">
        <f t="shared" si="0"/>
        <v>277</v>
      </c>
    </row>
    <row r="26" spans="1:14" ht="15.75">
      <c r="A26" s="144">
        <v>2081</v>
      </c>
      <c r="B26" s="144" t="s">
        <v>1643</v>
      </c>
      <c r="C26" s="144" t="s">
        <v>1764</v>
      </c>
      <c r="D26" s="144" t="s">
        <v>389</v>
      </c>
      <c r="E26" s="144" t="s">
        <v>390</v>
      </c>
      <c r="F26" s="144" t="s">
        <v>1187</v>
      </c>
      <c r="G26" s="144" t="s">
        <v>364</v>
      </c>
      <c r="H26" s="144" t="s">
        <v>249</v>
      </c>
      <c r="I26" s="144">
        <v>364</v>
      </c>
      <c r="J26" s="144" t="s">
        <v>1554</v>
      </c>
      <c r="K26" s="145">
        <v>2.94</v>
      </c>
      <c r="L26" s="143">
        <v>236</v>
      </c>
      <c r="M26" s="143">
        <v>1</v>
      </c>
      <c r="N26" s="143">
        <f t="shared" si="0"/>
        <v>236</v>
      </c>
    </row>
    <row r="27" spans="1:14" ht="15.75">
      <c r="A27" s="144">
        <v>2082</v>
      </c>
      <c r="B27" s="144" t="s">
        <v>1644</v>
      </c>
      <c r="C27" s="144" t="s">
        <v>1781</v>
      </c>
      <c r="D27" s="144" t="s">
        <v>445</v>
      </c>
      <c r="E27" s="144" t="s">
        <v>446</v>
      </c>
      <c r="F27" s="144" t="s">
        <v>1210</v>
      </c>
      <c r="G27" s="144" t="s">
        <v>364</v>
      </c>
      <c r="H27" s="144" t="s">
        <v>332</v>
      </c>
      <c r="I27" s="144">
        <v>365</v>
      </c>
      <c r="J27" s="144" t="s">
        <v>1553</v>
      </c>
      <c r="K27" s="145">
        <v>5.99</v>
      </c>
      <c r="L27" s="143">
        <v>226</v>
      </c>
      <c r="M27" s="143">
        <v>1</v>
      </c>
      <c r="N27" s="143">
        <f t="shared" si="0"/>
        <v>226</v>
      </c>
    </row>
    <row r="28" spans="1:14" ht="15.75">
      <c r="A28" s="144">
        <v>2083</v>
      </c>
      <c r="B28" s="144" t="s">
        <v>1645</v>
      </c>
      <c r="C28" s="144" t="s">
        <v>1765</v>
      </c>
      <c r="D28" s="144" t="s">
        <v>415</v>
      </c>
      <c r="E28" s="144" t="s">
        <v>416</v>
      </c>
      <c r="F28" s="144" t="s">
        <v>1200</v>
      </c>
      <c r="G28" s="144" t="s">
        <v>364</v>
      </c>
      <c r="H28" s="144" t="s">
        <v>249</v>
      </c>
      <c r="I28" s="144">
        <v>366</v>
      </c>
      <c r="J28" s="144" t="s">
        <v>1558</v>
      </c>
      <c r="K28" s="145">
        <v>5.89</v>
      </c>
      <c r="L28" s="143">
        <v>222.80</v>
      </c>
      <c r="M28" s="143">
        <v>1</v>
      </c>
      <c r="N28" s="143">
        <f t="shared" si="0"/>
        <v>222.80</v>
      </c>
    </row>
    <row r="29" spans="1:14" ht="15.75">
      <c r="A29" s="144">
        <v>2084</v>
      </c>
      <c r="B29" s="144" t="s">
        <v>1646</v>
      </c>
      <c r="C29" s="144" t="s">
        <v>1767</v>
      </c>
      <c r="D29" s="144" t="s">
        <v>397</v>
      </c>
      <c r="E29" s="144" t="s">
        <v>398</v>
      </c>
      <c r="F29" s="144" t="s">
        <v>1192</v>
      </c>
      <c r="G29" s="144" t="s">
        <v>364</v>
      </c>
      <c r="H29" s="144" t="s">
        <v>249</v>
      </c>
      <c r="I29" s="144">
        <v>367</v>
      </c>
      <c r="J29" s="144" t="s">
        <v>1556</v>
      </c>
      <c r="K29" s="145">
        <v>2.39</v>
      </c>
      <c r="L29" s="143">
        <v>205</v>
      </c>
      <c r="M29" s="143">
        <v>1</v>
      </c>
      <c r="N29" s="143">
        <f t="shared" si="0"/>
        <v>205</v>
      </c>
    </row>
    <row r="30" spans="1:14" ht="15.75">
      <c r="A30" s="144">
        <v>2085</v>
      </c>
      <c r="B30" s="144" t="s">
        <v>1647</v>
      </c>
      <c r="C30" s="144" t="s">
        <v>1761</v>
      </c>
      <c r="D30" s="144" t="s">
        <v>403</v>
      </c>
      <c r="E30" s="144" t="s">
        <v>404</v>
      </c>
      <c r="F30" s="144" t="s">
        <v>1195</v>
      </c>
      <c r="G30" s="144" t="s">
        <v>364</v>
      </c>
      <c r="H30" s="144" t="s">
        <v>249</v>
      </c>
      <c r="I30" s="144">
        <v>368</v>
      </c>
      <c r="J30" s="144" t="s">
        <v>1557</v>
      </c>
      <c r="K30" s="145">
        <v>4.99</v>
      </c>
      <c r="L30" s="143">
        <v>137</v>
      </c>
      <c r="M30" s="143">
        <v>1</v>
      </c>
      <c r="N30" s="143">
        <f t="shared" si="0"/>
        <v>137</v>
      </c>
    </row>
    <row r="31" spans="1:14" ht="15.75">
      <c r="A31" s="144">
        <v>2086</v>
      </c>
      <c r="B31" s="144" t="s">
        <v>1648</v>
      </c>
      <c r="C31" s="144" t="s">
        <v>1782</v>
      </c>
      <c r="D31" s="144" t="s">
        <v>765</v>
      </c>
      <c r="E31" s="144" t="s">
        <v>766</v>
      </c>
      <c r="F31" s="144" t="s">
        <v>1303</v>
      </c>
      <c r="G31" s="144" t="s">
        <v>763</v>
      </c>
      <c r="H31" s="144" t="s">
        <v>201</v>
      </c>
      <c r="I31" s="144">
        <v>369</v>
      </c>
      <c r="J31" s="144" t="s">
        <v>1545</v>
      </c>
      <c r="K31" s="145">
        <v>34.72</v>
      </c>
      <c r="L31" s="143">
        <v>11</v>
      </c>
      <c r="M31" s="143">
        <v>5</v>
      </c>
      <c r="N31" s="143">
        <v>55</v>
      </c>
    </row>
    <row r="32" spans="1:14" ht="15.75">
      <c r="A32" s="144">
        <v>2087</v>
      </c>
      <c r="B32" s="144" t="s">
        <v>1649</v>
      </c>
      <c r="C32" s="144" t="s">
        <v>1782</v>
      </c>
      <c r="D32" s="144" t="s">
        <v>294</v>
      </c>
      <c r="E32" s="144" t="s">
        <v>295</v>
      </c>
      <c r="F32" s="144" t="s">
        <v>1158</v>
      </c>
      <c r="G32" s="144" t="s">
        <v>296</v>
      </c>
      <c r="H32" s="144" t="s">
        <v>297</v>
      </c>
      <c r="I32" s="144">
        <v>370</v>
      </c>
      <c r="J32" s="144">
        <v>5355</v>
      </c>
      <c r="K32" s="145">
        <v>30.60</v>
      </c>
      <c r="L32" s="143">
        <v>4</v>
      </c>
      <c r="M32" s="143">
        <v>12</v>
      </c>
      <c r="N32" s="143">
        <v>48</v>
      </c>
    </row>
    <row r="33" spans="1:14" ht="15.75">
      <c r="A33" s="144">
        <v>2088</v>
      </c>
      <c r="B33" s="144" t="s">
        <v>1650</v>
      </c>
      <c r="C33" s="144" t="s">
        <v>1780</v>
      </c>
      <c r="D33" s="144" t="s">
        <v>405</v>
      </c>
      <c r="E33" s="144" t="s">
        <v>406</v>
      </c>
      <c r="F33" s="144" t="s">
        <v>1762</v>
      </c>
      <c r="G33" s="144" t="s">
        <v>364</v>
      </c>
      <c r="H33" s="144" t="s">
        <v>249</v>
      </c>
      <c r="I33" s="144">
        <v>371</v>
      </c>
      <c r="J33" s="144" t="s">
        <v>1402</v>
      </c>
      <c r="K33" s="145">
        <v>14</v>
      </c>
      <c r="L33" s="143">
        <v>34.749999999999986</v>
      </c>
      <c r="M33" s="143">
        <v>1</v>
      </c>
      <c r="N33" s="143">
        <f t="shared" si="1" ref="N33:N49">L33*M33</f>
        <v>34.749999999999986</v>
      </c>
    </row>
    <row r="34" spans="1:14" ht="15.75">
      <c r="A34" s="144">
        <v>2089</v>
      </c>
      <c r="B34" s="144" t="s">
        <v>1651</v>
      </c>
      <c r="C34" s="144" t="s">
        <v>1782</v>
      </c>
      <c r="D34" s="144" t="s">
        <v>371</v>
      </c>
      <c r="E34" s="144" t="s">
        <v>372</v>
      </c>
      <c r="F34" s="144" t="s">
        <v>1179</v>
      </c>
      <c r="G34" s="144" t="s">
        <v>364</v>
      </c>
      <c r="H34" s="144" t="s">
        <v>249</v>
      </c>
      <c r="I34" s="144">
        <v>372</v>
      </c>
      <c r="J34" s="144">
        <v>5006</v>
      </c>
      <c r="K34" s="145">
        <v>1.99</v>
      </c>
      <c r="L34" s="143">
        <v>0</v>
      </c>
      <c r="M34" s="143">
        <v>1</v>
      </c>
      <c r="N34" s="143">
        <f t="shared" si="1"/>
        <v>0</v>
      </c>
    </row>
    <row r="35" spans="1:14" ht="15.75">
      <c r="A35" s="144">
        <v>2090</v>
      </c>
      <c r="B35" s="144" t="s">
        <v>1652</v>
      </c>
      <c r="C35" s="144" t="s">
        <v>1761</v>
      </c>
      <c r="D35" s="144" t="s">
        <v>373</v>
      </c>
      <c r="E35" s="144" t="s">
        <v>374</v>
      </c>
      <c r="F35" s="144" t="s">
        <v>1180</v>
      </c>
      <c r="G35" s="144" t="s">
        <v>364</v>
      </c>
      <c r="H35" s="144" t="s">
        <v>42</v>
      </c>
      <c r="I35" s="144">
        <v>373</v>
      </c>
      <c r="J35" s="144">
        <v>5000</v>
      </c>
      <c r="K35" s="145">
        <v>16.10</v>
      </c>
      <c r="L35" s="143">
        <v>0</v>
      </c>
      <c r="M35" s="143">
        <v>10</v>
      </c>
      <c r="N35" s="143">
        <f t="shared" si="1"/>
        <v>0</v>
      </c>
    </row>
    <row r="36" spans="1:14" ht="15.75">
      <c r="A36" s="144">
        <v>2091</v>
      </c>
      <c r="B36" s="144" t="s">
        <v>1653</v>
      </c>
      <c r="C36" s="144" t="s">
        <v>1764</v>
      </c>
      <c r="D36" s="144" t="s">
        <v>375</v>
      </c>
      <c r="E36" s="144" t="s">
        <v>376</v>
      </c>
      <c r="F36" s="144" t="s">
        <v>1181</v>
      </c>
      <c r="G36" s="144" t="s">
        <v>364</v>
      </c>
      <c r="H36" s="144" t="s">
        <v>249</v>
      </c>
      <c r="I36" s="144">
        <v>375</v>
      </c>
      <c r="J36" s="144">
        <v>5005</v>
      </c>
      <c r="K36" s="145">
        <v>2.78</v>
      </c>
      <c r="L36" s="143">
        <v>0</v>
      </c>
      <c r="M36" s="143">
        <v>1</v>
      </c>
      <c r="N36" s="143">
        <f t="shared" si="1"/>
        <v>0</v>
      </c>
    </row>
    <row r="37" spans="1:14" ht="15.75">
      <c r="A37" s="144">
        <v>2092</v>
      </c>
      <c r="B37" s="144" t="s">
        <v>1654</v>
      </c>
      <c r="C37" s="144" t="s">
        <v>1761</v>
      </c>
      <c r="D37" s="144" t="s">
        <v>377</v>
      </c>
      <c r="E37" s="144" t="s">
        <v>378</v>
      </c>
      <c r="F37" s="144" t="s">
        <v>1182</v>
      </c>
      <c r="G37" s="144" t="s">
        <v>364</v>
      </c>
      <c r="H37" s="144" t="s">
        <v>42</v>
      </c>
      <c r="I37" s="144">
        <v>376</v>
      </c>
      <c r="J37" s="144">
        <v>5000</v>
      </c>
      <c r="K37" s="145">
        <v>9</v>
      </c>
      <c r="L37" s="143">
        <v>0</v>
      </c>
      <c r="M37" s="143">
        <v>10</v>
      </c>
      <c r="N37" s="143">
        <f t="shared" si="1"/>
        <v>0</v>
      </c>
    </row>
    <row r="38" spans="1:14" ht="15.75">
      <c r="A38" s="144">
        <v>2093</v>
      </c>
      <c r="B38" s="144" t="s">
        <v>1655</v>
      </c>
      <c r="C38" s="144" t="s">
        <v>1765</v>
      </c>
      <c r="D38" s="144" t="s">
        <v>383</v>
      </c>
      <c r="E38" s="144" t="s">
        <v>384</v>
      </c>
      <c r="F38" s="144" t="s">
        <v>1185</v>
      </c>
      <c r="G38" s="144" t="s">
        <v>364</v>
      </c>
      <c r="H38" s="144" t="s">
        <v>249</v>
      </c>
      <c r="I38" s="144">
        <v>377</v>
      </c>
      <c r="J38" s="144">
        <v>5009</v>
      </c>
      <c r="K38" s="145">
        <v>4.55</v>
      </c>
      <c r="L38" s="143">
        <v>0</v>
      </c>
      <c r="M38" s="143">
        <v>1</v>
      </c>
      <c r="N38" s="143">
        <f t="shared" si="1"/>
        <v>0</v>
      </c>
    </row>
    <row r="39" spans="1:14" ht="15.75">
      <c r="A39" s="144">
        <v>2094</v>
      </c>
      <c r="B39" s="144" t="s">
        <v>1656</v>
      </c>
      <c r="C39" s="144" t="s">
        <v>1758</v>
      </c>
      <c r="D39" s="144" t="s">
        <v>385</v>
      </c>
      <c r="E39" s="144" t="s">
        <v>386</v>
      </c>
      <c r="F39" s="144" t="s">
        <v>1188</v>
      </c>
      <c r="G39" s="144" t="s">
        <v>364</v>
      </c>
      <c r="H39" s="144" t="s">
        <v>249</v>
      </c>
      <c r="I39" s="144">
        <v>378</v>
      </c>
      <c r="J39" s="144">
        <v>5002</v>
      </c>
      <c r="K39" s="145">
        <v>1.09</v>
      </c>
      <c r="L39" s="143">
        <v>0</v>
      </c>
      <c r="M39" s="143">
        <v>1</v>
      </c>
      <c r="N39" s="143">
        <f t="shared" si="1"/>
        <v>0</v>
      </c>
    </row>
    <row r="40" spans="1:14" ht="15.75">
      <c r="A40" s="144">
        <v>2095</v>
      </c>
      <c r="B40" s="144" t="s">
        <v>1657</v>
      </c>
      <c r="C40" s="144" t="s">
        <v>1757</v>
      </c>
      <c r="D40" s="144" t="s">
        <v>387</v>
      </c>
      <c r="E40" s="144" t="s">
        <v>388</v>
      </c>
      <c r="F40" s="144" t="s">
        <v>1186</v>
      </c>
      <c r="G40" s="144" t="s">
        <v>364</v>
      </c>
      <c r="H40" s="144" t="s">
        <v>249</v>
      </c>
      <c r="I40" s="144">
        <v>379</v>
      </c>
      <c r="J40" s="144">
        <v>5004</v>
      </c>
      <c r="K40" s="145">
        <v>1.49</v>
      </c>
      <c r="L40" s="143">
        <v>0</v>
      </c>
      <c r="M40" s="143">
        <v>1</v>
      </c>
      <c r="N40" s="143">
        <f t="shared" si="1"/>
        <v>0</v>
      </c>
    </row>
    <row r="41" spans="1:14" ht="15.75">
      <c r="A41" s="144">
        <v>2096</v>
      </c>
      <c r="B41" s="144" t="s">
        <v>1658</v>
      </c>
      <c r="C41" s="144" t="s">
        <v>1758</v>
      </c>
      <c r="D41" s="144" t="s">
        <v>391</v>
      </c>
      <c r="E41" s="144" t="s">
        <v>392</v>
      </c>
      <c r="F41" s="144" t="s">
        <v>1189</v>
      </c>
      <c r="G41" s="144" t="s">
        <v>364</v>
      </c>
      <c r="H41" s="144" t="s">
        <v>249</v>
      </c>
      <c r="I41" s="144">
        <v>380</v>
      </c>
      <c r="J41" s="144">
        <v>5002</v>
      </c>
      <c r="K41" s="145">
        <v>1.09</v>
      </c>
      <c r="L41" s="143">
        <v>0</v>
      </c>
      <c r="M41" s="143">
        <v>1</v>
      </c>
      <c r="N41" s="143">
        <f t="shared" si="1"/>
        <v>0</v>
      </c>
    </row>
    <row r="42" spans="1:14" ht="15.75">
      <c r="A42" s="144">
        <v>2097</v>
      </c>
      <c r="B42" s="144" t="s">
        <v>1659</v>
      </c>
      <c r="C42" s="144" t="s">
        <v>1767</v>
      </c>
      <c r="D42" s="144" t="s">
        <v>411</v>
      </c>
      <c r="E42" s="144" t="s">
        <v>412</v>
      </c>
      <c r="F42" s="144" t="s">
        <v>1199</v>
      </c>
      <c r="G42" s="144" t="s">
        <v>364</v>
      </c>
      <c r="H42" s="144" t="s">
        <v>249</v>
      </c>
      <c r="I42" s="144">
        <v>381</v>
      </c>
      <c r="J42" s="144">
        <v>5500</v>
      </c>
      <c r="K42" s="145">
        <v>2.25</v>
      </c>
      <c r="L42" s="143">
        <v>0</v>
      </c>
      <c r="M42" s="143">
        <v>1</v>
      </c>
      <c r="N42" s="143">
        <f t="shared" si="1"/>
        <v>0</v>
      </c>
    </row>
    <row r="43" spans="1:14" ht="15.75">
      <c r="A43" s="144">
        <v>2098</v>
      </c>
      <c r="B43" s="144" t="s">
        <v>1660</v>
      </c>
      <c r="C43" s="144" t="s">
        <v>1758</v>
      </c>
      <c r="D43" s="144" t="s">
        <v>417</v>
      </c>
      <c r="E43" s="144" t="s">
        <v>418</v>
      </c>
      <c r="F43" s="144" t="s">
        <v>1201</v>
      </c>
      <c r="G43" s="144" t="s">
        <v>364</v>
      </c>
      <c r="H43" s="144" t="s">
        <v>249</v>
      </c>
      <c r="I43" s="144">
        <v>382</v>
      </c>
      <c r="J43" s="144">
        <v>5002</v>
      </c>
      <c r="K43" s="145">
        <v>1.13</v>
      </c>
      <c r="L43" s="143">
        <v>0</v>
      </c>
      <c r="M43" s="143">
        <v>1</v>
      </c>
      <c r="N43" s="143">
        <f t="shared" si="1"/>
        <v>0</v>
      </c>
    </row>
    <row r="44" spans="1:14" ht="15.75">
      <c r="A44" s="144">
        <v>2099</v>
      </c>
      <c r="B44" s="144" t="s">
        <v>1661</v>
      </c>
      <c r="C44" s="144" t="s">
        <v>1764</v>
      </c>
      <c r="D44" s="144" t="s">
        <v>423</v>
      </c>
      <c r="E44" s="144" t="s">
        <v>424</v>
      </c>
      <c r="F44" s="144" t="s">
        <v>1206</v>
      </c>
      <c r="G44" s="144" t="s">
        <v>364</v>
      </c>
      <c r="H44" s="144" t="s">
        <v>249</v>
      </c>
      <c r="I44" s="144">
        <v>383</v>
      </c>
      <c r="J44" s="144">
        <v>5005</v>
      </c>
      <c r="K44" s="145">
        <v>3.29</v>
      </c>
      <c r="L44" s="143">
        <v>0</v>
      </c>
      <c r="M44" s="143">
        <v>1</v>
      </c>
      <c r="N44" s="143">
        <f t="shared" si="1"/>
        <v>0</v>
      </c>
    </row>
    <row r="45" spans="1:14" ht="15.75">
      <c r="A45" s="144">
        <v>2100</v>
      </c>
      <c r="B45" s="144" t="s">
        <v>1662</v>
      </c>
      <c r="C45" s="144" t="s">
        <v>1780</v>
      </c>
      <c r="D45" s="144" t="s">
        <v>427</v>
      </c>
      <c r="E45" s="144" t="s">
        <v>428</v>
      </c>
      <c r="F45" s="144" t="s">
        <v>1204</v>
      </c>
      <c r="G45" s="144" t="s">
        <v>364</v>
      </c>
      <c r="H45" s="144" t="s">
        <v>249</v>
      </c>
      <c r="I45" s="144">
        <v>384</v>
      </c>
      <c r="J45" s="144">
        <v>5108</v>
      </c>
      <c r="K45" s="145">
        <v>3.80</v>
      </c>
      <c r="L45" s="143">
        <v>0</v>
      </c>
      <c r="M45" s="143">
        <v>1</v>
      </c>
      <c r="N45" s="143">
        <f t="shared" si="1"/>
        <v>0</v>
      </c>
    </row>
    <row r="46" spans="1:14" ht="15.75">
      <c r="A46" s="144">
        <v>2101</v>
      </c>
      <c r="B46" s="144" t="s">
        <v>1663</v>
      </c>
      <c r="C46" s="144" t="s">
        <v>1764</v>
      </c>
      <c r="D46" s="144" t="s">
        <v>429</v>
      </c>
      <c r="E46" s="144" t="s">
        <v>430</v>
      </c>
      <c r="F46" s="144" t="s">
        <v>1205</v>
      </c>
      <c r="G46" s="144" t="s">
        <v>364</v>
      </c>
      <c r="H46" s="144" t="s">
        <v>249</v>
      </c>
      <c r="I46" s="144">
        <v>385</v>
      </c>
      <c r="J46" s="144">
        <v>5005</v>
      </c>
      <c r="K46" s="145">
        <v>3.09</v>
      </c>
      <c r="L46" s="143">
        <v>0</v>
      </c>
      <c r="M46" s="143">
        <v>1</v>
      </c>
      <c r="N46" s="143">
        <f t="shared" si="1"/>
        <v>0</v>
      </c>
    </row>
    <row r="47" spans="1:14" ht="15.75">
      <c r="A47" s="144">
        <v>2102</v>
      </c>
      <c r="B47" s="144" t="s">
        <v>1664</v>
      </c>
      <c r="C47" s="144" t="s">
        <v>1761</v>
      </c>
      <c r="D47" s="144" t="s">
        <v>433</v>
      </c>
      <c r="E47" s="144" t="s">
        <v>434</v>
      </c>
      <c r="F47" s="144" t="s">
        <v>1208</v>
      </c>
      <c r="G47" s="144" t="s">
        <v>364</v>
      </c>
      <c r="H47" s="144" t="s">
        <v>249</v>
      </c>
      <c r="I47" s="144">
        <v>386</v>
      </c>
      <c r="J47" s="144">
        <v>5000</v>
      </c>
      <c r="K47" s="145">
        <v>1.62</v>
      </c>
      <c r="L47" s="143">
        <v>0</v>
      </c>
      <c r="M47" s="143">
        <v>1</v>
      </c>
      <c r="N47" s="143">
        <f t="shared" si="1"/>
        <v>0</v>
      </c>
    </row>
    <row r="48" spans="1:14" ht="15.75">
      <c r="A48" s="144">
        <v>2103</v>
      </c>
      <c r="B48" s="144" t="s">
        <v>1774</v>
      </c>
      <c r="C48" s="144" t="s">
        <v>1764</v>
      </c>
      <c r="D48" s="144" t="s">
        <v>449</v>
      </c>
      <c r="E48" s="144" t="s">
        <v>450</v>
      </c>
      <c r="F48" s="144" t="s">
        <v>1212</v>
      </c>
      <c r="G48" s="144" t="s">
        <v>364</v>
      </c>
      <c r="H48" s="144" t="s">
        <v>332</v>
      </c>
      <c r="I48" s="144">
        <v>387</v>
      </c>
      <c r="J48" s="144">
        <v>5005</v>
      </c>
      <c r="K48" s="145">
        <v>2.99</v>
      </c>
      <c r="L48" s="143">
        <v>0</v>
      </c>
      <c r="M48" s="143">
        <v>1</v>
      </c>
      <c r="N48" s="143">
        <f t="shared" si="1"/>
        <v>0</v>
      </c>
    </row>
    <row r="49" spans="1:14" ht="15.75">
      <c r="A49" s="144">
        <v>2104</v>
      </c>
      <c r="B49" s="144" t="s">
        <v>1775</v>
      </c>
      <c r="C49" s="144" t="s">
        <v>1761</v>
      </c>
      <c r="D49" s="144" t="s">
        <v>451</v>
      </c>
      <c r="E49" s="144" t="s">
        <v>452</v>
      </c>
      <c r="F49" s="144" t="s">
        <v>1213</v>
      </c>
      <c r="G49" s="144" t="s">
        <v>364</v>
      </c>
      <c r="H49" s="144" t="s">
        <v>332</v>
      </c>
      <c r="I49" s="144">
        <v>388</v>
      </c>
      <c r="J49" s="144">
        <v>5000</v>
      </c>
      <c r="K49" s="145">
        <v>1.69</v>
      </c>
      <c r="L49" s="143">
        <v>0</v>
      </c>
      <c r="M49" s="143">
        <v>1</v>
      </c>
      <c r="N49" s="143">
        <f t="shared" si="1"/>
        <v>0</v>
      </c>
    </row>
    <row r="50" spans="1:14" ht="15.75">
      <c r="A50" s="144">
        <v>2325</v>
      </c>
      <c r="B50" s="144" t="s">
        <v>1937</v>
      </c>
      <c r="C50" s="144" t="s">
        <v>1761</v>
      </c>
      <c r="D50" s="144" t="s">
        <v>1928</v>
      </c>
      <c r="E50" s="144" t="s">
        <v>1929</v>
      </c>
      <c r="F50" s="144" t="s">
        <v>1932</v>
      </c>
      <c r="G50" s="144" t="s">
        <v>364</v>
      </c>
      <c r="H50" s="144" t="s">
        <v>332</v>
      </c>
      <c r="I50" s="144"/>
      <c r="J50" s="144">
        <v>5000</v>
      </c>
      <c r="K50" s="145">
        <v>1.93</v>
      </c>
      <c r="L50" s="143"/>
      <c r="M50" s="143"/>
      <c r="N50" s="143"/>
    </row>
    <row r="51" spans="1:14" ht="15.75">
      <c r="A51" s="144">
        <v>2326</v>
      </c>
      <c r="B51" s="144" t="s">
        <v>1938</v>
      </c>
      <c r="C51" s="144" t="s">
        <v>1764</v>
      </c>
      <c r="D51" s="144" t="s">
        <v>1935</v>
      </c>
      <c r="E51" s="144" t="s">
        <v>1930</v>
      </c>
      <c r="F51" s="144" t="s">
        <v>1933</v>
      </c>
      <c r="G51" s="144" t="s">
        <v>364</v>
      </c>
      <c r="H51" s="144" t="s">
        <v>332</v>
      </c>
      <c r="I51" s="144"/>
      <c r="J51" s="144">
        <v>5005</v>
      </c>
      <c r="K51" s="145">
        <v>3.49</v>
      </c>
      <c r="L51" s="143"/>
      <c r="M51" s="143"/>
      <c r="N51" s="143"/>
    </row>
    <row r="52" spans="1:14" ht="15.75">
      <c r="A52" s="144">
        <v>2327</v>
      </c>
      <c r="B52" s="144" t="s">
        <v>1939</v>
      </c>
      <c r="C52" s="144" t="s">
        <v>1764</v>
      </c>
      <c r="D52" s="144" t="s">
        <v>1936</v>
      </c>
      <c r="E52" s="144" t="s">
        <v>1931</v>
      </c>
      <c r="F52" s="144" t="s">
        <v>1934</v>
      </c>
      <c r="G52" s="144" t="s">
        <v>364</v>
      </c>
      <c r="H52" s="144" t="s">
        <v>332</v>
      </c>
      <c r="I52" s="144"/>
      <c r="J52" s="144">
        <v>5005</v>
      </c>
      <c r="K52" s="145">
        <v>3.49</v>
      </c>
      <c r="L52" s="143"/>
      <c r="M52" s="143"/>
      <c r="N52" s="143"/>
    </row>
    <row r="53" spans="1:14" ht="15.75">
      <c r="A53" s="144">
        <v>2535</v>
      </c>
      <c r="B53" s="144" t="s">
        <v>1990</v>
      </c>
      <c r="C53" s="144" t="s">
        <v>1782</v>
      </c>
      <c r="D53" s="144"/>
      <c r="E53" s="144" t="s">
        <v>1996</v>
      </c>
      <c r="F53" s="144" t="s">
        <v>1993</v>
      </c>
      <c r="G53" s="144" t="s">
        <v>364</v>
      </c>
      <c r="H53" s="144" t="s">
        <v>332</v>
      </c>
      <c r="I53" s="144"/>
      <c r="J53" s="144">
        <v>5612</v>
      </c>
      <c r="K53" s="145">
        <v>3.49</v>
      </c>
      <c r="L53" s="143"/>
      <c r="M53" s="143"/>
      <c r="N53" s="143"/>
    </row>
    <row r="54" spans="1:14" ht="15.75">
      <c r="A54" s="144">
        <v>2545</v>
      </c>
      <c r="B54" s="144" t="s">
        <v>1991</v>
      </c>
      <c r="C54" s="144" t="s">
        <v>1759</v>
      </c>
      <c r="D54" s="144"/>
      <c r="E54" s="144" t="s">
        <v>1997</v>
      </c>
      <c r="F54" s="144" t="s">
        <v>1994</v>
      </c>
      <c r="G54" s="144" t="s">
        <v>364</v>
      </c>
      <c r="H54" s="144" t="s">
        <v>332</v>
      </c>
      <c r="I54" s="144"/>
      <c r="J54" s="144">
        <v>5001</v>
      </c>
      <c r="K54" s="145">
        <v>10.2</v>
      </c>
      <c r="L54" s="143"/>
      <c r="M54" s="143"/>
      <c r="N54" s="143"/>
    </row>
    <row r="55" spans="1:14" ht="15.75">
      <c r="A55" s="144">
        <v>2546</v>
      </c>
      <c r="B55" s="144" t="s">
        <v>1992</v>
      </c>
      <c r="C55" s="144" t="s">
        <v>1782</v>
      </c>
      <c r="D55" s="144"/>
      <c r="E55" s="144" t="s">
        <v>1998</v>
      </c>
      <c r="F55" s="144" t="s">
        <v>1995</v>
      </c>
      <c r="G55" s="144" t="s">
        <v>364</v>
      </c>
      <c r="H55" s="144" t="s">
        <v>332</v>
      </c>
      <c r="I55" s="144"/>
      <c r="J55" s="144">
        <v>5004</v>
      </c>
      <c r="K55" s="145">
        <v>17.40</v>
      </c>
      <c r="L55" s="143"/>
      <c r="M55" s="143"/>
      <c r="N55" s="143"/>
    </row>
  </sheetData>
  <conditionalFormatting sqref="F3:F55">
    <cfRule type="duplicateValues" priority="1" dxfId="10"/>
  </conditionalFormatting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3C2424-4A2A-49D5-806F-BAC8252D332B}">
  <dimension ref="A1:V74"/>
  <sheetViews>
    <sheetView zoomScale="85" zoomScaleNormal="85" workbookViewId="0" topLeftCell="A1">
      <pane ySplit="1" topLeftCell="A51" activePane="bottomLeft" state="frozen"/>
      <selection pane="topLeft" activeCell="A1" sqref="A1"/>
      <selection pane="bottomLeft" activeCell="I75" sqref="I75"/>
    </sheetView>
  </sheetViews>
  <sheetFormatPr defaultRowHeight="15"/>
  <cols>
    <col min="1" max="1" width="7.28571428571429" style="131" bestFit="1" customWidth="1"/>
    <col min="2" max="2" width="20.7142857142857" style="147" bestFit="1" customWidth="1"/>
    <col min="3" max="3" width="22.8571428571429" style="131" bestFit="1" customWidth="1"/>
    <col min="4" max="4" width="16.8571428571429" style="131" bestFit="1" customWidth="1"/>
    <col min="5" max="5" width="76.5714285714286" style="174" customWidth="1"/>
    <col min="6" max="6" width="41" style="174" bestFit="1" customWidth="1"/>
    <col min="7" max="7" width="45.7142857142857" style="131" bestFit="1" customWidth="1"/>
    <col min="8" max="8" width="16.1428571428571" style="131" bestFit="1" customWidth="1"/>
    <col min="9" max="10" width="7.71428571428571" style="131" customWidth="1"/>
    <col min="11" max="13" width="0" style="131" hidden="1" customWidth="1"/>
    <col min="14" max="14" width="10.7142857142857" style="150" bestFit="1" customWidth="1"/>
    <col min="15" max="16384" width="9.14285714285714" style="131"/>
  </cols>
  <sheetData>
    <row r="1" spans="1:14" s="121" customFormat="1" ht="15.75">
      <c r="A1" s="121" t="s">
        <v>1785</v>
      </c>
      <c r="B1" s="121" t="s">
        <v>1729</v>
      </c>
      <c r="C1" s="121" t="s">
        <v>1730</v>
      </c>
      <c r="D1" s="121" t="s">
        <v>0</v>
      </c>
      <c r="E1" s="122" t="s">
        <v>1</v>
      </c>
      <c r="F1" s="122" t="s">
        <v>1060</v>
      </c>
      <c r="G1" s="121" t="s">
        <v>2</v>
      </c>
      <c r="H1" s="121" t="s">
        <v>3</v>
      </c>
      <c r="I1" s="121" t="s">
        <v>1918</v>
      </c>
      <c r="J1" s="121" t="s">
        <v>1026</v>
      </c>
      <c r="K1" s="121" t="s">
        <v>1388</v>
      </c>
      <c r="L1" s="121" t="s">
        <v>1389</v>
      </c>
      <c r="M1" s="121" t="s">
        <v>1406</v>
      </c>
      <c r="N1" s="140" t="s">
        <v>1913</v>
      </c>
    </row>
    <row r="2" spans="1:15" ht="15.75">
      <c r="A2" s="144">
        <v>1879</v>
      </c>
      <c r="B2" s="144" t="s">
        <v>1562</v>
      </c>
      <c r="C2" s="144" t="s">
        <v>1036</v>
      </c>
      <c r="D2" s="144" t="s">
        <v>540</v>
      </c>
      <c r="E2" s="125" t="s">
        <v>541</v>
      </c>
      <c r="F2" s="125" t="s">
        <v>1244</v>
      </c>
      <c r="G2" s="144" t="s">
        <v>542</v>
      </c>
      <c r="H2" s="144" t="s">
        <v>543</v>
      </c>
      <c r="I2" s="144">
        <v>164</v>
      </c>
      <c r="J2" s="144" t="s">
        <v>1536</v>
      </c>
      <c r="K2" s="144">
        <v>216</v>
      </c>
      <c r="L2" s="144">
        <v>1000</v>
      </c>
      <c r="M2" s="144">
        <f t="shared" si="0" ref="M2:M7">K2*L2</f>
        <v>216000</v>
      </c>
      <c r="N2" s="151">
        <v>1070</v>
      </c>
      <c r="O2" s="146"/>
    </row>
    <row r="3" spans="1:15" ht="15.75">
      <c r="A3" s="144">
        <v>1880</v>
      </c>
      <c r="B3" s="144" t="s">
        <v>1563</v>
      </c>
      <c r="C3" s="144" t="s">
        <v>1039</v>
      </c>
      <c r="D3" s="144" t="s">
        <v>937</v>
      </c>
      <c r="E3" s="125" t="s">
        <v>938</v>
      </c>
      <c r="F3" s="125" t="s">
        <v>1335</v>
      </c>
      <c r="G3" s="144" t="s">
        <v>917</v>
      </c>
      <c r="H3" s="144" t="s">
        <v>939</v>
      </c>
      <c r="I3" s="144">
        <v>165</v>
      </c>
      <c r="J3" s="144" t="s">
        <v>1537</v>
      </c>
      <c r="K3" s="144">
        <v>4077</v>
      </c>
      <c r="L3" s="144">
        <v>16</v>
      </c>
      <c r="M3" s="144">
        <f t="shared" si="0"/>
        <v>65232</v>
      </c>
      <c r="N3" s="151">
        <v>15.20</v>
      </c>
      <c r="O3" s="146"/>
    </row>
    <row r="4" spans="1:15" ht="15.75">
      <c r="A4" s="144">
        <v>1881</v>
      </c>
      <c r="B4" s="144" t="s">
        <v>1564</v>
      </c>
      <c r="C4" s="144" t="s">
        <v>1028</v>
      </c>
      <c r="D4" s="144" t="s">
        <v>733</v>
      </c>
      <c r="E4" s="125" t="s">
        <v>734</v>
      </c>
      <c r="F4" s="125" t="s">
        <v>1290</v>
      </c>
      <c r="G4" s="144" t="s">
        <v>735</v>
      </c>
      <c r="H4" s="144" t="s">
        <v>732</v>
      </c>
      <c r="I4" s="144">
        <v>166</v>
      </c>
      <c r="J4" s="144">
        <v>5007</v>
      </c>
      <c r="K4" s="144">
        <v>15125</v>
      </c>
      <c r="L4" s="144">
        <v>2</v>
      </c>
      <c r="M4" s="144">
        <f t="shared" si="0"/>
        <v>30250</v>
      </c>
      <c r="N4" s="151">
        <v>0.35</v>
      </c>
      <c r="O4" s="146"/>
    </row>
    <row r="5" spans="1:15" s="137" customFormat="1" ht="15.75">
      <c r="A5" s="144">
        <v>1882</v>
      </c>
      <c r="B5" s="144" t="s">
        <v>1565</v>
      </c>
      <c r="C5" s="144" t="s">
        <v>1028</v>
      </c>
      <c r="D5" s="144" t="s">
        <v>729</v>
      </c>
      <c r="E5" s="125" t="s">
        <v>730</v>
      </c>
      <c r="F5" s="125" t="s">
        <v>1291</v>
      </c>
      <c r="G5" s="144" t="s">
        <v>731</v>
      </c>
      <c r="H5" s="144" t="s">
        <v>732</v>
      </c>
      <c r="I5" s="144">
        <v>167</v>
      </c>
      <c r="J5" s="144">
        <v>5007</v>
      </c>
      <c r="K5" s="144">
        <v>12444</v>
      </c>
      <c r="L5" s="144">
        <v>2</v>
      </c>
      <c r="M5" s="144">
        <f t="shared" si="0"/>
        <v>24888</v>
      </c>
      <c r="N5" s="151">
        <v>0.80</v>
      </c>
      <c r="O5" s="146"/>
    </row>
    <row r="6" spans="1:15" ht="15.75">
      <c r="A6" s="144">
        <v>1883</v>
      </c>
      <c r="B6" s="144" t="s">
        <v>1566</v>
      </c>
      <c r="C6" s="144" t="s">
        <v>1039</v>
      </c>
      <c r="D6" s="144" t="s">
        <v>1020</v>
      </c>
      <c r="E6" s="125" t="s">
        <v>1021</v>
      </c>
      <c r="F6" s="125" t="s">
        <v>1355</v>
      </c>
      <c r="G6" s="144" t="s">
        <v>1022</v>
      </c>
      <c r="H6" s="144" t="s">
        <v>959</v>
      </c>
      <c r="I6" s="144">
        <v>168</v>
      </c>
      <c r="J6" s="144" t="s">
        <v>1538</v>
      </c>
      <c r="K6" s="144">
        <v>1430</v>
      </c>
      <c r="L6" s="144">
        <v>16</v>
      </c>
      <c r="M6" s="144">
        <f t="shared" si="0"/>
        <v>22880</v>
      </c>
      <c r="N6" s="151">
        <v>8.24</v>
      </c>
      <c r="O6" s="146"/>
    </row>
    <row r="7" spans="1:15" ht="15.75">
      <c r="A7" s="144">
        <v>1884</v>
      </c>
      <c r="B7" s="144" t="s">
        <v>1567</v>
      </c>
      <c r="C7" s="144" t="s">
        <v>1754</v>
      </c>
      <c r="D7" s="144" t="s">
        <v>15</v>
      </c>
      <c r="E7" s="125" t="s">
        <v>16</v>
      </c>
      <c r="F7" s="125" t="s">
        <v>1152</v>
      </c>
      <c r="G7" s="144" t="s">
        <v>17</v>
      </c>
      <c r="H7" s="144" t="s">
        <v>18</v>
      </c>
      <c r="I7" s="144">
        <v>169</v>
      </c>
      <c r="J7" s="144" t="s">
        <v>1533</v>
      </c>
      <c r="K7" s="144">
        <v>1438</v>
      </c>
      <c r="L7" s="144">
        <v>15</v>
      </c>
      <c r="M7" s="144">
        <f t="shared" si="0"/>
        <v>21570</v>
      </c>
      <c r="N7" s="151">
        <v>28.95</v>
      </c>
      <c r="O7" s="146"/>
    </row>
    <row r="8" spans="1:15" ht="15.75">
      <c r="A8" s="144">
        <v>1885</v>
      </c>
      <c r="B8" s="144" t="s">
        <v>1568</v>
      </c>
      <c r="C8" s="144" t="s">
        <v>1755</v>
      </c>
      <c r="D8" s="144" t="s">
        <v>827</v>
      </c>
      <c r="E8" s="125" t="s">
        <v>828</v>
      </c>
      <c r="F8" s="125" t="s">
        <v>1268</v>
      </c>
      <c r="G8" s="144" t="s">
        <v>778</v>
      </c>
      <c r="H8" s="144" t="s">
        <v>141</v>
      </c>
      <c r="I8" s="144">
        <v>171</v>
      </c>
      <c r="J8" s="144">
        <v>5401</v>
      </c>
      <c r="K8" s="144">
        <v>1560</v>
      </c>
      <c r="L8" s="144">
        <v>10</v>
      </c>
      <c r="M8" s="144">
        <f>K8*L8+3800</f>
        <v>19400</v>
      </c>
      <c r="N8" s="151">
        <v>17.30</v>
      </c>
      <c r="O8" s="146"/>
    </row>
    <row r="9" spans="1:22" s="137" customFormat="1" ht="15.75">
      <c r="A9" s="144">
        <v>1886</v>
      </c>
      <c r="B9" s="144" t="s">
        <v>1569</v>
      </c>
      <c r="C9" s="144" t="s">
        <v>1028</v>
      </c>
      <c r="D9" s="144" t="s">
        <v>891</v>
      </c>
      <c r="E9" s="125" t="s">
        <v>892</v>
      </c>
      <c r="F9" s="125" t="s">
        <v>1322</v>
      </c>
      <c r="G9" s="144" t="s">
        <v>893</v>
      </c>
      <c r="H9" s="144" t="s">
        <v>894</v>
      </c>
      <c r="I9" s="144">
        <v>172</v>
      </c>
      <c r="J9" s="144">
        <v>5704</v>
      </c>
      <c r="K9" s="144">
        <v>350</v>
      </c>
      <c r="L9" s="144">
        <v>50</v>
      </c>
      <c r="M9" s="144">
        <f t="shared" si="1" ref="M9:M23">K9*L9</f>
        <v>17500</v>
      </c>
      <c r="N9" s="151">
        <v>25.50</v>
      </c>
      <c r="O9" s="146"/>
      <c r="P9"/>
      <c r="Q9"/>
      <c r="R9"/>
      <c r="S9"/>
      <c r="T9"/>
      <c r="U9"/>
      <c r="V9"/>
    </row>
    <row r="10" spans="1:15" ht="15.75">
      <c r="A10" s="144">
        <v>1887</v>
      </c>
      <c r="B10" s="144" t="s">
        <v>1570</v>
      </c>
      <c r="C10" s="144" t="s">
        <v>1783</v>
      </c>
      <c r="D10" s="144" t="s">
        <v>544</v>
      </c>
      <c r="E10" s="125" t="s">
        <v>545</v>
      </c>
      <c r="F10" s="125" t="s">
        <v>1239</v>
      </c>
      <c r="G10" s="144" t="s">
        <v>542</v>
      </c>
      <c r="H10" s="144" t="s">
        <v>546</v>
      </c>
      <c r="I10" s="144">
        <v>173</v>
      </c>
      <c r="J10" s="144" t="s">
        <v>1535</v>
      </c>
      <c r="K10" s="144">
        <v>504</v>
      </c>
      <c r="L10" s="144">
        <f>6*2.55</f>
        <v>15.30</v>
      </c>
      <c r="M10" s="144">
        <f t="shared" si="1"/>
        <v>7711.20</v>
      </c>
      <c r="N10" s="151">
        <v>15.50</v>
      </c>
      <c r="O10" s="146"/>
    </row>
    <row r="11" spans="1:15" ht="15.75">
      <c r="A11" s="144">
        <v>1888</v>
      </c>
      <c r="B11" s="144" t="s">
        <v>1571</v>
      </c>
      <c r="C11" s="144" t="s">
        <v>1783</v>
      </c>
      <c r="D11" s="144" t="s">
        <v>547</v>
      </c>
      <c r="E11" s="125" t="s">
        <v>548</v>
      </c>
      <c r="F11" s="125" t="s">
        <v>1240</v>
      </c>
      <c r="G11" s="144" t="s">
        <v>542</v>
      </c>
      <c r="H11" s="144" t="s">
        <v>546</v>
      </c>
      <c r="I11" s="144">
        <v>174</v>
      </c>
      <c r="J11" s="144">
        <v>5501</v>
      </c>
      <c r="K11" s="144">
        <v>441</v>
      </c>
      <c r="L11" s="144">
        <v>15.30</v>
      </c>
      <c r="M11" s="144">
        <f t="shared" si="1"/>
        <v>6747.30</v>
      </c>
      <c r="N11" s="151">
        <v>15</v>
      </c>
      <c r="O11" s="146"/>
    </row>
    <row r="12" spans="1:15" ht="15.75">
      <c r="A12" s="144">
        <v>1889</v>
      </c>
      <c r="B12" s="144" t="s">
        <v>1572</v>
      </c>
      <c r="C12" s="144" t="s">
        <v>1755</v>
      </c>
      <c r="D12" s="144" t="s">
        <v>146</v>
      </c>
      <c r="E12" s="125" t="s">
        <v>147</v>
      </c>
      <c r="F12" s="125" t="s">
        <v>147</v>
      </c>
      <c r="G12" s="144" t="s">
        <v>148</v>
      </c>
      <c r="H12" s="144" t="s">
        <v>36</v>
      </c>
      <c r="I12" s="144">
        <v>175</v>
      </c>
      <c r="J12" s="144">
        <v>5401</v>
      </c>
      <c r="K12" s="144">
        <v>238</v>
      </c>
      <c r="L12" s="144">
        <v>25</v>
      </c>
      <c r="M12" s="144">
        <f t="shared" si="1"/>
        <v>5950</v>
      </c>
      <c r="N12" s="151">
        <v>65.875</v>
      </c>
      <c r="O12" s="146"/>
    </row>
    <row r="13" spans="1:22" s="138" customFormat="1" ht="15.75">
      <c r="A13" s="144">
        <v>1890</v>
      </c>
      <c r="B13" s="144" t="s">
        <v>1573</v>
      </c>
      <c r="C13" s="144" t="s">
        <v>1755</v>
      </c>
      <c r="D13" s="144" t="s">
        <v>1015</v>
      </c>
      <c r="E13" s="125" t="s">
        <v>1016</v>
      </c>
      <c r="F13" s="125" t="s">
        <v>1354</v>
      </c>
      <c r="G13" s="144" t="s">
        <v>1014</v>
      </c>
      <c r="H13" s="144" t="s">
        <v>28</v>
      </c>
      <c r="I13" s="144">
        <v>176</v>
      </c>
      <c r="J13" s="144">
        <v>5401</v>
      </c>
      <c r="K13" s="144">
        <v>254</v>
      </c>
      <c r="L13" s="144">
        <v>20</v>
      </c>
      <c r="M13" s="144">
        <f t="shared" si="1"/>
        <v>5080</v>
      </c>
      <c r="N13" s="151">
        <v>28.45</v>
      </c>
      <c r="O13" s="146"/>
      <c r="P13"/>
      <c r="Q13"/>
      <c r="R13"/>
      <c r="S13"/>
      <c r="T13"/>
      <c r="U13"/>
      <c r="V13"/>
    </row>
    <row r="14" spans="1:15" ht="15.75">
      <c r="A14" s="144">
        <v>1891</v>
      </c>
      <c r="B14" s="144" t="s">
        <v>1574</v>
      </c>
      <c r="C14" s="144" t="s">
        <v>1755</v>
      </c>
      <c r="D14" s="144" t="s">
        <v>157</v>
      </c>
      <c r="E14" s="125" t="s">
        <v>158</v>
      </c>
      <c r="F14" s="125" t="s">
        <v>1110</v>
      </c>
      <c r="G14" s="144" t="s">
        <v>148</v>
      </c>
      <c r="H14" s="144" t="s">
        <v>36</v>
      </c>
      <c r="I14" s="144">
        <v>177</v>
      </c>
      <c r="J14" s="144" t="s">
        <v>1534</v>
      </c>
      <c r="K14" s="144">
        <v>131</v>
      </c>
      <c r="L14" s="144">
        <v>25</v>
      </c>
      <c r="M14" s="144">
        <f t="shared" si="1"/>
        <v>3275</v>
      </c>
      <c r="N14" s="151">
        <v>31.875</v>
      </c>
      <c r="O14" s="146"/>
    </row>
    <row r="15" spans="1:15" ht="15.75">
      <c r="A15" s="144">
        <v>1892</v>
      </c>
      <c r="B15" s="144" t="s">
        <v>1575</v>
      </c>
      <c r="C15" s="144" t="s">
        <v>1783</v>
      </c>
      <c r="D15" s="144" t="s">
        <v>722</v>
      </c>
      <c r="E15" s="125" t="s">
        <v>723</v>
      </c>
      <c r="F15" s="125" t="s">
        <v>1282</v>
      </c>
      <c r="G15" s="144" t="s">
        <v>724</v>
      </c>
      <c r="H15" s="144" t="s">
        <v>725</v>
      </c>
      <c r="I15" s="144">
        <v>178</v>
      </c>
      <c r="J15" s="144" t="s">
        <v>1549</v>
      </c>
      <c r="K15" s="144">
        <v>147</v>
      </c>
      <c r="L15" s="144">
        <v>18</v>
      </c>
      <c r="M15" s="144">
        <f t="shared" si="1"/>
        <v>2646</v>
      </c>
      <c r="N15" s="151">
        <v>20.95</v>
      </c>
      <c r="O15" s="146"/>
    </row>
    <row r="16" spans="1:15" ht="15.75">
      <c r="A16" s="144">
        <v>1893</v>
      </c>
      <c r="B16" s="144" t="s">
        <v>1576</v>
      </c>
      <c r="C16" s="144" t="s">
        <v>1753</v>
      </c>
      <c r="D16" s="144" t="s">
        <v>622</v>
      </c>
      <c r="E16" s="125" t="s">
        <v>623</v>
      </c>
      <c r="F16" s="125" t="s">
        <v>1262</v>
      </c>
      <c r="G16" s="144" t="s">
        <v>617</v>
      </c>
      <c r="H16" s="144" t="s">
        <v>624</v>
      </c>
      <c r="I16" s="144">
        <v>179</v>
      </c>
      <c r="J16" s="144" t="s">
        <v>1393</v>
      </c>
      <c r="K16" s="144">
        <v>70</v>
      </c>
      <c r="L16" s="144">
        <v>22.70</v>
      </c>
      <c r="M16" s="144">
        <f t="shared" si="1"/>
        <v>1589</v>
      </c>
      <c r="N16" s="151">
        <v>120</v>
      </c>
      <c r="O16" s="146"/>
    </row>
    <row r="17" spans="1:15" ht="15.75">
      <c r="A17" s="144">
        <v>1894</v>
      </c>
      <c r="B17" s="144" t="s">
        <v>1577</v>
      </c>
      <c r="C17" s="144" t="s">
        <v>1783</v>
      </c>
      <c r="D17" s="144" t="s">
        <v>604</v>
      </c>
      <c r="E17" s="125" t="s">
        <v>605</v>
      </c>
      <c r="F17" s="125" t="s">
        <v>1258</v>
      </c>
      <c r="G17" s="144" t="s">
        <v>599</v>
      </c>
      <c r="H17" s="144" t="s">
        <v>606</v>
      </c>
      <c r="I17" s="144">
        <v>180</v>
      </c>
      <c r="J17" s="144" t="s">
        <v>1548</v>
      </c>
      <c r="K17" s="144">
        <v>75</v>
      </c>
      <c r="L17" s="144">
        <v>18</v>
      </c>
      <c r="M17" s="144">
        <f t="shared" si="1"/>
        <v>1350</v>
      </c>
      <c r="N17" s="151">
        <v>40.54</v>
      </c>
      <c r="O17" s="146"/>
    </row>
    <row r="18" spans="1:15" ht="15.75">
      <c r="A18" s="144">
        <v>1895</v>
      </c>
      <c r="B18" s="144" t="s">
        <v>1578</v>
      </c>
      <c r="C18" s="144" t="s">
        <v>1039</v>
      </c>
      <c r="D18" s="144" t="s">
        <v>902</v>
      </c>
      <c r="E18" s="125" t="s">
        <v>903</v>
      </c>
      <c r="F18" s="125" t="s">
        <v>1325</v>
      </c>
      <c r="G18" s="144" t="s">
        <v>897</v>
      </c>
      <c r="H18" s="144" t="s">
        <v>36</v>
      </c>
      <c r="I18" s="144">
        <v>181</v>
      </c>
      <c r="J18" s="144">
        <v>5378</v>
      </c>
      <c r="K18" s="144">
        <v>50</v>
      </c>
      <c r="L18" s="144">
        <v>25</v>
      </c>
      <c r="M18" s="144">
        <f t="shared" si="1"/>
        <v>1250</v>
      </c>
      <c r="N18" s="151">
        <v>31</v>
      </c>
      <c r="O18" s="146"/>
    </row>
    <row r="19" spans="1:22" s="137" customFormat="1" ht="15.75">
      <c r="A19" s="144">
        <v>1896</v>
      </c>
      <c r="B19" s="144" t="s">
        <v>1579</v>
      </c>
      <c r="C19" s="144" t="s">
        <v>1783</v>
      </c>
      <c r="D19" s="144" t="s">
        <v>210</v>
      </c>
      <c r="E19" s="125" t="s">
        <v>211</v>
      </c>
      <c r="F19" s="125" t="s">
        <v>1126</v>
      </c>
      <c r="G19" s="144" t="s">
        <v>208</v>
      </c>
      <c r="H19" s="144" t="s">
        <v>209</v>
      </c>
      <c r="I19" s="144">
        <v>182</v>
      </c>
      <c r="J19" s="144" t="s">
        <v>1535</v>
      </c>
      <c r="K19" s="144">
        <v>63</v>
      </c>
      <c r="L19" s="144">
        <v>15.60</v>
      </c>
      <c r="M19" s="144">
        <f t="shared" si="1"/>
        <v>982.80</v>
      </c>
      <c r="N19" s="151">
        <v>18.95</v>
      </c>
      <c r="O19" s="146"/>
      <c r="P19"/>
      <c r="Q19"/>
      <c r="R19"/>
      <c r="S19"/>
      <c r="T19"/>
      <c r="U19"/>
      <c r="V19"/>
    </row>
    <row r="20" spans="1:15" ht="15.75">
      <c r="A20" s="144">
        <v>1897</v>
      </c>
      <c r="B20" s="144" t="s">
        <v>1580</v>
      </c>
      <c r="C20" s="144" t="s">
        <v>1783</v>
      </c>
      <c r="D20" s="144" t="s">
        <v>590</v>
      </c>
      <c r="E20" s="125" t="s">
        <v>591</v>
      </c>
      <c r="F20" s="125" t="s">
        <v>1255</v>
      </c>
      <c r="G20" s="144" t="s">
        <v>592</v>
      </c>
      <c r="H20" s="144" t="s">
        <v>256</v>
      </c>
      <c r="I20" s="144">
        <v>183</v>
      </c>
      <c r="J20" s="144">
        <v>5500</v>
      </c>
      <c r="K20" s="144">
        <v>63</v>
      </c>
      <c r="L20" s="144">
        <v>15</v>
      </c>
      <c r="M20" s="144">
        <f t="shared" si="1"/>
        <v>945</v>
      </c>
      <c r="N20" s="151">
        <v>23.90</v>
      </c>
      <c r="O20" s="146"/>
    </row>
    <row r="21" spans="1:22" s="138" customFormat="1" ht="15.75">
      <c r="A21" s="144">
        <v>1898</v>
      </c>
      <c r="B21" s="144" t="s">
        <v>1581</v>
      </c>
      <c r="C21" s="144" t="s">
        <v>1039</v>
      </c>
      <c r="D21" s="144" t="s">
        <v>786</v>
      </c>
      <c r="E21" s="125" t="s">
        <v>787</v>
      </c>
      <c r="F21" s="125" t="s">
        <v>787</v>
      </c>
      <c r="G21" s="144" t="s">
        <v>778</v>
      </c>
      <c r="H21" s="144" t="s">
        <v>36</v>
      </c>
      <c r="I21" s="144">
        <v>184</v>
      </c>
      <c r="J21" s="144">
        <v>5377</v>
      </c>
      <c r="K21" s="144">
        <v>35</v>
      </c>
      <c r="L21" s="144">
        <v>25</v>
      </c>
      <c r="M21" s="144">
        <f t="shared" si="1"/>
        <v>875</v>
      </c>
      <c r="N21" s="151">
        <v>21</v>
      </c>
      <c r="O21" s="146"/>
      <c r="P21"/>
      <c r="Q21"/>
      <c r="R21"/>
      <c r="S21"/>
      <c r="T21"/>
      <c r="U21"/>
      <c r="V21"/>
    </row>
    <row r="22" spans="1:15" ht="15.75">
      <c r="A22" s="144">
        <v>1899</v>
      </c>
      <c r="B22" s="144" t="s">
        <v>1582</v>
      </c>
      <c r="C22" s="144" t="s">
        <v>1039</v>
      </c>
      <c r="D22" s="144" t="s">
        <v>607</v>
      </c>
      <c r="E22" s="125" t="s">
        <v>608</v>
      </c>
      <c r="F22" s="125" t="s">
        <v>1259</v>
      </c>
      <c r="G22" s="144" t="s">
        <v>609</v>
      </c>
      <c r="H22" s="144" t="s">
        <v>610</v>
      </c>
      <c r="I22" s="144">
        <v>185</v>
      </c>
      <c r="J22" s="144">
        <v>5007</v>
      </c>
      <c r="K22" s="144">
        <v>40</v>
      </c>
      <c r="L22" s="144">
        <v>15</v>
      </c>
      <c r="M22" s="144">
        <f t="shared" si="1"/>
        <v>600</v>
      </c>
      <c r="N22" s="151">
        <v>38.565</v>
      </c>
      <c r="O22" s="146"/>
    </row>
    <row r="23" spans="1:15" ht="15.75">
      <c r="A23" s="144">
        <v>1900</v>
      </c>
      <c r="B23" s="144" t="s">
        <v>1583</v>
      </c>
      <c r="C23" s="144" t="s">
        <v>1783</v>
      </c>
      <c r="D23" s="144" t="s">
        <v>266</v>
      </c>
      <c r="E23" s="125" t="s">
        <v>267</v>
      </c>
      <c r="F23" s="125" t="s">
        <v>1142</v>
      </c>
      <c r="G23" s="144" t="s">
        <v>255</v>
      </c>
      <c r="H23" s="144" t="s">
        <v>268</v>
      </c>
      <c r="I23" s="144">
        <v>186</v>
      </c>
      <c r="J23" s="144">
        <v>5506</v>
      </c>
      <c r="K23" s="144">
        <v>27</v>
      </c>
      <c r="L23" s="144">
        <v>18</v>
      </c>
      <c r="M23" s="144">
        <f t="shared" si="1"/>
        <v>486</v>
      </c>
      <c r="N23" s="151">
        <v>28.89</v>
      </c>
      <c r="O23" s="146"/>
    </row>
    <row r="24" spans="1:15" ht="15.75">
      <c r="A24" s="144">
        <v>1901</v>
      </c>
      <c r="B24" s="144" t="s">
        <v>1584</v>
      </c>
      <c r="C24" s="144" t="s">
        <v>1753</v>
      </c>
      <c r="D24" s="144" t="s">
        <v>536</v>
      </c>
      <c r="E24" s="125" t="s">
        <v>537</v>
      </c>
      <c r="F24" s="125" t="s">
        <v>1237</v>
      </c>
      <c r="G24" s="144" t="s">
        <v>532</v>
      </c>
      <c r="H24" s="144" t="s">
        <v>535</v>
      </c>
      <c r="I24" s="144">
        <v>187</v>
      </c>
      <c r="J24" s="144" t="s">
        <v>1393</v>
      </c>
      <c r="K24" s="144">
        <v>29</v>
      </c>
      <c r="L24" s="144">
        <v>12.50</v>
      </c>
      <c r="M24" s="144">
        <f>K24*L24+40</f>
        <v>402.50</v>
      </c>
      <c r="N24" s="151">
        <v>79.38</v>
      </c>
      <c r="O24" s="146"/>
    </row>
    <row r="25" spans="1:22" s="138" customFormat="1" ht="15.75">
      <c r="A25" s="144">
        <v>1902</v>
      </c>
      <c r="B25" s="144" t="s">
        <v>1585</v>
      </c>
      <c r="C25" s="144" t="s">
        <v>1756</v>
      </c>
      <c r="D25" s="144" t="s">
        <v>788</v>
      </c>
      <c r="E25" s="125" t="s">
        <v>789</v>
      </c>
      <c r="F25" s="125" t="s">
        <v>1306</v>
      </c>
      <c r="G25" s="144" t="s">
        <v>778</v>
      </c>
      <c r="H25" s="144" t="s">
        <v>36</v>
      </c>
      <c r="I25" s="144">
        <v>188</v>
      </c>
      <c r="J25" s="144">
        <v>5501</v>
      </c>
      <c r="K25" s="144">
        <v>15</v>
      </c>
      <c r="L25" s="144">
        <v>25</v>
      </c>
      <c r="M25" s="144">
        <f>K25*L25</f>
        <v>375</v>
      </c>
      <c r="N25" s="151">
        <v>34</v>
      </c>
      <c r="O25" s="146"/>
      <c r="P25"/>
      <c r="Q25"/>
      <c r="R25"/>
      <c r="S25"/>
      <c r="T25"/>
      <c r="U25"/>
      <c r="V25"/>
    </row>
    <row r="26" spans="1:15" ht="15.75">
      <c r="A26" s="144">
        <v>1903</v>
      </c>
      <c r="B26" s="144" t="s">
        <v>1586</v>
      </c>
      <c r="C26" s="144" t="s">
        <v>1756</v>
      </c>
      <c r="D26" s="144" t="s">
        <v>966</v>
      </c>
      <c r="E26" s="125" t="s">
        <v>967</v>
      </c>
      <c r="F26" s="125" t="s">
        <v>1342</v>
      </c>
      <c r="G26" s="144" t="s">
        <v>917</v>
      </c>
      <c r="H26" s="144" t="s">
        <v>36</v>
      </c>
      <c r="I26" s="144">
        <v>189</v>
      </c>
      <c r="J26" s="144" t="s">
        <v>1535</v>
      </c>
      <c r="K26" s="144">
        <v>12</v>
      </c>
      <c r="L26" s="144">
        <v>25</v>
      </c>
      <c r="M26" s="144">
        <f>K26*L26</f>
        <v>300</v>
      </c>
      <c r="N26" s="151">
        <v>52</v>
      </c>
      <c r="O26" s="146"/>
    </row>
    <row r="27" spans="1:15" ht="15.75">
      <c r="A27" s="144">
        <v>1904</v>
      </c>
      <c r="B27" s="144" t="s">
        <v>1587</v>
      </c>
      <c r="C27" s="144" t="s">
        <v>1753</v>
      </c>
      <c r="D27" s="144" t="s">
        <v>533</v>
      </c>
      <c r="E27" s="125" t="s">
        <v>534</v>
      </c>
      <c r="F27" s="125" t="s">
        <v>1236</v>
      </c>
      <c r="G27" s="144" t="s">
        <v>532</v>
      </c>
      <c r="H27" s="144" t="s">
        <v>535</v>
      </c>
      <c r="I27" s="144">
        <v>190</v>
      </c>
      <c r="J27" s="144" t="s">
        <v>1393</v>
      </c>
      <c r="K27" s="144">
        <v>21</v>
      </c>
      <c r="L27" s="144">
        <v>12.50</v>
      </c>
      <c r="M27" s="144">
        <f>K27*L27</f>
        <v>262.50</v>
      </c>
      <c r="N27" s="151">
        <v>74</v>
      </c>
      <c r="O27" s="146"/>
    </row>
    <row r="28" spans="1:15" ht="15.75">
      <c r="A28" s="144">
        <v>1905</v>
      </c>
      <c r="B28" s="144" t="s">
        <v>1588</v>
      </c>
      <c r="C28" s="144" t="s">
        <v>1036</v>
      </c>
      <c r="D28" s="144" t="s">
        <v>561</v>
      </c>
      <c r="E28" s="125" t="s">
        <v>562</v>
      </c>
      <c r="F28" s="125" t="s">
        <v>1245</v>
      </c>
      <c r="G28" s="144" t="s">
        <v>542</v>
      </c>
      <c r="H28" s="144" t="s">
        <v>563</v>
      </c>
      <c r="I28" s="144">
        <v>191</v>
      </c>
      <c r="J28" s="144">
        <v>5302</v>
      </c>
      <c r="K28" s="144">
        <v>13</v>
      </c>
      <c r="L28" s="144">
        <v>20</v>
      </c>
      <c r="M28" s="144">
        <f>K28*L28</f>
        <v>260</v>
      </c>
      <c r="N28" s="151">
        <v>78</v>
      </c>
      <c r="O28" s="146"/>
    </row>
    <row r="29" spans="1:22" s="138" customFormat="1" ht="15.75">
      <c r="A29" s="144">
        <v>1906</v>
      </c>
      <c r="B29" s="144" t="s">
        <v>1589</v>
      </c>
      <c r="C29" s="144" t="s">
        <v>1753</v>
      </c>
      <c r="D29" s="144" t="s">
        <v>530</v>
      </c>
      <c r="E29" s="125" t="s">
        <v>531</v>
      </c>
      <c r="F29" s="125" t="s">
        <v>1235</v>
      </c>
      <c r="G29" s="144" t="s">
        <v>532</v>
      </c>
      <c r="H29" s="144" t="s">
        <v>141</v>
      </c>
      <c r="I29" s="144">
        <v>192</v>
      </c>
      <c r="J29" s="144">
        <v>5509</v>
      </c>
      <c r="K29" s="144">
        <v>8</v>
      </c>
      <c r="L29" s="144">
        <v>10</v>
      </c>
      <c r="M29" s="144">
        <f>K29*L29+80</f>
        <v>160</v>
      </c>
      <c r="N29" s="151">
        <v>37.15</v>
      </c>
      <c r="O29" s="146"/>
      <c r="P29"/>
      <c r="Q29"/>
      <c r="R29"/>
      <c r="S29"/>
      <c r="T29"/>
      <c r="U29"/>
      <c r="V29"/>
    </row>
    <row r="30" spans="1:15" ht="15.75">
      <c r="A30" s="144">
        <v>1907</v>
      </c>
      <c r="B30" s="144" t="s">
        <v>1590</v>
      </c>
      <c r="C30" s="144" t="s">
        <v>1756</v>
      </c>
      <c r="D30" s="144" t="s">
        <v>968</v>
      </c>
      <c r="E30" s="125" t="s">
        <v>969</v>
      </c>
      <c r="F30" s="125" t="s">
        <v>1343</v>
      </c>
      <c r="G30" s="144" t="s">
        <v>917</v>
      </c>
      <c r="H30" s="144" t="s">
        <v>36</v>
      </c>
      <c r="I30" s="144">
        <v>193</v>
      </c>
      <c r="J30" s="144" t="s">
        <v>1535</v>
      </c>
      <c r="K30" s="144">
        <v>6</v>
      </c>
      <c r="L30" s="144">
        <v>25</v>
      </c>
      <c r="M30" s="144">
        <f t="shared" si="2" ref="M30:M31">K30*L30</f>
        <v>150</v>
      </c>
      <c r="N30" s="151">
        <v>32.50</v>
      </c>
      <c r="O30" s="146"/>
    </row>
    <row r="31" spans="1:15" ht="15.75">
      <c r="A31" s="144">
        <v>1908</v>
      </c>
      <c r="B31" s="144" t="s">
        <v>1591</v>
      </c>
      <c r="C31" s="144" t="s">
        <v>1783</v>
      </c>
      <c r="D31" s="144" t="s">
        <v>253</v>
      </c>
      <c r="E31" s="125" t="s">
        <v>254</v>
      </c>
      <c r="F31" s="125" t="s">
        <v>1139</v>
      </c>
      <c r="G31" s="144" t="s">
        <v>255</v>
      </c>
      <c r="H31" s="144" t="s">
        <v>256</v>
      </c>
      <c r="I31" s="144">
        <v>194</v>
      </c>
      <c r="J31" s="144" t="s">
        <v>1535</v>
      </c>
      <c r="K31" s="144">
        <v>3</v>
      </c>
      <c r="L31" s="144">
        <v>15</v>
      </c>
      <c r="M31" s="144">
        <f t="shared" si="2"/>
        <v>45</v>
      </c>
      <c r="N31" s="151">
        <v>18.02</v>
      </c>
      <c r="O31" s="146"/>
    </row>
    <row r="32" spans="1:22" s="138" customFormat="1" ht="15.75">
      <c r="A32" s="144">
        <v>1909</v>
      </c>
      <c r="B32" s="144" t="s">
        <v>1592</v>
      </c>
      <c r="C32" s="144" t="s">
        <v>1753</v>
      </c>
      <c r="D32" s="144" t="s">
        <v>838</v>
      </c>
      <c r="E32" s="125" t="s">
        <v>839</v>
      </c>
      <c r="F32" s="125" t="s">
        <v>1238</v>
      </c>
      <c r="G32" s="144" t="s">
        <v>778</v>
      </c>
      <c r="H32" s="144" t="s">
        <v>141</v>
      </c>
      <c r="I32" s="144">
        <v>195</v>
      </c>
      <c r="J32" s="144">
        <v>5509</v>
      </c>
      <c r="K32" s="144">
        <v>2</v>
      </c>
      <c r="L32" s="144">
        <v>10</v>
      </c>
      <c r="M32" s="144">
        <f>K32*L32+10</f>
        <v>30</v>
      </c>
      <c r="N32" s="151">
        <v>52.50</v>
      </c>
      <c r="O32" s="146"/>
      <c r="P32"/>
      <c r="Q32"/>
      <c r="R32"/>
      <c r="S32"/>
      <c r="T32"/>
      <c r="U32"/>
      <c r="V32"/>
    </row>
    <row r="33" spans="1:15" ht="15.75">
      <c r="A33" s="144">
        <v>1910</v>
      </c>
      <c r="B33" s="144" t="s">
        <v>1593</v>
      </c>
      <c r="C33" s="144" t="s">
        <v>1753</v>
      </c>
      <c r="D33" s="144" t="s">
        <v>811</v>
      </c>
      <c r="E33" s="125" t="s">
        <v>812</v>
      </c>
      <c r="F33" s="125" t="s">
        <v>1313</v>
      </c>
      <c r="G33" s="144" t="s">
        <v>778</v>
      </c>
      <c r="H33" s="144" t="s">
        <v>813</v>
      </c>
      <c r="I33" s="144">
        <v>196</v>
      </c>
      <c r="J33" s="144" t="s">
        <v>1391</v>
      </c>
      <c r="K33" s="144">
        <v>2</v>
      </c>
      <c r="L33" s="144">
        <f>0.75*6</f>
        <v>4.50</v>
      </c>
      <c r="M33" s="144">
        <f t="shared" si="3" ref="M33:M46">K33*L33</f>
        <v>9</v>
      </c>
      <c r="N33" s="151">
        <v>14.85</v>
      </c>
      <c r="O33" s="146"/>
    </row>
    <row r="34" spans="1:15" ht="15.75">
      <c r="A34" s="144">
        <v>1911</v>
      </c>
      <c r="B34" s="144" t="s">
        <v>1594</v>
      </c>
      <c r="C34" s="144" t="s">
        <v>1760</v>
      </c>
      <c r="D34" s="144" t="s">
        <v>149</v>
      </c>
      <c r="E34" s="125" t="s">
        <v>150</v>
      </c>
      <c r="F34" s="125" t="s">
        <v>1107</v>
      </c>
      <c r="G34" s="144" t="s">
        <v>148</v>
      </c>
      <c r="H34" s="144" t="s">
        <v>36</v>
      </c>
      <c r="I34" s="144">
        <v>197</v>
      </c>
      <c r="J34" s="144" t="s">
        <v>1534</v>
      </c>
      <c r="K34" s="144">
        <v>0</v>
      </c>
      <c r="L34" s="144">
        <v>25</v>
      </c>
      <c r="M34" s="144">
        <f t="shared" si="3"/>
        <v>0</v>
      </c>
      <c r="N34" s="151">
        <v>58.75</v>
      </c>
      <c r="O34" s="146"/>
    </row>
    <row r="35" spans="1:15" ht="15.75">
      <c r="A35" s="144">
        <v>1912</v>
      </c>
      <c r="B35" s="144" t="s">
        <v>1595</v>
      </c>
      <c r="C35" s="144" t="s">
        <v>1760</v>
      </c>
      <c r="D35" s="144" t="s">
        <v>151</v>
      </c>
      <c r="E35" s="125" t="s">
        <v>152</v>
      </c>
      <c r="F35" s="125" t="s">
        <v>1108</v>
      </c>
      <c r="G35" s="144" t="s">
        <v>148</v>
      </c>
      <c r="H35" s="144" t="s">
        <v>36</v>
      </c>
      <c r="I35" s="144">
        <v>198</v>
      </c>
      <c r="J35" s="144" t="s">
        <v>1534</v>
      </c>
      <c r="K35" s="144">
        <v>0</v>
      </c>
      <c r="L35" s="144">
        <v>25</v>
      </c>
      <c r="M35" s="144">
        <f t="shared" si="3"/>
        <v>0</v>
      </c>
      <c r="N35" s="151">
        <v>100</v>
      </c>
      <c r="O35" s="146"/>
    </row>
    <row r="36" spans="1:15" ht="15.75">
      <c r="A36" s="144">
        <v>1913</v>
      </c>
      <c r="B36" s="144" t="s">
        <v>1596</v>
      </c>
      <c r="C36" s="144" t="s">
        <v>1760</v>
      </c>
      <c r="D36" s="144" t="s">
        <v>153</v>
      </c>
      <c r="E36" s="125" t="s">
        <v>154</v>
      </c>
      <c r="F36" s="125" t="s">
        <v>1109</v>
      </c>
      <c r="G36" s="144" t="s">
        <v>148</v>
      </c>
      <c r="H36" s="144" t="s">
        <v>36</v>
      </c>
      <c r="I36" s="144">
        <v>199</v>
      </c>
      <c r="J36" s="144" t="s">
        <v>1534</v>
      </c>
      <c r="K36" s="144">
        <v>0</v>
      </c>
      <c r="L36" s="144">
        <v>25</v>
      </c>
      <c r="M36" s="144">
        <f t="shared" si="3"/>
        <v>0</v>
      </c>
      <c r="N36" s="151">
        <v>115</v>
      </c>
      <c r="O36" s="146"/>
    </row>
    <row r="37" spans="1:15" ht="15.75">
      <c r="A37" s="144">
        <v>1914</v>
      </c>
      <c r="B37" s="144" t="s">
        <v>1597</v>
      </c>
      <c r="C37" s="144" t="s">
        <v>1783</v>
      </c>
      <c r="D37" s="144" t="s">
        <v>206</v>
      </c>
      <c r="E37" s="125" t="s">
        <v>207</v>
      </c>
      <c r="F37" s="125" t="s">
        <v>1125</v>
      </c>
      <c r="G37" s="144" t="s">
        <v>208</v>
      </c>
      <c r="H37" s="144" t="s">
        <v>209</v>
      </c>
      <c r="I37" s="144">
        <v>200</v>
      </c>
      <c r="J37" s="144" t="s">
        <v>1535</v>
      </c>
      <c r="K37" s="144">
        <v>0</v>
      </c>
      <c r="L37" s="144">
        <v>15.60</v>
      </c>
      <c r="M37" s="144">
        <f t="shared" si="3"/>
        <v>0</v>
      </c>
      <c r="N37" s="151">
        <v>20.50</v>
      </c>
      <c r="O37" s="146"/>
    </row>
    <row r="38" spans="1:15" ht="15.75">
      <c r="A38" s="144">
        <v>1915</v>
      </c>
      <c r="B38" s="144" t="s">
        <v>1598</v>
      </c>
      <c r="C38" s="144" t="s">
        <v>1783</v>
      </c>
      <c r="D38" s="144" t="s">
        <v>212</v>
      </c>
      <c r="E38" s="125" t="s">
        <v>213</v>
      </c>
      <c r="F38" s="125" t="s">
        <v>1127</v>
      </c>
      <c r="G38" s="144" t="s">
        <v>208</v>
      </c>
      <c r="H38" s="144" t="s">
        <v>214</v>
      </c>
      <c r="I38" s="144">
        <v>201</v>
      </c>
      <c r="J38" s="144">
        <v>5106</v>
      </c>
      <c r="K38" s="144">
        <v>0</v>
      </c>
      <c r="L38" s="144">
        <v>1.87</v>
      </c>
      <c r="M38" s="144">
        <f t="shared" si="3"/>
        <v>0</v>
      </c>
      <c r="N38" s="151">
        <v>4.11</v>
      </c>
      <c r="O38" s="146"/>
    </row>
    <row r="39" spans="1:22" s="138" customFormat="1" ht="15.75">
      <c r="A39" s="144">
        <v>1916</v>
      </c>
      <c r="B39" s="144" t="s">
        <v>1599</v>
      </c>
      <c r="C39" s="144" t="s">
        <v>1036</v>
      </c>
      <c r="D39" s="144" t="s">
        <v>549</v>
      </c>
      <c r="E39" s="125" t="s">
        <v>550</v>
      </c>
      <c r="F39" s="125" t="s">
        <v>1241</v>
      </c>
      <c r="G39" s="144" t="s">
        <v>542</v>
      </c>
      <c r="H39" s="144" t="s">
        <v>551</v>
      </c>
      <c r="I39" s="144">
        <v>202</v>
      </c>
      <c r="J39" s="144">
        <v>5300</v>
      </c>
      <c r="K39" s="144">
        <v>0</v>
      </c>
      <c r="L39" s="144">
        <v>20</v>
      </c>
      <c r="M39" s="144">
        <f t="shared" si="3"/>
        <v>0</v>
      </c>
      <c r="N39" s="151">
        <v>40</v>
      </c>
      <c r="O39" s="146"/>
      <c r="P39"/>
      <c r="Q39"/>
      <c r="R39"/>
      <c r="S39"/>
      <c r="T39"/>
      <c r="U39"/>
      <c r="V39"/>
    </row>
    <row r="40" spans="1:15" ht="15.75">
      <c r="A40" s="144">
        <v>1917</v>
      </c>
      <c r="B40" s="144" t="s">
        <v>1600</v>
      </c>
      <c r="C40" s="144" t="s">
        <v>1753</v>
      </c>
      <c r="D40" s="144" t="s">
        <v>671</v>
      </c>
      <c r="E40" s="125" t="s">
        <v>672</v>
      </c>
      <c r="F40" s="125" t="s">
        <v>1273</v>
      </c>
      <c r="G40" s="144" t="s">
        <v>673</v>
      </c>
      <c r="H40" s="144" t="s">
        <v>36</v>
      </c>
      <c r="I40" s="144">
        <v>203</v>
      </c>
      <c r="J40" s="144">
        <v>5509</v>
      </c>
      <c r="K40" s="144">
        <v>0</v>
      </c>
      <c r="L40" s="144">
        <v>25</v>
      </c>
      <c r="M40" s="144">
        <f t="shared" si="3"/>
        <v>0</v>
      </c>
      <c r="N40" s="151">
        <v>696.43</v>
      </c>
      <c r="O40" s="146"/>
    </row>
    <row r="41" spans="1:15" ht="15.75">
      <c r="A41" s="144">
        <v>1918</v>
      </c>
      <c r="B41" s="144" t="s">
        <v>1601</v>
      </c>
      <c r="C41" s="144" t="s">
        <v>1039</v>
      </c>
      <c r="D41" s="144" t="s">
        <v>776</v>
      </c>
      <c r="E41" s="125" t="s">
        <v>777</v>
      </c>
      <c r="F41" s="125" t="s">
        <v>1305</v>
      </c>
      <c r="G41" s="144" t="s">
        <v>778</v>
      </c>
      <c r="H41" s="144" t="s">
        <v>36</v>
      </c>
      <c r="I41" s="144">
        <v>204</v>
      </c>
      <c r="J41" s="144">
        <v>5200</v>
      </c>
      <c r="K41" s="144">
        <v>0</v>
      </c>
      <c r="L41" s="144">
        <v>25</v>
      </c>
      <c r="M41" s="144">
        <f t="shared" si="3"/>
        <v>0</v>
      </c>
      <c r="N41" s="151">
        <v>27.80</v>
      </c>
      <c r="O41" s="146"/>
    </row>
    <row r="42" spans="1:15" ht="15.75">
      <c r="A42" s="144">
        <v>1919</v>
      </c>
      <c r="B42" s="144" t="s">
        <v>1602</v>
      </c>
      <c r="C42" s="144" t="s">
        <v>1753</v>
      </c>
      <c r="D42" s="144" t="s">
        <v>840</v>
      </c>
      <c r="E42" s="125" t="s">
        <v>841</v>
      </c>
      <c r="F42" s="125" t="s">
        <v>1262</v>
      </c>
      <c r="G42" s="144" t="s">
        <v>778</v>
      </c>
      <c r="H42" s="144" t="s">
        <v>624</v>
      </c>
      <c r="I42" s="144">
        <v>205</v>
      </c>
      <c r="J42" s="144">
        <v>5509</v>
      </c>
      <c r="K42" s="144">
        <v>0</v>
      </c>
      <c r="L42" s="144">
        <v>22.70</v>
      </c>
      <c r="M42" s="144">
        <f t="shared" si="3"/>
        <v>0</v>
      </c>
      <c r="N42" s="151">
        <v>62.50</v>
      </c>
      <c r="O42" s="146"/>
    </row>
    <row r="43" spans="1:22" s="138" customFormat="1" ht="15.75">
      <c r="A43" s="144">
        <v>1920</v>
      </c>
      <c r="B43" s="144" t="s">
        <v>1603</v>
      </c>
      <c r="C43" s="144" t="s">
        <v>1754</v>
      </c>
      <c r="D43" s="144" t="s">
        <v>1023</v>
      </c>
      <c r="E43" s="125" t="s">
        <v>1024</v>
      </c>
      <c r="F43" s="125" t="s">
        <v>1024</v>
      </c>
      <c r="G43" s="144" t="s">
        <v>1025</v>
      </c>
      <c r="H43" s="144" t="s">
        <v>283</v>
      </c>
      <c r="I43" s="144">
        <v>206</v>
      </c>
      <c r="J43" s="144">
        <v>5651</v>
      </c>
      <c r="K43" s="144">
        <v>0</v>
      </c>
      <c r="L43" s="144">
        <v>20</v>
      </c>
      <c r="M43" s="144">
        <f t="shared" si="3"/>
        <v>0</v>
      </c>
      <c r="N43" s="151">
        <v>349</v>
      </c>
      <c r="O43" s="146"/>
      <c r="P43"/>
      <c r="Q43"/>
      <c r="R43"/>
      <c r="S43"/>
      <c r="T43"/>
      <c r="U43"/>
      <c r="V43"/>
    </row>
    <row r="44" spans="1:22" s="138" customFormat="1" ht="15.75">
      <c r="A44" s="144">
        <v>1921</v>
      </c>
      <c r="B44" s="144" t="s">
        <v>1604</v>
      </c>
      <c r="C44" s="144" t="s">
        <v>1783</v>
      </c>
      <c r="D44" s="144" t="s">
        <v>263</v>
      </c>
      <c r="E44" s="125" t="s">
        <v>264</v>
      </c>
      <c r="F44" s="125" t="s">
        <v>1143</v>
      </c>
      <c r="G44" s="144" t="s">
        <v>255</v>
      </c>
      <c r="H44" s="144" t="s">
        <v>265</v>
      </c>
      <c r="I44" s="144">
        <v>207</v>
      </c>
      <c r="J44" s="144" t="s">
        <v>1546</v>
      </c>
      <c r="K44" s="144">
        <v>0</v>
      </c>
      <c r="L44" s="144">
        <v>18</v>
      </c>
      <c r="M44" s="144">
        <f t="shared" si="3"/>
        <v>0</v>
      </c>
      <c r="N44" s="151">
        <v>45.07</v>
      </c>
      <c r="O44" s="146"/>
      <c r="P44"/>
      <c r="Q44"/>
      <c r="R44"/>
      <c r="S44"/>
      <c r="T44"/>
      <c r="U44"/>
      <c r="V44"/>
    </row>
    <row r="45" spans="1:22" s="138" customFormat="1" ht="15.75">
      <c r="A45" s="144">
        <v>1922</v>
      </c>
      <c r="B45" s="144" t="s">
        <v>1605</v>
      </c>
      <c r="C45" s="144" t="s">
        <v>1753</v>
      </c>
      <c r="D45" s="144" t="s">
        <v>564</v>
      </c>
      <c r="E45" s="125" t="s">
        <v>1543</v>
      </c>
      <c r="F45" s="125" t="s">
        <v>1246</v>
      </c>
      <c r="G45" s="144" t="s">
        <v>565</v>
      </c>
      <c r="H45" s="144" t="s">
        <v>205</v>
      </c>
      <c r="I45" s="144">
        <v>208</v>
      </c>
      <c r="J45" s="144" t="s">
        <v>1393</v>
      </c>
      <c r="K45" s="144">
        <v>0</v>
      </c>
      <c r="L45" s="144">
        <v>2</v>
      </c>
      <c r="M45" s="144">
        <f t="shared" si="3"/>
        <v>0</v>
      </c>
      <c r="N45" s="151">
        <v>12.68</v>
      </c>
      <c r="O45" s="146"/>
      <c r="P45"/>
      <c r="Q45"/>
      <c r="R45"/>
      <c r="S45"/>
      <c r="T45"/>
      <c r="U45"/>
      <c r="V45"/>
    </row>
    <row r="46" spans="1:15" ht="15.75">
      <c r="A46" s="144">
        <v>1923</v>
      </c>
      <c r="B46" s="144" t="s">
        <v>1606</v>
      </c>
      <c r="C46" s="144" t="s">
        <v>1028</v>
      </c>
      <c r="D46" s="144" t="s">
        <v>4</v>
      </c>
      <c r="E46" s="125" t="s">
        <v>5</v>
      </c>
      <c r="F46" s="125" t="s">
        <v>1356</v>
      </c>
      <c r="G46" s="144" t="s">
        <v>6</v>
      </c>
      <c r="H46" s="144" t="s">
        <v>7</v>
      </c>
      <c r="I46" s="144">
        <v>210</v>
      </c>
      <c r="J46" s="144">
        <v>5901</v>
      </c>
      <c r="K46" s="144">
        <v>0</v>
      </c>
      <c r="L46" s="144">
        <v>1</v>
      </c>
      <c r="M46" s="144">
        <f t="shared" si="3"/>
        <v>0</v>
      </c>
      <c r="N46" s="151">
        <v>1.97</v>
      </c>
      <c r="O46" s="146"/>
    </row>
    <row r="47" spans="1:15" ht="15.75">
      <c r="A47" s="144">
        <v>1924</v>
      </c>
      <c r="B47" s="144" t="s">
        <v>1607</v>
      </c>
      <c r="C47" s="144" t="s">
        <v>1028</v>
      </c>
      <c r="D47" s="144" t="s">
        <v>478</v>
      </c>
      <c r="E47" s="125" t="s">
        <v>479</v>
      </c>
      <c r="F47" s="125" t="s">
        <v>1028</v>
      </c>
      <c r="G47" s="144" t="s">
        <v>480</v>
      </c>
      <c r="H47" s="144" t="s">
        <v>481</v>
      </c>
      <c r="I47" s="144">
        <v>211</v>
      </c>
      <c r="J47" s="144">
        <v>5901</v>
      </c>
      <c r="K47" s="144">
        <v>190</v>
      </c>
      <c r="L47" s="144">
        <v>6</v>
      </c>
      <c r="M47" s="144">
        <v>0</v>
      </c>
      <c r="N47" s="151">
        <v>54</v>
      </c>
      <c r="O47" s="146"/>
    </row>
    <row r="48" spans="1:15" ht="15.75">
      <c r="A48" s="144">
        <v>1925</v>
      </c>
      <c r="B48" s="144" t="s">
        <v>1608</v>
      </c>
      <c r="C48" s="144" t="s">
        <v>1028</v>
      </c>
      <c r="D48" s="144" t="s">
        <v>486</v>
      </c>
      <c r="E48" s="125" t="s">
        <v>487</v>
      </c>
      <c r="F48" s="125" t="s">
        <v>1028</v>
      </c>
      <c r="G48" s="144" t="s">
        <v>484</v>
      </c>
      <c r="H48" s="144" t="s">
        <v>488</v>
      </c>
      <c r="I48" s="144">
        <v>212</v>
      </c>
      <c r="J48" s="144">
        <v>5901</v>
      </c>
      <c r="K48" s="144">
        <v>24</v>
      </c>
      <c r="L48" s="144">
        <v>6</v>
      </c>
      <c r="M48" s="144">
        <v>0</v>
      </c>
      <c r="N48" s="151">
        <v>36.93</v>
      </c>
      <c r="O48" s="146"/>
    </row>
    <row r="49" spans="1:15" ht="15.75">
      <c r="A49" s="144">
        <v>1926</v>
      </c>
      <c r="B49" s="144" t="s">
        <v>1609</v>
      </c>
      <c r="C49" s="144" t="s">
        <v>1028</v>
      </c>
      <c r="D49" s="144" t="s">
        <v>696</v>
      </c>
      <c r="E49" s="125" t="s">
        <v>697</v>
      </c>
      <c r="F49" s="125" t="s">
        <v>1028</v>
      </c>
      <c r="G49" s="144" t="s">
        <v>692</v>
      </c>
      <c r="H49" s="144" t="s">
        <v>698</v>
      </c>
      <c r="I49" s="144">
        <v>213</v>
      </c>
      <c r="J49" s="144">
        <v>5901</v>
      </c>
      <c r="K49" s="144">
        <v>110</v>
      </c>
      <c r="L49" s="144">
        <v>6</v>
      </c>
      <c r="M49" s="144">
        <v>0</v>
      </c>
      <c r="N49" s="151">
        <v>34.44</v>
      </c>
      <c r="O49" s="146"/>
    </row>
    <row r="50" spans="1:15" ht="15.75">
      <c r="A50" s="144">
        <v>1927</v>
      </c>
      <c r="B50" s="144" t="s">
        <v>1610</v>
      </c>
      <c r="C50" s="144" t="s">
        <v>1028</v>
      </c>
      <c r="D50" s="144" t="s">
        <v>853</v>
      </c>
      <c r="E50" s="125" t="s">
        <v>854</v>
      </c>
      <c r="F50" s="125" t="s">
        <v>1028</v>
      </c>
      <c r="G50" s="144" t="s">
        <v>855</v>
      </c>
      <c r="H50" s="144" t="s">
        <v>856</v>
      </c>
      <c r="I50" s="144">
        <v>214</v>
      </c>
      <c r="J50" s="144">
        <v>5901</v>
      </c>
      <c r="K50" s="144">
        <v>2600</v>
      </c>
      <c r="L50" s="144">
        <v>12</v>
      </c>
      <c r="M50" s="144">
        <v>0</v>
      </c>
      <c r="N50" s="151">
        <v>2.25</v>
      </c>
      <c r="O50" s="146"/>
    </row>
    <row r="51" spans="1:22" s="138" customFormat="1" ht="15.75">
      <c r="A51" s="144">
        <v>1928</v>
      </c>
      <c r="B51" s="144" t="s">
        <v>1611</v>
      </c>
      <c r="C51" s="144" t="s">
        <v>1028</v>
      </c>
      <c r="D51" s="144" t="s">
        <v>857</v>
      </c>
      <c r="E51" s="125" t="s">
        <v>858</v>
      </c>
      <c r="F51" s="125" t="s">
        <v>1028</v>
      </c>
      <c r="G51" s="144" t="s">
        <v>855</v>
      </c>
      <c r="H51" s="144" t="s">
        <v>859</v>
      </c>
      <c r="I51" s="144">
        <v>216</v>
      </c>
      <c r="J51" s="144">
        <v>5901</v>
      </c>
      <c r="K51" s="144">
        <v>250</v>
      </c>
      <c r="L51" s="144">
        <v>184</v>
      </c>
      <c r="M51" s="144">
        <v>0</v>
      </c>
      <c r="N51" s="151">
        <v>32.175</v>
      </c>
      <c r="O51" s="146"/>
      <c r="P51"/>
      <c r="Q51"/>
      <c r="R51"/>
      <c r="S51"/>
      <c r="T51"/>
      <c r="U51"/>
      <c r="V51"/>
    </row>
    <row r="52" spans="1:22" s="138" customFormat="1" ht="15.75">
      <c r="A52" s="144">
        <v>1929</v>
      </c>
      <c r="B52" s="144" t="s">
        <v>1612</v>
      </c>
      <c r="C52" s="144" t="s">
        <v>1028</v>
      </c>
      <c r="D52" s="144" t="s">
        <v>860</v>
      </c>
      <c r="E52" s="125" t="s">
        <v>861</v>
      </c>
      <c r="F52" s="125" t="s">
        <v>1028</v>
      </c>
      <c r="G52" s="144" t="s">
        <v>855</v>
      </c>
      <c r="H52" s="144" t="s">
        <v>862</v>
      </c>
      <c r="I52" s="144">
        <v>217</v>
      </c>
      <c r="J52" s="144">
        <v>5901</v>
      </c>
      <c r="K52" s="144">
        <v>56</v>
      </c>
      <c r="L52" s="144"/>
      <c r="M52" s="144">
        <v>0</v>
      </c>
      <c r="N52" s="151">
        <v>118.80</v>
      </c>
      <c r="O52" s="146"/>
      <c r="P52"/>
      <c r="Q52"/>
      <c r="R52"/>
      <c r="S52"/>
      <c r="T52"/>
      <c r="U52"/>
      <c r="V52"/>
    </row>
    <row r="53" spans="1:22" s="138" customFormat="1" ht="15.75">
      <c r="A53" s="144">
        <v>1930</v>
      </c>
      <c r="B53" s="144" t="s">
        <v>1613</v>
      </c>
      <c r="C53" s="144" t="s">
        <v>1028</v>
      </c>
      <c r="D53" s="144" t="s">
        <v>863</v>
      </c>
      <c r="E53" s="125" t="s">
        <v>864</v>
      </c>
      <c r="F53" s="125" t="s">
        <v>1028</v>
      </c>
      <c r="G53" s="144" t="s">
        <v>855</v>
      </c>
      <c r="H53" s="144" t="s">
        <v>865</v>
      </c>
      <c r="I53" s="144">
        <v>218</v>
      </c>
      <c r="J53" s="144">
        <v>5901</v>
      </c>
      <c r="K53" s="144">
        <v>417</v>
      </c>
      <c r="L53" s="144"/>
      <c r="M53" s="144">
        <v>0</v>
      </c>
      <c r="N53" s="151">
        <v>35</v>
      </c>
      <c r="O53" s="146"/>
      <c r="P53"/>
      <c r="Q53"/>
      <c r="R53"/>
      <c r="S53"/>
      <c r="T53"/>
      <c r="U53"/>
      <c r="V53"/>
    </row>
    <row r="54" spans="1:15" ht="15.75">
      <c r="A54" s="144">
        <v>1931</v>
      </c>
      <c r="B54" s="144" t="s">
        <v>1614</v>
      </c>
      <c r="C54" s="144" t="s">
        <v>1028</v>
      </c>
      <c r="D54" s="144" t="s">
        <v>872</v>
      </c>
      <c r="E54" s="125" t="s">
        <v>873</v>
      </c>
      <c r="F54" s="125" t="s">
        <v>1028</v>
      </c>
      <c r="G54" s="144" t="s">
        <v>855</v>
      </c>
      <c r="H54" s="144" t="s">
        <v>874</v>
      </c>
      <c r="I54" s="144">
        <v>219</v>
      </c>
      <c r="J54" s="144" t="s">
        <v>1541</v>
      </c>
      <c r="K54" s="144">
        <v>125</v>
      </c>
      <c r="L54" s="144"/>
      <c r="M54" s="144">
        <v>0</v>
      </c>
      <c r="N54" s="151">
        <v>81</v>
      </c>
      <c r="O54" s="146"/>
    </row>
    <row r="55" spans="1:15" ht="15.75">
      <c r="A55" s="144">
        <v>1932</v>
      </c>
      <c r="B55" s="144" t="s">
        <v>1615</v>
      </c>
      <c r="C55" s="144" t="s">
        <v>1028</v>
      </c>
      <c r="D55" s="144" t="s">
        <v>875</v>
      </c>
      <c r="E55" s="125" t="s">
        <v>876</v>
      </c>
      <c r="F55" s="125" t="s">
        <v>1028</v>
      </c>
      <c r="G55" s="144" t="s">
        <v>855</v>
      </c>
      <c r="H55" s="144" t="s">
        <v>877</v>
      </c>
      <c r="I55" s="144">
        <v>220</v>
      </c>
      <c r="J55" s="144" t="s">
        <v>1542</v>
      </c>
      <c r="K55" s="144">
        <v>229</v>
      </c>
      <c r="L55" s="144"/>
      <c r="M55" s="144">
        <v>0</v>
      </c>
      <c r="N55" s="151">
        <v>1.95</v>
      </c>
      <c r="O55" s="146"/>
    </row>
    <row r="56" spans="1:15" ht="15.75">
      <c r="A56" s="144">
        <v>1933</v>
      </c>
      <c r="B56" s="144" t="s">
        <v>1616</v>
      </c>
      <c r="C56" s="144" t="s">
        <v>1028</v>
      </c>
      <c r="D56" s="144" t="s">
        <v>878</v>
      </c>
      <c r="E56" s="125" t="s">
        <v>879</v>
      </c>
      <c r="F56" s="125" t="s">
        <v>1028</v>
      </c>
      <c r="G56" s="144" t="s">
        <v>855</v>
      </c>
      <c r="H56" s="144" t="s">
        <v>856</v>
      </c>
      <c r="I56" s="144">
        <v>221</v>
      </c>
      <c r="J56" s="144" t="s">
        <v>1542</v>
      </c>
      <c r="K56" s="144">
        <v>150</v>
      </c>
      <c r="L56" s="144"/>
      <c r="M56" s="144">
        <v>0</v>
      </c>
      <c r="N56" s="151">
        <v>1.48</v>
      </c>
      <c r="O56" s="146"/>
    </row>
    <row r="57" spans="1:15" ht="15.75">
      <c r="A57" s="144">
        <v>1934</v>
      </c>
      <c r="B57" s="144" t="s">
        <v>1617</v>
      </c>
      <c r="C57" s="144" t="s">
        <v>1028</v>
      </c>
      <c r="D57" s="144" t="s">
        <v>880</v>
      </c>
      <c r="E57" s="125" t="s">
        <v>881</v>
      </c>
      <c r="F57" s="125" t="s">
        <v>1028</v>
      </c>
      <c r="G57" s="144" t="s">
        <v>855</v>
      </c>
      <c r="H57" s="144" t="s">
        <v>882</v>
      </c>
      <c r="I57" s="144">
        <v>223</v>
      </c>
      <c r="J57" s="144" t="s">
        <v>1542</v>
      </c>
      <c r="K57" s="144">
        <v>396</v>
      </c>
      <c r="L57" s="144"/>
      <c r="M57" s="144">
        <v>0</v>
      </c>
      <c r="N57" s="151">
        <v>1.73</v>
      </c>
      <c r="O57" s="146"/>
    </row>
    <row r="58" spans="1:15" ht="15.75">
      <c r="A58" s="144">
        <v>1935</v>
      </c>
      <c r="B58" s="144" t="s">
        <v>1618</v>
      </c>
      <c r="C58" s="144" t="s">
        <v>1028</v>
      </c>
      <c r="D58" s="144" t="s">
        <v>883</v>
      </c>
      <c r="E58" s="125" t="s">
        <v>884</v>
      </c>
      <c r="F58" s="125" t="s">
        <v>1028</v>
      </c>
      <c r="G58" s="144" t="s">
        <v>855</v>
      </c>
      <c r="H58" s="144" t="s">
        <v>882</v>
      </c>
      <c r="I58" s="144">
        <v>224</v>
      </c>
      <c r="J58" s="144" t="s">
        <v>1542</v>
      </c>
      <c r="K58" s="144">
        <v>375</v>
      </c>
      <c r="L58" s="144"/>
      <c r="M58" s="144">
        <v>0</v>
      </c>
      <c r="N58" s="151">
        <v>1.50</v>
      </c>
      <c r="O58" s="146"/>
    </row>
    <row r="59" spans="1:15" ht="15.75">
      <c r="A59" s="144">
        <v>1936</v>
      </c>
      <c r="B59" s="144" t="s">
        <v>1619</v>
      </c>
      <c r="C59" s="144" t="s">
        <v>1028</v>
      </c>
      <c r="D59" s="144" t="s">
        <v>885</v>
      </c>
      <c r="E59" s="125" t="s">
        <v>886</v>
      </c>
      <c r="F59" s="125" t="s">
        <v>1028</v>
      </c>
      <c r="G59" s="144" t="s">
        <v>855</v>
      </c>
      <c r="H59" s="144" t="s">
        <v>887</v>
      </c>
      <c r="I59" s="144">
        <v>225</v>
      </c>
      <c r="J59" s="144" t="s">
        <v>1542</v>
      </c>
      <c r="K59" s="144">
        <v>85</v>
      </c>
      <c r="L59" s="144"/>
      <c r="M59" s="144">
        <v>0</v>
      </c>
      <c r="N59" s="151">
        <v>1.85</v>
      </c>
      <c r="O59" s="146"/>
    </row>
    <row r="60" spans="1:14" ht="15.75">
      <c r="A60" s="144">
        <v>2321</v>
      </c>
      <c r="B60" s="144" t="s">
        <v>1924</v>
      </c>
      <c r="C60" s="144" t="s">
        <v>1756</v>
      </c>
      <c r="D60" s="144" t="s">
        <v>848</v>
      </c>
      <c r="E60" s="125" t="s">
        <v>849</v>
      </c>
      <c r="F60" s="125" t="s">
        <v>1320</v>
      </c>
      <c r="G60" s="144" t="s">
        <v>778</v>
      </c>
      <c r="H60" s="144" t="s">
        <v>1926</v>
      </c>
      <c r="I60" s="144">
        <v>0</v>
      </c>
      <c r="J60" s="144">
        <v>5501</v>
      </c>
      <c r="K60" s="144"/>
      <c r="L60" s="144"/>
      <c r="M60" s="144"/>
      <c r="N60" s="145">
        <v>24.30</v>
      </c>
    </row>
    <row r="61" spans="1:14" ht="15.75">
      <c r="A61" s="144">
        <v>2322</v>
      </c>
      <c r="B61" s="144" t="s">
        <v>1925</v>
      </c>
      <c r="C61" s="144" t="s">
        <v>1756</v>
      </c>
      <c r="D61" s="144" t="s">
        <v>851</v>
      </c>
      <c r="E61" s="125" t="s">
        <v>852</v>
      </c>
      <c r="F61" s="125" t="s">
        <v>1927</v>
      </c>
      <c r="G61" s="144" t="s">
        <v>778</v>
      </c>
      <c r="H61" s="144" t="s">
        <v>1926</v>
      </c>
      <c r="I61" s="144">
        <v>0</v>
      </c>
      <c r="J61" s="144">
        <v>5501</v>
      </c>
      <c r="K61" s="144"/>
      <c r="L61" s="144"/>
      <c r="M61" s="144"/>
      <c r="N61" s="145">
        <v>19.80</v>
      </c>
    </row>
    <row r="62" spans="1:14" ht="15.75">
      <c r="A62" s="144">
        <v>2329</v>
      </c>
      <c r="B62" s="144" t="s">
        <v>1946</v>
      </c>
      <c r="C62" s="144" t="s">
        <v>1039</v>
      </c>
      <c r="D62" s="125" t="s">
        <v>1945</v>
      </c>
      <c r="E62" s="155" t="s">
        <v>1947</v>
      </c>
      <c r="F62" s="125" t="s">
        <v>1947</v>
      </c>
      <c r="G62" s="143" t="s">
        <v>1948</v>
      </c>
      <c r="H62" s="144" t="s">
        <v>1944</v>
      </c>
      <c r="I62" s="144">
        <v>398</v>
      </c>
      <c r="J62" s="144">
        <v>5355</v>
      </c>
      <c r="K62" s="144"/>
      <c r="L62" s="144"/>
      <c r="M62" s="144"/>
      <c r="N62" s="145">
        <v>19.40</v>
      </c>
    </row>
    <row r="63" spans="1:14" ht="15.75">
      <c r="A63" s="144">
        <v>2533</v>
      </c>
      <c r="B63" s="144" t="s">
        <v>1949</v>
      </c>
      <c r="C63" s="144" t="s">
        <v>1971</v>
      </c>
      <c r="D63" s="125"/>
      <c r="E63" s="125" t="s">
        <v>1974</v>
      </c>
      <c r="F63" s="156" t="s">
        <v>1967</v>
      </c>
      <c r="G63" s="131" t="s">
        <v>1975</v>
      </c>
      <c r="H63" s="125" t="s">
        <v>1976</v>
      </c>
      <c r="I63" s="125">
        <v>0</v>
      </c>
      <c r="J63" s="125">
        <v>5007</v>
      </c>
      <c r="K63" s="125"/>
      <c r="L63" s="125"/>
      <c r="M63" s="125"/>
      <c r="N63" s="157">
        <v>14</v>
      </c>
    </row>
    <row r="64" spans="1:14" ht="15.75">
      <c r="A64" s="144">
        <v>2538</v>
      </c>
      <c r="B64" s="144" t="s">
        <v>1950</v>
      </c>
      <c r="C64" s="144" t="s">
        <v>1971</v>
      </c>
      <c r="D64" s="125"/>
      <c r="E64" s="156" t="s">
        <v>1977</v>
      </c>
      <c r="F64" s="156" t="s">
        <v>1968</v>
      </c>
      <c r="G64" s="125" t="s">
        <v>1978</v>
      </c>
      <c r="H64" s="125" t="s">
        <v>1979</v>
      </c>
      <c r="I64" s="125">
        <v>0</v>
      </c>
      <c r="J64" s="125">
        <v>5950</v>
      </c>
      <c r="K64" s="125"/>
      <c r="L64" s="125"/>
      <c r="M64" s="125"/>
      <c r="N64" s="157">
        <v>29.90</v>
      </c>
    </row>
    <row r="65" spans="1:14" ht="15.75">
      <c r="A65" s="144">
        <v>2539</v>
      </c>
      <c r="B65" s="144" t="s">
        <v>1954</v>
      </c>
      <c r="C65" s="144" t="s">
        <v>1972</v>
      </c>
      <c r="D65" s="125"/>
      <c r="E65" s="156" t="s">
        <v>1980</v>
      </c>
      <c r="F65" s="156" t="s">
        <v>1969</v>
      </c>
      <c r="G65" s="125" t="s">
        <v>1981</v>
      </c>
      <c r="H65" s="125" t="s">
        <v>1973</v>
      </c>
      <c r="I65" s="125">
        <v>0</v>
      </c>
      <c r="J65" s="125">
        <v>5401</v>
      </c>
      <c r="K65" s="125"/>
      <c r="L65" s="125"/>
      <c r="M65" s="125"/>
      <c r="N65" s="157">
        <v>29.90</v>
      </c>
    </row>
    <row r="66" spans="1:14" ht="15.75">
      <c r="A66" s="144">
        <v>2541</v>
      </c>
      <c r="B66" s="144" t="s">
        <v>1955</v>
      </c>
      <c r="C66" s="144" t="s">
        <v>1972</v>
      </c>
      <c r="D66" s="125"/>
      <c r="E66" s="156" t="s">
        <v>1958</v>
      </c>
      <c r="F66" s="156" t="s">
        <v>1964</v>
      </c>
      <c r="G66" s="125" t="s">
        <v>1959</v>
      </c>
      <c r="H66" s="125" t="s">
        <v>1982</v>
      </c>
      <c r="I66" s="125">
        <v>0</v>
      </c>
      <c r="J66" s="125">
        <v>5704</v>
      </c>
      <c r="K66" s="125"/>
      <c r="L66" s="125"/>
      <c r="M66" s="125"/>
      <c r="N66" s="157">
        <v>0</v>
      </c>
    </row>
    <row r="67" spans="1:14" ht="15.75">
      <c r="A67" s="144">
        <v>2542</v>
      </c>
      <c r="B67" s="144" t="s">
        <v>1956</v>
      </c>
      <c r="C67" s="144" t="s">
        <v>1972</v>
      </c>
      <c r="D67" s="155"/>
      <c r="E67" s="156" t="s">
        <v>1960</v>
      </c>
      <c r="F67" s="156" t="s">
        <v>1970</v>
      </c>
      <c r="G67" s="125" t="s">
        <v>1959</v>
      </c>
      <c r="H67" s="125" t="s">
        <v>1983</v>
      </c>
      <c r="I67" s="125">
        <v>0</v>
      </c>
      <c r="J67" s="125">
        <v>5715</v>
      </c>
      <c r="K67" s="125"/>
      <c r="L67" s="125"/>
      <c r="M67" s="125"/>
      <c r="N67" s="157">
        <v>0</v>
      </c>
    </row>
    <row r="68" spans="1:14" ht="15.75">
      <c r="A68" s="144">
        <v>2519</v>
      </c>
      <c r="B68" s="144" t="s">
        <v>1957</v>
      </c>
      <c r="C68" s="144" t="s">
        <v>1028</v>
      </c>
      <c r="D68" s="155"/>
      <c r="E68" s="156" t="s">
        <v>1953</v>
      </c>
      <c r="F68" s="156" t="s">
        <v>1966</v>
      </c>
      <c r="G68" s="125" t="s">
        <v>855</v>
      </c>
      <c r="H68" s="125" t="s">
        <v>1973</v>
      </c>
      <c r="I68" s="125">
        <v>0</v>
      </c>
      <c r="J68" s="125">
        <v>5901</v>
      </c>
      <c r="K68" s="125"/>
      <c r="L68" s="125"/>
      <c r="M68" s="125"/>
      <c r="N68" s="157">
        <v>44.85</v>
      </c>
    </row>
    <row r="69" spans="1:14" ht="15.75">
      <c r="A69" s="144">
        <v>2517</v>
      </c>
      <c r="B69" s="144" t="s">
        <v>1961</v>
      </c>
      <c r="C69" s="144" t="s">
        <v>1028</v>
      </c>
      <c r="D69" s="155"/>
      <c r="E69" s="156" t="s">
        <v>1963</v>
      </c>
      <c r="F69" s="156" t="s">
        <v>1965</v>
      </c>
      <c r="G69" s="125" t="s">
        <v>855</v>
      </c>
      <c r="H69" s="125" t="s">
        <v>1973</v>
      </c>
      <c r="I69" s="125">
        <v>0</v>
      </c>
      <c r="J69" s="125">
        <v>5901</v>
      </c>
      <c r="K69" s="125"/>
      <c r="L69" s="125"/>
      <c r="M69" s="125"/>
      <c r="N69" s="157">
        <v>0</v>
      </c>
    </row>
    <row r="70" spans="1:14" ht="16.5" customHeight="1">
      <c r="A70" s="144">
        <v>2568</v>
      </c>
      <c r="B70" s="144" t="s">
        <v>2045</v>
      </c>
      <c r="C70" s="144"/>
      <c r="D70" s="155"/>
      <c r="E70" s="156"/>
      <c r="F70" s="156" t="s">
        <v>2043</v>
      </c>
      <c r="G70" s="125"/>
      <c r="H70" s="125"/>
      <c r="I70" s="125"/>
      <c r="J70" s="125"/>
      <c r="K70" s="125"/>
      <c r="L70" s="125"/>
      <c r="M70" s="125"/>
      <c r="N70" s="157"/>
    </row>
    <row r="71" spans="1:14" ht="15.75">
      <c r="A71" s="144">
        <v>3348</v>
      </c>
      <c r="B71" s="144" t="s">
        <v>2046</v>
      </c>
      <c r="C71" s="144"/>
      <c r="D71" s="155"/>
      <c r="E71" s="156"/>
      <c r="F71" s="156" t="s">
        <v>2044</v>
      </c>
      <c r="G71" s="125"/>
      <c r="H71" s="125"/>
      <c r="I71" s="125"/>
      <c r="J71" s="125"/>
      <c r="K71" s="125"/>
      <c r="L71" s="125"/>
      <c r="M71" s="125"/>
      <c r="N71" s="157"/>
    </row>
    <row r="72" spans="1:14" ht="15.75">
      <c r="A72" s="144">
        <v>2572</v>
      </c>
      <c r="B72" s="144" t="s">
        <v>2047</v>
      </c>
      <c r="C72" s="144" t="s">
        <v>1753</v>
      </c>
      <c r="D72" s="155" t="s">
        <v>2048</v>
      </c>
      <c r="E72" s="156" t="s">
        <v>2049</v>
      </c>
      <c r="F72" s="125" t="s">
        <v>2050</v>
      </c>
      <c r="G72" s="144" t="s">
        <v>532</v>
      </c>
      <c r="H72" s="125" t="s">
        <v>535</v>
      </c>
      <c r="I72" s="125">
        <v>632</v>
      </c>
      <c r="J72" s="125">
        <v>5509</v>
      </c>
      <c r="K72" s="125"/>
      <c r="L72" s="125"/>
      <c r="M72" s="125"/>
      <c r="N72" s="157">
        <v>65</v>
      </c>
    </row>
    <row r="73" spans="1:14" ht="15.75">
      <c r="A73" s="144">
        <v>2573</v>
      </c>
      <c r="B73" s="144" t="s">
        <v>2051</v>
      </c>
      <c r="C73" s="144" t="s">
        <v>1753</v>
      </c>
      <c r="D73" s="155" t="s">
        <v>2052</v>
      </c>
      <c r="E73" s="156" t="s">
        <v>2053</v>
      </c>
      <c r="F73" s="156" t="s">
        <v>2054</v>
      </c>
      <c r="G73" s="125" t="s">
        <v>532</v>
      </c>
      <c r="H73" s="125" t="s">
        <v>535</v>
      </c>
      <c r="I73" s="125">
        <v>633</v>
      </c>
      <c r="J73" s="125">
        <v>5509</v>
      </c>
      <c r="K73" s="125"/>
      <c r="L73" s="125"/>
      <c r="M73" s="125"/>
      <c r="N73" s="157">
        <v>34.25</v>
      </c>
    </row>
    <row r="74" spans="1:14" ht="15.75">
      <c r="A74" s="171">
        <v>2575</v>
      </c>
      <c r="B74" s="144" t="s">
        <v>2060</v>
      </c>
      <c r="C74" s="144" t="s">
        <v>1971</v>
      </c>
      <c r="D74" s="171" t="s">
        <v>2062</v>
      </c>
      <c r="E74" s="173" t="s">
        <v>2061</v>
      </c>
      <c r="F74" s="173" t="s">
        <v>2061</v>
      </c>
      <c r="G74" s="171" t="s">
        <v>355</v>
      </c>
      <c r="H74" s="171" t="s">
        <v>2063</v>
      </c>
      <c r="I74" s="171">
        <v>635</v>
      </c>
      <c r="J74" s="171">
        <v>4000</v>
      </c>
      <c r="K74" s="171"/>
      <c r="L74" s="171"/>
      <c r="M74" s="171"/>
      <c r="N74" s="172">
        <v>48.80</v>
      </c>
    </row>
  </sheetData>
  <autoFilter ref="B1:M59"/>
  <sortState ref="D2:M61">
    <sortCondition descending="1" sortBy="value" ref="M2:M61"/>
  </sortState>
  <conditionalFormatting sqref="F2:F36">
    <cfRule type="duplicateValues" priority="47" dxfId="10"/>
  </conditionalFormatting>
  <conditionalFormatting sqref="F72">
    <cfRule type="duplicateValues" priority="1" dxfId="10"/>
  </conditionalFormatting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9544F5-2181-4E5F-AF91-409E8E6D8368}">
  <dimension ref="A1:S19"/>
  <sheetViews>
    <sheetView zoomScale="85" zoomScaleNormal="85" workbookViewId="0" topLeftCell="A1">
      <selection pane="topLeft" activeCell="G34" sqref="G34"/>
    </sheetView>
  </sheetViews>
  <sheetFormatPr defaultRowHeight="15"/>
  <cols>
    <col min="1" max="1" width="7.57142857142857" style="131" bestFit="1" customWidth="1"/>
    <col min="2" max="2" width="21.8571428571429" bestFit="1" customWidth="1"/>
    <col min="3" max="3" width="20" bestFit="1" customWidth="1"/>
    <col min="4" max="4" width="17.5714285714286" bestFit="1" customWidth="1"/>
    <col min="5" max="5" width="79.4285714285714" style="130" bestFit="1" customWidth="1"/>
    <col min="6" max="6" width="61.2857142857143" style="130" bestFit="1" customWidth="1"/>
    <col min="7" max="7" width="44.2857142857143" bestFit="1" customWidth="1"/>
    <col min="8" max="8" width="16.1428571428571" bestFit="1" customWidth="1"/>
    <col min="9" max="9" width="13.7142857142857" bestFit="1" customWidth="1"/>
    <col min="10" max="10" width="10.2857142857143" style="134" customWidth="1"/>
    <col min="11" max="11" width="20.2857142857143" bestFit="1" customWidth="1"/>
    <col min="12" max="14" width="0" hidden="1" customWidth="1"/>
  </cols>
  <sheetData>
    <row r="1" spans="1:14" ht="15.75">
      <c r="A1" s="121" t="s">
        <v>1785</v>
      </c>
      <c r="B1" s="133" t="s">
        <v>1729</v>
      </c>
      <c r="C1" s="133" t="s">
        <v>1730</v>
      </c>
      <c r="D1" s="133" t="s">
        <v>0</v>
      </c>
      <c r="E1" s="154" t="s">
        <v>1</v>
      </c>
      <c r="F1" s="154" t="s">
        <v>1060</v>
      </c>
      <c r="G1" s="133" t="s">
        <v>2</v>
      </c>
      <c r="H1" s="133" t="s">
        <v>3</v>
      </c>
      <c r="I1" s="133" t="s">
        <v>1917</v>
      </c>
      <c r="J1" s="141" t="s">
        <v>1913</v>
      </c>
      <c r="K1" s="133" t="s">
        <v>1026</v>
      </c>
      <c r="L1" s="133" t="s">
        <v>1405</v>
      </c>
      <c r="M1" s="133" t="s">
        <v>1389</v>
      </c>
      <c r="N1" s="133" t="s">
        <v>1406</v>
      </c>
    </row>
    <row r="2" spans="1:14" ht="15.75">
      <c r="A2" s="152">
        <v>1864</v>
      </c>
      <c r="B2" s="152" t="s">
        <v>1518</v>
      </c>
      <c r="C2" s="152" t="s">
        <v>1751</v>
      </c>
      <c r="D2" s="152" t="s">
        <v>755</v>
      </c>
      <c r="E2" s="155" t="s">
        <v>1786</v>
      </c>
      <c r="F2" s="155" t="s">
        <v>1299</v>
      </c>
      <c r="G2" s="152" t="s">
        <v>738</v>
      </c>
      <c r="H2" s="152" t="s">
        <v>141</v>
      </c>
      <c r="I2" s="152">
        <v>149</v>
      </c>
      <c r="J2" s="158">
        <v>18.40</v>
      </c>
      <c r="K2" s="152" t="s">
        <v>1517</v>
      </c>
      <c r="L2">
        <v>15058</v>
      </c>
      <c r="M2">
        <v>10</v>
      </c>
      <c r="N2">
        <f t="shared" si="0" ref="N2:N16">L2*M2</f>
        <v>150580</v>
      </c>
    </row>
    <row r="3" spans="1:19" s="132" customFormat="1" ht="15.75">
      <c r="A3" s="152">
        <v>1865</v>
      </c>
      <c r="B3" s="152" t="s">
        <v>1519</v>
      </c>
      <c r="C3" s="152" t="s">
        <v>1751</v>
      </c>
      <c r="D3" s="152" t="s">
        <v>736</v>
      </c>
      <c r="E3" s="155" t="s">
        <v>1787</v>
      </c>
      <c r="F3" s="155" t="s">
        <v>1293</v>
      </c>
      <c r="G3" s="152" t="s">
        <v>738</v>
      </c>
      <c r="H3" s="152" t="s">
        <v>141</v>
      </c>
      <c r="I3" s="152">
        <v>150</v>
      </c>
      <c r="J3" s="158">
        <v>18.40</v>
      </c>
      <c r="K3" s="152" t="s">
        <v>1517</v>
      </c>
      <c r="L3">
        <v>4922</v>
      </c>
      <c r="M3">
        <v>10</v>
      </c>
      <c r="N3">
        <f t="shared" si="0"/>
        <v>49220</v>
      </c>
      <c r="O3"/>
      <c r="P3"/>
      <c r="Q3"/>
      <c r="R3"/>
      <c r="S3"/>
    </row>
    <row r="4" spans="1:14" ht="15.75">
      <c r="A4" s="152">
        <v>1866</v>
      </c>
      <c r="B4" s="152" t="s">
        <v>1520</v>
      </c>
      <c r="C4" s="152" t="s">
        <v>1752</v>
      </c>
      <c r="D4" s="152" t="s">
        <v>516</v>
      </c>
      <c r="E4" s="155" t="s">
        <v>1788</v>
      </c>
      <c r="F4" s="155" t="s">
        <v>1800</v>
      </c>
      <c r="G4" s="152" t="s">
        <v>518</v>
      </c>
      <c r="H4" s="152" t="s">
        <v>519</v>
      </c>
      <c r="I4" s="152">
        <v>151</v>
      </c>
      <c r="J4" s="158">
        <v>19.20</v>
      </c>
      <c r="K4" s="152" t="s">
        <v>1515</v>
      </c>
      <c r="L4">
        <v>5670</v>
      </c>
      <c r="M4">
        <v>7.45</v>
      </c>
      <c r="N4">
        <f t="shared" si="0"/>
        <v>42241.50</v>
      </c>
    </row>
    <row r="5" spans="1:14" ht="15.75">
      <c r="A5" s="152">
        <v>1867</v>
      </c>
      <c r="B5" s="152" t="s">
        <v>1521</v>
      </c>
      <c r="C5" s="152" t="s">
        <v>1751</v>
      </c>
      <c r="D5" s="152" t="s">
        <v>745</v>
      </c>
      <c r="E5" s="155" t="s">
        <v>1789</v>
      </c>
      <c r="F5" s="155" t="s">
        <v>1296</v>
      </c>
      <c r="G5" s="152" t="s">
        <v>738</v>
      </c>
      <c r="H5" s="152" t="s">
        <v>141</v>
      </c>
      <c r="I5" s="152">
        <v>152</v>
      </c>
      <c r="J5" s="158">
        <v>18.40</v>
      </c>
      <c r="K5" s="152" t="s">
        <v>1517</v>
      </c>
      <c r="L5">
        <v>1790</v>
      </c>
      <c r="M5">
        <v>10</v>
      </c>
      <c r="N5">
        <f t="shared" si="0"/>
        <v>17900</v>
      </c>
    </row>
    <row r="6" spans="1:14" ht="15.75">
      <c r="A6" s="152">
        <v>1868</v>
      </c>
      <c r="B6" s="152" t="s">
        <v>1522</v>
      </c>
      <c r="C6" s="152" t="s">
        <v>1784</v>
      </c>
      <c r="D6" s="152" t="s">
        <v>257</v>
      </c>
      <c r="E6" s="155" t="s">
        <v>258</v>
      </c>
      <c r="F6" s="155" t="s">
        <v>1140</v>
      </c>
      <c r="G6" s="152" t="s">
        <v>255</v>
      </c>
      <c r="H6" s="152" t="s">
        <v>259</v>
      </c>
      <c r="I6" s="152">
        <v>153</v>
      </c>
      <c r="J6" s="158">
        <v>16.35</v>
      </c>
      <c r="K6" s="152" t="s">
        <v>1516</v>
      </c>
      <c r="L6">
        <v>609</v>
      </c>
      <c r="M6">
        <v>18</v>
      </c>
      <c r="N6">
        <f t="shared" si="0"/>
        <v>10962</v>
      </c>
    </row>
    <row r="7" spans="1:14" ht="15.75">
      <c r="A7" s="152">
        <v>1869</v>
      </c>
      <c r="B7" s="152" t="s">
        <v>1523</v>
      </c>
      <c r="C7" s="152" t="s">
        <v>1751</v>
      </c>
      <c r="D7" s="152" t="s">
        <v>743</v>
      </c>
      <c r="E7" s="155" t="s">
        <v>1790</v>
      </c>
      <c r="F7" s="155" t="s">
        <v>1295</v>
      </c>
      <c r="G7" s="152" t="s">
        <v>738</v>
      </c>
      <c r="H7" s="152" t="s">
        <v>141</v>
      </c>
      <c r="I7" s="152">
        <v>154</v>
      </c>
      <c r="J7" s="158">
        <v>18.75</v>
      </c>
      <c r="K7" s="152">
        <v>5351</v>
      </c>
      <c r="L7">
        <v>799</v>
      </c>
      <c r="M7">
        <v>10</v>
      </c>
      <c r="N7">
        <f t="shared" si="0"/>
        <v>7990</v>
      </c>
    </row>
    <row r="8" spans="1:14" ht="15.75">
      <c r="A8" s="152">
        <v>1870</v>
      </c>
      <c r="B8" s="152" t="s">
        <v>1524</v>
      </c>
      <c r="C8" s="152" t="s">
        <v>1752</v>
      </c>
      <c r="D8" s="152" t="s">
        <v>8</v>
      </c>
      <c r="E8" s="155" t="s">
        <v>1791</v>
      </c>
      <c r="F8" s="155" t="s">
        <v>1801</v>
      </c>
      <c r="G8" s="152" t="s">
        <v>10</v>
      </c>
      <c r="H8" s="152" t="s">
        <v>11</v>
      </c>
      <c r="I8" s="152">
        <v>155</v>
      </c>
      <c r="J8" s="158">
        <v>27.20</v>
      </c>
      <c r="K8" s="152">
        <v>5350</v>
      </c>
      <c r="L8">
        <v>745</v>
      </c>
      <c r="M8">
        <v>10</v>
      </c>
      <c r="N8">
        <f t="shared" si="0"/>
        <v>7450</v>
      </c>
    </row>
    <row r="9" spans="1:14" ht="15.75">
      <c r="A9" s="152">
        <v>1871</v>
      </c>
      <c r="B9" s="152" t="s">
        <v>1525</v>
      </c>
      <c r="C9" s="152" t="s">
        <v>1751</v>
      </c>
      <c r="D9" s="152" t="s">
        <v>739</v>
      </c>
      <c r="E9" s="155" t="s">
        <v>1792</v>
      </c>
      <c r="F9" s="155" t="s">
        <v>1294</v>
      </c>
      <c r="G9" s="152" t="s">
        <v>738</v>
      </c>
      <c r="H9" s="152" t="s">
        <v>141</v>
      </c>
      <c r="I9" s="152">
        <v>156</v>
      </c>
      <c r="J9" s="158">
        <v>18.40</v>
      </c>
      <c r="K9" s="152" t="s">
        <v>1517</v>
      </c>
      <c r="L9">
        <v>569</v>
      </c>
      <c r="M9">
        <v>10</v>
      </c>
      <c r="N9">
        <f t="shared" si="0"/>
        <v>5690</v>
      </c>
    </row>
    <row r="10" spans="1:14" ht="15.75">
      <c r="A10" s="152">
        <v>1872</v>
      </c>
      <c r="B10" s="152" t="s">
        <v>1526</v>
      </c>
      <c r="C10" s="152" t="s">
        <v>1751</v>
      </c>
      <c r="D10" s="152" t="s">
        <v>757</v>
      </c>
      <c r="E10" s="155" t="s">
        <v>1793</v>
      </c>
      <c r="F10" s="155" t="s">
        <v>1300</v>
      </c>
      <c r="G10" s="152" t="s">
        <v>738</v>
      </c>
      <c r="H10" s="152" t="s">
        <v>141</v>
      </c>
      <c r="I10" s="152">
        <v>157</v>
      </c>
      <c r="J10" s="158">
        <v>18.75</v>
      </c>
      <c r="K10" s="152" t="s">
        <v>1517</v>
      </c>
      <c r="L10">
        <v>230</v>
      </c>
      <c r="M10">
        <v>10</v>
      </c>
      <c r="N10">
        <f t="shared" si="0"/>
        <v>2300</v>
      </c>
    </row>
    <row r="11" spans="1:14" ht="15.75">
      <c r="A11" s="152">
        <v>1873</v>
      </c>
      <c r="B11" s="152" t="s">
        <v>1527</v>
      </c>
      <c r="C11" s="152" t="s">
        <v>1751</v>
      </c>
      <c r="D11" s="152" t="s">
        <v>747</v>
      </c>
      <c r="E11" s="155" t="s">
        <v>1794</v>
      </c>
      <c r="F11" s="155" t="s">
        <v>1297</v>
      </c>
      <c r="G11" s="152" t="s">
        <v>738</v>
      </c>
      <c r="H11" s="152" t="s">
        <v>141</v>
      </c>
      <c r="I11" s="152">
        <v>158</v>
      </c>
      <c r="J11" s="158">
        <v>18.75</v>
      </c>
      <c r="K11" s="152" t="s">
        <v>1517</v>
      </c>
      <c r="L11">
        <v>95</v>
      </c>
      <c r="M11">
        <v>10</v>
      </c>
      <c r="N11">
        <f t="shared" si="0"/>
        <v>950</v>
      </c>
    </row>
    <row r="12" spans="1:14" ht="15.75">
      <c r="A12" s="152">
        <v>1874</v>
      </c>
      <c r="B12" s="152" t="s">
        <v>1528</v>
      </c>
      <c r="C12" s="152" t="s">
        <v>1784</v>
      </c>
      <c r="D12" s="152" t="s">
        <v>741</v>
      </c>
      <c r="E12" s="155" t="s">
        <v>1795</v>
      </c>
      <c r="F12" s="155" t="s">
        <v>1292</v>
      </c>
      <c r="G12" s="152" t="s">
        <v>738</v>
      </c>
      <c r="H12" s="152" t="s">
        <v>141</v>
      </c>
      <c r="I12" s="152">
        <v>159</v>
      </c>
      <c r="J12" s="158">
        <v>19.75</v>
      </c>
      <c r="K12" s="152" t="s">
        <v>1515</v>
      </c>
      <c r="L12">
        <v>50</v>
      </c>
      <c r="M12">
        <v>10</v>
      </c>
      <c r="N12">
        <f t="shared" si="0"/>
        <v>500</v>
      </c>
    </row>
    <row r="13" spans="1:14" ht="15.75">
      <c r="A13" s="152">
        <v>1875</v>
      </c>
      <c r="B13" s="152" t="s">
        <v>1529</v>
      </c>
      <c r="C13" s="152" t="s">
        <v>1751</v>
      </c>
      <c r="D13" s="152" t="s">
        <v>759</v>
      </c>
      <c r="E13" s="155" t="s">
        <v>1796</v>
      </c>
      <c r="F13" s="155" t="s">
        <v>1301</v>
      </c>
      <c r="G13" s="152" t="s">
        <v>738</v>
      </c>
      <c r="H13" s="152" t="s">
        <v>141</v>
      </c>
      <c r="I13" s="152">
        <v>160</v>
      </c>
      <c r="J13" s="158">
        <v>22</v>
      </c>
      <c r="K13" s="152">
        <v>5351</v>
      </c>
      <c r="L13">
        <v>30</v>
      </c>
      <c r="M13">
        <v>10</v>
      </c>
      <c r="N13">
        <f t="shared" si="0"/>
        <v>300</v>
      </c>
    </row>
    <row r="14" spans="1:14" ht="15.75">
      <c r="A14" s="152">
        <v>1876</v>
      </c>
      <c r="B14" s="152" t="s">
        <v>1530</v>
      </c>
      <c r="C14" s="152" t="s">
        <v>1784</v>
      </c>
      <c r="D14" s="152" t="s">
        <v>749</v>
      </c>
      <c r="E14" s="155" t="s">
        <v>1797</v>
      </c>
      <c r="F14" s="155" t="s">
        <v>1298</v>
      </c>
      <c r="G14" s="152" t="s">
        <v>738</v>
      </c>
      <c r="H14" s="152" t="s">
        <v>141</v>
      </c>
      <c r="I14" s="152">
        <v>161</v>
      </c>
      <c r="J14" s="158">
        <v>20.75</v>
      </c>
      <c r="K14" s="152">
        <v>5350</v>
      </c>
      <c r="L14">
        <v>20</v>
      </c>
      <c r="M14">
        <v>10</v>
      </c>
      <c r="N14">
        <f t="shared" si="0"/>
        <v>200</v>
      </c>
    </row>
    <row r="15" spans="1:14" ht="15.75">
      <c r="A15" s="152">
        <v>1877</v>
      </c>
      <c r="B15" s="152" t="s">
        <v>1531</v>
      </c>
      <c r="C15" s="152" t="s">
        <v>1784</v>
      </c>
      <c r="D15" s="152" t="s">
        <v>597</v>
      </c>
      <c r="E15" s="155" t="s">
        <v>1798</v>
      </c>
      <c r="F15" s="155" t="s">
        <v>1257</v>
      </c>
      <c r="G15" s="152" t="s">
        <v>599</v>
      </c>
      <c r="H15" s="152" t="s">
        <v>600</v>
      </c>
      <c r="I15" s="152">
        <v>162</v>
      </c>
      <c r="J15" s="158">
        <v>26.77</v>
      </c>
      <c r="K15" s="152">
        <v>5352</v>
      </c>
      <c r="L15">
        <v>2</v>
      </c>
      <c r="M15">
        <v>18</v>
      </c>
      <c r="N15">
        <f t="shared" si="0"/>
        <v>36</v>
      </c>
    </row>
    <row r="16" spans="1:14" ht="15.75">
      <c r="A16" s="144">
        <v>1878</v>
      </c>
      <c r="B16" s="144" t="s">
        <v>1532</v>
      </c>
      <c r="C16" s="152" t="s">
        <v>1752</v>
      </c>
      <c r="D16" s="152" t="s">
        <v>12</v>
      </c>
      <c r="E16" s="155" t="s">
        <v>1799</v>
      </c>
      <c r="F16" s="155" t="s">
        <v>1802</v>
      </c>
      <c r="G16" s="152" t="s">
        <v>10</v>
      </c>
      <c r="H16" s="152" t="s">
        <v>14</v>
      </c>
      <c r="I16" s="152">
        <v>163</v>
      </c>
      <c r="J16" s="158">
        <v>41.80</v>
      </c>
      <c r="K16" s="152" t="s">
        <v>1515</v>
      </c>
      <c r="L16">
        <v>0</v>
      </c>
      <c r="M16">
        <v>10</v>
      </c>
      <c r="N16">
        <f t="shared" si="0"/>
        <v>0</v>
      </c>
    </row>
    <row r="17" spans="1:11" ht="15.75">
      <c r="A17" s="159">
        <v>2569</v>
      </c>
      <c r="B17" s="144" t="s">
        <v>2031</v>
      </c>
      <c r="C17" s="152" t="s">
        <v>1751</v>
      </c>
      <c r="D17" s="152" t="s">
        <v>2032</v>
      </c>
      <c r="E17" s="175" t="s">
        <v>2033</v>
      </c>
      <c r="F17" s="155" t="s">
        <v>2055</v>
      </c>
      <c r="G17" s="152" t="s">
        <v>738</v>
      </c>
      <c r="H17" s="152" t="s">
        <v>141</v>
      </c>
      <c r="I17" s="160">
        <v>627</v>
      </c>
      <c r="J17" s="158">
        <v>21</v>
      </c>
      <c r="K17" s="152">
        <v>5351</v>
      </c>
    </row>
    <row r="18" spans="1:11" ht="15.75">
      <c r="A18" s="171">
        <v>2574</v>
      </c>
      <c r="B18" s="144" t="s">
        <v>2056</v>
      </c>
      <c r="C18" s="152" t="s">
        <v>1751</v>
      </c>
      <c r="D18" s="152" t="s">
        <v>2059</v>
      </c>
      <c r="E18" s="176" t="s">
        <v>2058</v>
      </c>
      <c r="F18" s="155" t="s">
        <v>2057</v>
      </c>
      <c r="G18" s="152" t="s">
        <v>738</v>
      </c>
      <c r="H18" s="152" t="s">
        <v>1944</v>
      </c>
      <c r="I18" s="164">
        <v>634</v>
      </c>
      <c r="J18" s="165">
        <v>18.40</v>
      </c>
      <c r="K18" s="152">
        <v>5351</v>
      </c>
    </row>
    <row r="19" spans="1:11" ht="15.75">
      <c r="A19" s="171">
        <v>2578</v>
      </c>
      <c r="B19" s="171" t="s">
        <v>2074</v>
      </c>
      <c r="C19" s="152" t="s">
        <v>1751</v>
      </c>
      <c r="D19" s="152" t="s">
        <v>2075</v>
      </c>
      <c r="E19" s="176" t="s">
        <v>2076</v>
      </c>
      <c r="F19" s="155" t="s">
        <v>2077</v>
      </c>
      <c r="G19" s="152" t="s">
        <v>738</v>
      </c>
      <c r="H19" s="152" t="s">
        <v>1944</v>
      </c>
      <c r="I19" s="164">
        <v>642</v>
      </c>
      <c r="J19" s="165">
        <v>18.40</v>
      </c>
      <c r="K19" s="164">
        <v>5351</v>
      </c>
    </row>
  </sheetData>
  <autoFilter ref="B1:N16"/>
  <sortState ref="D2:N16">
    <sortCondition descending="1" sortBy="value" ref="N2:N16"/>
  </sortState>
  <conditionalFormatting sqref="F2:F19">
    <cfRule type="duplicateValues" priority="16" dxfId="10"/>
  </conditionalFormatting>
  <pageMargins left="0.7" right="0.7" top="0.75" bottom="0.75" header="0.3" footer="0.3"/>
  <pageSetup orientation="portrait" paperSize="1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543546-AAF0-4850-9954-FEC2356C0DE7}">
  <dimension ref="A1:S65"/>
  <sheetViews>
    <sheetView workbookViewId="0" topLeftCell="A55">
      <selection pane="topLeft" activeCell="A65" sqref="A65"/>
    </sheetView>
  </sheetViews>
  <sheetFormatPr defaultRowHeight="15"/>
  <cols>
    <col min="1" max="1" width="19.4285714285714" bestFit="1" customWidth="1"/>
    <col min="2" max="2" width="13.4285714285714" customWidth="1"/>
    <col min="3" max="3" width="17.1428571428571" bestFit="1" customWidth="1"/>
    <col min="4" max="4" width="15.2857142857143" bestFit="1" customWidth="1"/>
    <col min="5" max="5" width="50.8571428571429" style="130" customWidth="1"/>
    <col min="6" max="6" width="34.5714285714286" style="130" customWidth="1"/>
    <col min="7" max="7" width="39" customWidth="1"/>
    <col min="8" max="8" width="14" bestFit="1" customWidth="1"/>
    <col min="9" max="9" width="9.85714285714286" customWidth="1"/>
    <col min="11" max="13" width="0" hidden="1" customWidth="1"/>
    <col min="14" max="14" width="10.1428571428571" style="134" bestFit="1" customWidth="1"/>
  </cols>
  <sheetData>
    <row r="1" spans="1:17" s="135" customFormat="1" ht="15">
      <c r="A1" s="161" t="s">
        <v>1729</v>
      </c>
      <c r="B1" s="161" t="s">
        <v>1785</v>
      </c>
      <c r="C1" s="161" t="s">
        <v>1730</v>
      </c>
      <c r="D1" s="161" t="s">
        <v>0</v>
      </c>
      <c r="E1" s="163" t="s">
        <v>1</v>
      </c>
      <c r="F1" s="163" t="s">
        <v>1060</v>
      </c>
      <c r="G1" s="161" t="s">
        <v>2</v>
      </c>
      <c r="H1" s="161" t="s">
        <v>3</v>
      </c>
      <c r="I1" s="161" t="s">
        <v>1914</v>
      </c>
      <c r="J1" s="161" t="s">
        <v>1026</v>
      </c>
      <c r="K1" s="161" t="s">
        <v>1405</v>
      </c>
      <c r="L1" s="161" t="s">
        <v>1389</v>
      </c>
      <c r="M1" s="161" t="s">
        <v>1406</v>
      </c>
      <c r="N1" s="162" t="s">
        <v>1915</v>
      </c>
      <c r="O1"/>
      <c r="P1"/>
      <c r="Q1"/>
    </row>
    <row r="2" spans="1:14" ht="15.75">
      <c r="A2" s="144" t="s">
        <v>1407</v>
      </c>
      <c r="B2" s="144">
        <v>1803</v>
      </c>
      <c r="C2" s="144" t="s">
        <v>1748</v>
      </c>
      <c r="D2" s="144" t="s">
        <v>928</v>
      </c>
      <c r="E2" s="125" t="s">
        <v>929</v>
      </c>
      <c r="F2" s="125" t="s">
        <v>1331</v>
      </c>
      <c r="G2" s="144" t="s">
        <v>917</v>
      </c>
      <c r="H2" s="144" t="s">
        <v>141</v>
      </c>
      <c r="I2" s="144">
        <v>87</v>
      </c>
      <c r="J2" s="144" t="s">
        <v>1392</v>
      </c>
      <c r="K2" s="144">
        <v>897</v>
      </c>
      <c r="L2" s="144">
        <v>10</v>
      </c>
      <c r="M2" s="144">
        <v>8970</v>
      </c>
      <c r="N2" s="145">
        <v>60</v>
      </c>
    </row>
    <row r="3" spans="1:14" ht="15.75">
      <c r="A3" s="144" t="s">
        <v>1409</v>
      </c>
      <c r="B3" s="144">
        <v>1804</v>
      </c>
      <c r="C3" s="144" t="s">
        <v>1746</v>
      </c>
      <c r="D3" s="144" t="s">
        <v>895</v>
      </c>
      <c r="E3" s="125" t="s">
        <v>896</v>
      </c>
      <c r="F3" s="125" t="s">
        <v>896</v>
      </c>
      <c r="G3" s="144" t="s">
        <v>897</v>
      </c>
      <c r="H3" s="144" t="s">
        <v>36</v>
      </c>
      <c r="I3" s="144">
        <v>88</v>
      </c>
      <c r="J3" s="144">
        <v>5200</v>
      </c>
      <c r="K3" s="144">
        <v>244</v>
      </c>
      <c r="L3" s="144">
        <v>25</v>
      </c>
      <c r="M3" s="144">
        <f>6100+2075</f>
        <v>8175</v>
      </c>
      <c r="N3" s="145">
        <v>8.2</v>
      </c>
    </row>
    <row r="4" spans="1:14" ht="15.75">
      <c r="A4" s="144" t="s">
        <v>1408</v>
      </c>
      <c r="B4" s="144">
        <v>1805</v>
      </c>
      <c r="C4" s="144" t="s">
        <v>1746</v>
      </c>
      <c r="D4" s="144" t="s">
        <v>511</v>
      </c>
      <c r="E4" s="125" t="s">
        <v>512</v>
      </c>
      <c r="F4" s="125" t="s">
        <v>1229</v>
      </c>
      <c r="G4" s="144" t="s">
        <v>513</v>
      </c>
      <c r="H4" s="144" t="s">
        <v>21</v>
      </c>
      <c r="I4" s="144">
        <v>89</v>
      </c>
      <c r="J4" s="144" t="s">
        <v>1392</v>
      </c>
      <c r="K4" s="144">
        <v>240</v>
      </c>
      <c r="L4" s="144">
        <v>25</v>
      </c>
      <c r="M4" s="144">
        <v>6000</v>
      </c>
      <c r="N4" s="145">
        <v>22.25</v>
      </c>
    </row>
    <row r="5" spans="1:14" ht="15.75">
      <c r="A5" s="144" t="s">
        <v>1410</v>
      </c>
      <c r="B5" s="144">
        <v>1806</v>
      </c>
      <c r="C5" s="144" t="s">
        <v>1747</v>
      </c>
      <c r="D5" s="144" t="s">
        <v>988</v>
      </c>
      <c r="E5" s="125" t="s">
        <v>989</v>
      </c>
      <c r="F5" s="125" t="s">
        <v>1348</v>
      </c>
      <c r="G5" s="144" t="s">
        <v>917</v>
      </c>
      <c r="H5" s="144" t="s">
        <v>36</v>
      </c>
      <c r="I5" s="144">
        <v>90</v>
      </c>
      <c r="J5" s="144" t="s">
        <v>1392</v>
      </c>
      <c r="K5" s="144">
        <v>109</v>
      </c>
      <c r="L5" s="144">
        <v>25</v>
      </c>
      <c r="M5" s="144">
        <v>2725</v>
      </c>
      <c r="N5" s="145">
        <v>205</v>
      </c>
    </row>
    <row r="6" spans="1:14" ht="15.75">
      <c r="A6" s="144" t="s">
        <v>1411</v>
      </c>
      <c r="B6" s="144">
        <v>1807</v>
      </c>
      <c r="C6" s="144" t="s">
        <v>1746</v>
      </c>
      <c r="D6" s="144" t="s">
        <v>918</v>
      </c>
      <c r="E6" s="125" t="s">
        <v>919</v>
      </c>
      <c r="F6" s="125" t="s">
        <v>1329</v>
      </c>
      <c r="G6" s="144" t="s">
        <v>917</v>
      </c>
      <c r="H6" s="144" t="s">
        <v>783</v>
      </c>
      <c r="I6" s="144">
        <v>91</v>
      </c>
      <c r="J6" s="144" t="s">
        <v>1392</v>
      </c>
      <c r="K6" s="144">
        <v>91</v>
      </c>
      <c r="L6" s="144">
        <v>25</v>
      </c>
      <c r="M6" s="144">
        <v>2275</v>
      </c>
      <c r="N6" s="145">
        <v>210</v>
      </c>
    </row>
    <row r="7" spans="1:14" ht="15.75">
      <c r="A7" s="144" t="s">
        <v>1412</v>
      </c>
      <c r="B7" s="144">
        <v>1808</v>
      </c>
      <c r="C7" s="144" t="s">
        <v>1745</v>
      </c>
      <c r="D7" s="144" t="s">
        <v>922</v>
      </c>
      <c r="E7" s="125" t="s">
        <v>923</v>
      </c>
      <c r="F7" s="125" t="s">
        <v>923</v>
      </c>
      <c r="G7" s="144" t="s">
        <v>917</v>
      </c>
      <c r="H7" s="144" t="s">
        <v>783</v>
      </c>
      <c r="I7" s="144">
        <v>92</v>
      </c>
      <c r="J7" s="144" t="s">
        <v>1392</v>
      </c>
      <c r="K7" s="144">
        <v>89</v>
      </c>
      <c r="L7" s="144">
        <v>25</v>
      </c>
      <c r="M7" s="144">
        <v>2225</v>
      </c>
      <c r="N7" s="145">
        <v>120</v>
      </c>
    </row>
    <row r="8" spans="1:14" ht="15.75">
      <c r="A8" s="144" t="s">
        <v>1413</v>
      </c>
      <c r="B8" s="144">
        <v>1809</v>
      </c>
      <c r="C8" s="144" t="s">
        <v>1749</v>
      </c>
      <c r="D8" s="144" t="s">
        <v>23</v>
      </c>
      <c r="E8" s="125" t="s">
        <v>24</v>
      </c>
      <c r="F8" s="125" t="s">
        <v>1150</v>
      </c>
      <c r="G8" s="144" t="s">
        <v>25</v>
      </c>
      <c r="H8" s="144" t="s">
        <v>21</v>
      </c>
      <c r="I8" s="144">
        <v>93</v>
      </c>
      <c r="J8" s="144" t="s">
        <v>1539</v>
      </c>
      <c r="K8" s="144">
        <v>80</v>
      </c>
      <c r="L8" s="144">
        <v>25</v>
      </c>
      <c r="M8" s="144">
        <f>K8*L8</f>
        <v>2000</v>
      </c>
      <c r="N8" s="145">
        <v>27</v>
      </c>
    </row>
    <row r="9" spans="1:14" ht="15.75">
      <c r="A9" s="144" t="s">
        <v>1414</v>
      </c>
      <c r="B9" s="144">
        <v>1810</v>
      </c>
      <c r="C9" s="144" t="s">
        <v>1746</v>
      </c>
      <c r="D9" s="144" t="s">
        <v>984</v>
      </c>
      <c r="E9" s="125" t="s">
        <v>985</v>
      </c>
      <c r="F9" s="125" t="s">
        <v>1346</v>
      </c>
      <c r="G9" s="144" t="s">
        <v>917</v>
      </c>
      <c r="H9" s="144" t="s">
        <v>36</v>
      </c>
      <c r="I9" s="144">
        <v>94</v>
      </c>
      <c r="J9" s="144" t="s">
        <v>1392</v>
      </c>
      <c r="K9" s="144">
        <v>74</v>
      </c>
      <c r="L9" s="144">
        <v>25</v>
      </c>
      <c r="M9" s="144">
        <v>1850</v>
      </c>
      <c r="N9" s="145">
        <v>122</v>
      </c>
    </row>
    <row r="10" spans="1:14" ht="15.75">
      <c r="A10" s="144" t="s">
        <v>1415</v>
      </c>
      <c r="B10" s="144">
        <v>1811</v>
      </c>
      <c r="C10" s="144" t="s">
        <v>1746</v>
      </c>
      <c r="D10" s="144" t="s">
        <v>924</v>
      </c>
      <c r="E10" s="125" t="s">
        <v>925</v>
      </c>
      <c r="F10" s="125" t="s">
        <v>1330</v>
      </c>
      <c r="G10" s="144" t="s">
        <v>917</v>
      </c>
      <c r="H10" s="144" t="s">
        <v>560</v>
      </c>
      <c r="I10" s="144">
        <v>95</v>
      </c>
      <c r="J10" s="144" t="s">
        <v>1392</v>
      </c>
      <c r="K10" s="144">
        <v>83</v>
      </c>
      <c r="L10" s="144">
        <v>20</v>
      </c>
      <c r="M10" s="144">
        <v>1660</v>
      </c>
      <c r="N10" s="145">
        <v>43</v>
      </c>
    </row>
    <row r="11" spans="1:14" ht="15.75">
      <c r="A11" s="144" t="s">
        <v>1416</v>
      </c>
      <c r="B11" s="144">
        <v>1812</v>
      </c>
      <c r="C11" s="144" t="s">
        <v>1749</v>
      </c>
      <c r="D11" s="144" t="s">
        <v>955</v>
      </c>
      <c r="E11" s="125" t="s">
        <v>956</v>
      </c>
      <c r="F11" s="125" t="s">
        <v>1340</v>
      </c>
      <c r="G11" s="144" t="s">
        <v>917</v>
      </c>
      <c r="H11" s="144" t="s">
        <v>186</v>
      </c>
      <c r="I11" s="144">
        <v>96</v>
      </c>
      <c r="J11" s="144" t="s">
        <v>1403</v>
      </c>
      <c r="K11" s="144">
        <v>52</v>
      </c>
      <c r="L11" s="144">
        <v>15</v>
      </c>
      <c r="M11" s="144">
        <v>780</v>
      </c>
      <c r="N11" s="145">
        <v>57</v>
      </c>
    </row>
    <row r="12" spans="1:14" ht="15.75">
      <c r="A12" s="144" t="s">
        <v>1417</v>
      </c>
      <c r="B12" s="144">
        <v>1813</v>
      </c>
      <c r="C12" s="144" t="s">
        <v>1746</v>
      </c>
      <c r="D12" s="144" t="s">
        <v>986</v>
      </c>
      <c r="E12" s="125" t="s">
        <v>987</v>
      </c>
      <c r="F12" s="125" t="s">
        <v>1347</v>
      </c>
      <c r="G12" s="144" t="s">
        <v>917</v>
      </c>
      <c r="H12" s="144" t="s">
        <v>36</v>
      </c>
      <c r="I12" s="144">
        <v>97</v>
      </c>
      <c r="J12" s="144" t="s">
        <v>1392</v>
      </c>
      <c r="K12" s="144">
        <v>28</v>
      </c>
      <c r="L12" s="144">
        <v>25</v>
      </c>
      <c r="M12" s="144">
        <v>700</v>
      </c>
      <c r="N12" s="145">
        <v>75</v>
      </c>
    </row>
    <row r="13" spans="1:14" ht="15.75">
      <c r="A13" s="144" t="s">
        <v>1418</v>
      </c>
      <c r="B13" s="144">
        <v>1814</v>
      </c>
      <c r="C13" s="144" t="s">
        <v>1746</v>
      </c>
      <c r="D13" s="144" t="s">
        <v>32</v>
      </c>
      <c r="E13" s="125" t="s">
        <v>33</v>
      </c>
      <c r="F13" s="125" t="s">
        <v>1147</v>
      </c>
      <c r="G13" s="144" t="s">
        <v>31</v>
      </c>
      <c r="H13" s="144" t="s">
        <v>21</v>
      </c>
      <c r="I13" s="144">
        <v>98</v>
      </c>
      <c r="J13" s="144" t="s">
        <v>1392</v>
      </c>
      <c r="K13" s="144">
        <v>26</v>
      </c>
      <c r="L13" s="144">
        <v>25</v>
      </c>
      <c r="M13" s="144">
        <v>650</v>
      </c>
      <c r="N13" s="145">
        <v>37.23</v>
      </c>
    </row>
    <row r="14" spans="1:14" ht="15.75">
      <c r="A14" s="144" t="s">
        <v>1419</v>
      </c>
      <c r="B14" s="144">
        <v>1815</v>
      </c>
      <c r="C14" s="144" t="s">
        <v>1747</v>
      </c>
      <c r="D14" s="144" t="s">
        <v>915</v>
      </c>
      <c r="E14" s="125" t="s">
        <v>916</v>
      </c>
      <c r="F14" s="125" t="s">
        <v>916</v>
      </c>
      <c r="G14" s="144" t="s">
        <v>917</v>
      </c>
      <c r="H14" s="144" t="s">
        <v>560</v>
      </c>
      <c r="I14" s="144">
        <v>99</v>
      </c>
      <c r="J14" s="144" t="s">
        <v>1392</v>
      </c>
      <c r="K14" s="144">
        <v>31</v>
      </c>
      <c r="L14" s="144">
        <v>20</v>
      </c>
      <c r="M14" s="144">
        <v>620</v>
      </c>
      <c r="N14" s="145">
        <v>120</v>
      </c>
    </row>
    <row r="15" spans="1:14" ht="15.75">
      <c r="A15" s="144" t="s">
        <v>1420</v>
      </c>
      <c r="B15" s="144">
        <v>1816</v>
      </c>
      <c r="C15" s="144" t="s">
        <v>1749</v>
      </c>
      <c r="D15" s="144" t="s">
        <v>26</v>
      </c>
      <c r="E15" s="125" t="s">
        <v>27</v>
      </c>
      <c r="F15" s="125" t="s">
        <v>1151</v>
      </c>
      <c r="G15" s="144" t="s">
        <v>25</v>
      </c>
      <c r="H15" s="144" t="s">
        <v>28</v>
      </c>
      <c r="I15" s="144">
        <v>101</v>
      </c>
      <c r="J15" s="144" t="s">
        <v>1540</v>
      </c>
      <c r="K15" s="144">
        <v>30</v>
      </c>
      <c r="L15" s="144">
        <v>20</v>
      </c>
      <c r="M15" s="144">
        <f>K15*L15</f>
        <v>600</v>
      </c>
      <c r="N15" s="145">
        <v>58.40</v>
      </c>
    </row>
    <row r="16" spans="1:14" ht="15.75">
      <c r="A16" s="144" t="s">
        <v>1421</v>
      </c>
      <c r="B16" s="144">
        <v>1817</v>
      </c>
      <c r="C16" s="144" t="s">
        <v>1746</v>
      </c>
      <c r="D16" s="144" t="s">
        <v>990</v>
      </c>
      <c r="E16" s="125" t="s">
        <v>991</v>
      </c>
      <c r="F16" s="125" t="s">
        <v>1352</v>
      </c>
      <c r="G16" s="144" t="s">
        <v>917</v>
      </c>
      <c r="H16" s="144" t="s">
        <v>36</v>
      </c>
      <c r="I16" s="144">
        <v>102</v>
      </c>
      <c r="J16" s="144" t="s">
        <v>1392</v>
      </c>
      <c r="K16" s="144">
        <v>23</v>
      </c>
      <c r="L16" s="144">
        <v>25</v>
      </c>
      <c r="M16" s="144">
        <v>575</v>
      </c>
      <c r="N16" s="145">
        <v>110</v>
      </c>
    </row>
    <row r="17" spans="1:14" ht="15.75">
      <c r="A17" s="144" t="s">
        <v>1422</v>
      </c>
      <c r="B17" s="144">
        <v>1818</v>
      </c>
      <c r="C17" s="144" t="s">
        <v>1749</v>
      </c>
      <c r="D17" s="144" t="s">
        <v>215</v>
      </c>
      <c r="E17" s="125" t="s">
        <v>216</v>
      </c>
      <c r="F17" s="125" t="s">
        <v>1128</v>
      </c>
      <c r="G17" s="144" t="s">
        <v>217</v>
      </c>
      <c r="H17" s="144" t="s">
        <v>218</v>
      </c>
      <c r="I17" s="144">
        <v>103</v>
      </c>
      <c r="J17" s="144" t="s">
        <v>1392</v>
      </c>
      <c r="K17" s="144">
        <v>125</v>
      </c>
      <c r="L17" s="144">
        <v>3</v>
      </c>
      <c r="M17" s="144">
        <f>K17*L17</f>
        <v>375</v>
      </c>
      <c r="N17" s="145">
        <v>12</v>
      </c>
    </row>
    <row r="18" spans="1:14" ht="15.75">
      <c r="A18" s="144" t="s">
        <v>1423</v>
      </c>
      <c r="B18" s="144">
        <v>1819</v>
      </c>
      <c r="C18" s="144" t="s">
        <v>1747</v>
      </c>
      <c r="D18" s="144" t="s">
        <v>957</v>
      </c>
      <c r="E18" s="125" t="s">
        <v>958</v>
      </c>
      <c r="F18" s="125" t="s">
        <v>958</v>
      </c>
      <c r="G18" s="144" t="s">
        <v>917</v>
      </c>
      <c r="H18" s="144" t="s">
        <v>959</v>
      </c>
      <c r="I18" s="144">
        <v>104</v>
      </c>
      <c r="J18" s="144">
        <v>5200</v>
      </c>
      <c r="K18" s="144">
        <v>23</v>
      </c>
      <c r="L18" s="144">
        <v>16</v>
      </c>
      <c r="M18" s="144">
        <v>368</v>
      </c>
      <c r="N18" s="145">
        <v>56.80</v>
      </c>
    </row>
    <row r="19" spans="1:14" ht="15.75">
      <c r="A19" s="144" t="s">
        <v>1424</v>
      </c>
      <c r="B19" s="144">
        <v>1820</v>
      </c>
      <c r="C19" s="144" t="s">
        <v>1745</v>
      </c>
      <c r="D19" s="144" t="s">
        <v>953</v>
      </c>
      <c r="E19" s="125" t="s">
        <v>954</v>
      </c>
      <c r="F19" s="125" t="s">
        <v>1339</v>
      </c>
      <c r="G19" s="144" t="s">
        <v>917</v>
      </c>
      <c r="H19" s="144" t="s">
        <v>42</v>
      </c>
      <c r="I19" s="144">
        <v>105</v>
      </c>
      <c r="J19" s="144" t="s">
        <v>1392</v>
      </c>
      <c r="K19" s="144">
        <v>30</v>
      </c>
      <c r="L19" s="144">
        <v>10</v>
      </c>
      <c r="M19" s="144">
        <v>300</v>
      </c>
      <c r="N19" s="145">
        <v>60.60</v>
      </c>
    </row>
    <row r="20" spans="1:14" ht="15.75">
      <c r="A20" s="144" t="s">
        <v>1425</v>
      </c>
      <c r="B20" s="144">
        <v>1821</v>
      </c>
      <c r="C20" s="144" t="s">
        <v>1746</v>
      </c>
      <c r="D20" s="144" t="s">
        <v>980</v>
      </c>
      <c r="E20" s="125" t="s">
        <v>981</v>
      </c>
      <c r="F20" s="125" t="s">
        <v>1351</v>
      </c>
      <c r="G20" s="144" t="s">
        <v>917</v>
      </c>
      <c r="H20" s="144" t="s">
        <v>36</v>
      </c>
      <c r="I20" s="144">
        <v>106</v>
      </c>
      <c r="J20" s="144">
        <v>5200</v>
      </c>
      <c r="K20" s="144">
        <v>12</v>
      </c>
      <c r="L20" s="144">
        <v>25</v>
      </c>
      <c r="M20" s="144">
        <v>300</v>
      </c>
      <c r="N20" s="145">
        <v>125</v>
      </c>
    </row>
    <row r="21" spans="1:14" ht="15.75">
      <c r="A21" s="144" t="s">
        <v>1426</v>
      </c>
      <c r="B21" s="144">
        <v>1822</v>
      </c>
      <c r="C21" s="144" t="s">
        <v>1749</v>
      </c>
      <c r="D21" s="144" t="s">
        <v>19</v>
      </c>
      <c r="E21" s="125" t="s">
        <v>20</v>
      </c>
      <c r="F21" s="125" t="s">
        <v>20</v>
      </c>
      <c r="G21" s="144" t="s">
        <v>17</v>
      </c>
      <c r="H21" s="144" t="s">
        <v>21</v>
      </c>
      <c r="I21" s="144">
        <v>107</v>
      </c>
      <c r="J21" s="144" t="s">
        <v>1391</v>
      </c>
      <c r="K21" s="144">
        <v>7</v>
      </c>
      <c r="L21" s="144">
        <v>25</v>
      </c>
      <c r="M21" s="144">
        <f>K21*L21</f>
        <v>175</v>
      </c>
      <c r="N21" s="145">
        <v>205</v>
      </c>
    </row>
    <row r="22" spans="1:14" ht="15.75">
      <c r="A22" s="144" t="s">
        <v>1427</v>
      </c>
      <c r="B22" s="144">
        <v>1823</v>
      </c>
      <c r="C22" s="144" t="s">
        <v>1745</v>
      </c>
      <c r="D22" s="144" t="s">
        <v>846</v>
      </c>
      <c r="E22" s="125" t="s">
        <v>847</v>
      </c>
      <c r="F22" s="125" t="s">
        <v>1314</v>
      </c>
      <c r="G22" s="144" t="s">
        <v>778</v>
      </c>
      <c r="H22" s="144" t="s">
        <v>28</v>
      </c>
      <c r="I22" s="144">
        <v>108</v>
      </c>
      <c r="J22" s="144">
        <v>5200</v>
      </c>
      <c r="K22" s="144">
        <v>7</v>
      </c>
      <c r="L22" s="144">
        <v>20</v>
      </c>
      <c r="M22" s="144">
        <v>140</v>
      </c>
      <c r="N22" s="145">
        <v>110</v>
      </c>
    </row>
    <row r="23" spans="1:14" ht="15.75">
      <c r="A23" s="144" t="s">
        <v>1428</v>
      </c>
      <c r="B23" s="144">
        <v>1824</v>
      </c>
      <c r="C23" s="144" t="s">
        <v>1746</v>
      </c>
      <c r="D23" s="144" t="s">
        <v>994</v>
      </c>
      <c r="E23" s="125" t="s">
        <v>995</v>
      </c>
      <c r="F23" s="125" t="s">
        <v>1285</v>
      </c>
      <c r="G23" s="144" t="s">
        <v>917</v>
      </c>
      <c r="H23" s="144" t="s">
        <v>36</v>
      </c>
      <c r="I23" s="144">
        <v>109</v>
      </c>
      <c r="J23" s="144">
        <v>5200</v>
      </c>
      <c r="K23" s="144">
        <v>4</v>
      </c>
      <c r="L23" s="144">
        <v>25</v>
      </c>
      <c r="M23" s="144">
        <v>120</v>
      </c>
      <c r="N23" s="145">
        <v>116</v>
      </c>
    </row>
    <row r="24" spans="1:14" ht="15.75">
      <c r="A24" s="144" t="s">
        <v>1429</v>
      </c>
      <c r="B24" s="144">
        <v>1825</v>
      </c>
      <c r="C24" s="144" t="s">
        <v>1745</v>
      </c>
      <c r="D24" s="144" t="s">
        <v>951</v>
      </c>
      <c r="E24" s="125" t="s">
        <v>952</v>
      </c>
      <c r="F24" s="125" t="s">
        <v>1338</v>
      </c>
      <c r="G24" s="144" t="s">
        <v>917</v>
      </c>
      <c r="H24" s="144" t="s">
        <v>42</v>
      </c>
      <c r="I24" s="144">
        <v>110</v>
      </c>
      <c r="J24" s="144" t="s">
        <v>1392</v>
      </c>
      <c r="K24" s="144">
        <v>10</v>
      </c>
      <c r="L24" s="144">
        <v>10</v>
      </c>
      <c r="M24" s="144">
        <v>100</v>
      </c>
      <c r="N24" s="145">
        <v>66</v>
      </c>
    </row>
    <row r="25" spans="1:14" ht="15.75">
      <c r="A25" s="144" t="s">
        <v>1430</v>
      </c>
      <c r="B25" s="144">
        <v>1826</v>
      </c>
      <c r="C25" s="144" t="s">
        <v>1746</v>
      </c>
      <c r="D25" s="144" t="s">
        <v>992</v>
      </c>
      <c r="E25" s="125" t="s">
        <v>993</v>
      </c>
      <c r="F25" s="125" t="s">
        <v>1353</v>
      </c>
      <c r="G25" s="144" t="s">
        <v>917</v>
      </c>
      <c r="H25" s="144" t="s">
        <v>36</v>
      </c>
      <c r="I25" s="144">
        <v>111</v>
      </c>
      <c r="J25" s="144" t="s">
        <v>1392</v>
      </c>
      <c r="K25" s="144">
        <v>4</v>
      </c>
      <c r="L25" s="144">
        <v>25</v>
      </c>
      <c r="M25" s="144">
        <v>100</v>
      </c>
      <c r="N25" s="145">
        <v>137.50</v>
      </c>
    </row>
    <row r="26" spans="1:14" ht="15.75">
      <c r="A26" s="144" t="s">
        <v>1431</v>
      </c>
      <c r="B26" s="144">
        <v>1827</v>
      </c>
      <c r="C26" s="144" t="s">
        <v>1749</v>
      </c>
      <c r="D26" s="144" t="s">
        <v>781</v>
      </c>
      <c r="E26" s="125" t="s">
        <v>782</v>
      </c>
      <c r="F26" s="125" t="s">
        <v>782</v>
      </c>
      <c r="G26" s="144" t="s">
        <v>778</v>
      </c>
      <c r="H26" s="144" t="s">
        <v>783</v>
      </c>
      <c r="I26" s="144">
        <v>112</v>
      </c>
      <c r="J26" s="144" t="s">
        <v>1392</v>
      </c>
      <c r="K26" s="144">
        <v>4</v>
      </c>
      <c r="L26" s="144">
        <v>25</v>
      </c>
      <c r="M26" s="144">
        <f>K26*L26</f>
        <v>100</v>
      </c>
      <c r="N26" s="145">
        <v>97.50</v>
      </c>
    </row>
    <row r="27" spans="1:14" ht="15.75">
      <c r="A27" s="144" t="s">
        <v>1432</v>
      </c>
      <c r="B27" s="144">
        <v>1828</v>
      </c>
      <c r="C27" s="144" t="s">
        <v>1750</v>
      </c>
      <c r="D27" s="144" t="s">
        <v>34</v>
      </c>
      <c r="E27" s="125" t="s">
        <v>35</v>
      </c>
      <c r="F27" s="125" t="s">
        <v>1148</v>
      </c>
      <c r="G27" s="144" t="s">
        <v>31</v>
      </c>
      <c r="H27" s="144" t="s">
        <v>36</v>
      </c>
      <c r="I27" s="144">
        <v>113</v>
      </c>
      <c r="J27" s="144" t="s">
        <v>1393</v>
      </c>
      <c r="K27" s="144">
        <v>3</v>
      </c>
      <c r="L27" s="144">
        <v>25</v>
      </c>
      <c r="M27" s="144">
        <v>75</v>
      </c>
      <c r="N27" s="145">
        <v>103.59</v>
      </c>
    </row>
    <row r="28" spans="1:14" ht="15.75">
      <c r="A28" s="144" t="s">
        <v>1433</v>
      </c>
      <c r="B28" s="144">
        <v>1829</v>
      </c>
      <c r="C28" s="144" t="s">
        <v>1746</v>
      </c>
      <c r="D28" s="144" t="s">
        <v>836</v>
      </c>
      <c r="E28" s="125" t="s">
        <v>837</v>
      </c>
      <c r="F28" s="125" t="s">
        <v>1317</v>
      </c>
      <c r="G28" s="144" t="s">
        <v>778</v>
      </c>
      <c r="H28" s="144" t="s">
        <v>835</v>
      </c>
      <c r="I28" s="144">
        <v>114</v>
      </c>
      <c r="J28" s="144" t="s">
        <v>1392</v>
      </c>
      <c r="K28" s="144">
        <v>25</v>
      </c>
      <c r="L28" s="144">
        <v>3</v>
      </c>
      <c r="M28" s="144">
        <v>75</v>
      </c>
      <c r="N28" s="145">
        <v>74.375</v>
      </c>
    </row>
    <row r="29" spans="1:14" ht="15.75">
      <c r="A29" s="144" t="s">
        <v>1434</v>
      </c>
      <c r="B29" s="144">
        <v>1830</v>
      </c>
      <c r="C29" s="144" t="s">
        <v>1763</v>
      </c>
      <c r="D29" s="144" t="s">
        <v>948</v>
      </c>
      <c r="E29" s="125" t="s">
        <v>949</v>
      </c>
      <c r="F29" s="125" t="s">
        <v>1337</v>
      </c>
      <c r="G29" s="144" t="s">
        <v>917</v>
      </c>
      <c r="H29" s="144" t="s">
        <v>950</v>
      </c>
      <c r="I29" s="144">
        <v>115</v>
      </c>
      <c r="J29" s="144" t="s">
        <v>1392</v>
      </c>
      <c r="K29" s="144">
        <v>10</v>
      </c>
      <c r="L29" s="144">
        <v>6</v>
      </c>
      <c r="M29" s="144">
        <v>60</v>
      </c>
      <c r="N29" s="145">
        <v>52.02</v>
      </c>
    </row>
    <row r="30" spans="1:14" ht="15.75">
      <c r="A30" s="144" t="s">
        <v>1435</v>
      </c>
      <c r="B30" s="144">
        <v>1831</v>
      </c>
      <c r="C30" s="144" t="s">
        <v>1749</v>
      </c>
      <c r="D30" s="144" t="s">
        <v>586</v>
      </c>
      <c r="E30" s="125" t="s">
        <v>587</v>
      </c>
      <c r="F30" s="125" t="s">
        <v>1254</v>
      </c>
      <c r="G30" s="144" t="s">
        <v>588</v>
      </c>
      <c r="H30" s="144" t="s">
        <v>589</v>
      </c>
      <c r="I30" s="144">
        <v>116</v>
      </c>
      <c r="J30" s="144" t="s">
        <v>1398</v>
      </c>
      <c r="K30" s="144">
        <v>2</v>
      </c>
      <c r="L30" s="144">
        <v>25</v>
      </c>
      <c r="M30" s="144">
        <v>50</v>
      </c>
      <c r="N30" s="145">
        <v>445</v>
      </c>
    </row>
    <row r="31" spans="1:14" ht="15.75">
      <c r="A31" s="144" t="s">
        <v>1436</v>
      </c>
      <c r="B31" s="144">
        <v>1832</v>
      </c>
      <c r="C31" s="144" t="s">
        <v>1746</v>
      </c>
      <c r="D31" s="144" t="s">
        <v>962</v>
      </c>
      <c r="E31" s="125" t="s">
        <v>963</v>
      </c>
      <c r="F31" s="125" t="s">
        <v>1349</v>
      </c>
      <c r="G31" s="144" t="s">
        <v>917</v>
      </c>
      <c r="H31" s="144" t="s">
        <v>36</v>
      </c>
      <c r="I31" s="144">
        <v>117</v>
      </c>
      <c r="J31" s="144" t="s">
        <v>1392</v>
      </c>
      <c r="K31" s="144">
        <v>2</v>
      </c>
      <c r="L31" s="144">
        <v>25</v>
      </c>
      <c r="M31" s="144">
        <v>50</v>
      </c>
      <c r="N31" s="145">
        <v>167.50</v>
      </c>
    </row>
    <row r="32" spans="1:14" ht="15.75">
      <c r="A32" s="144" t="s">
        <v>1437</v>
      </c>
      <c r="B32" s="144">
        <v>1833</v>
      </c>
      <c r="C32" s="144" t="s">
        <v>1747</v>
      </c>
      <c r="D32" s="144" t="s">
        <v>809</v>
      </c>
      <c r="E32" s="125" t="s">
        <v>810</v>
      </c>
      <c r="F32" s="125" t="s">
        <v>1312</v>
      </c>
      <c r="G32" s="144" t="s">
        <v>778</v>
      </c>
      <c r="H32" s="144" t="s">
        <v>805</v>
      </c>
      <c r="I32" s="144">
        <v>118</v>
      </c>
      <c r="J32" s="144" t="s">
        <v>1392</v>
      </c>
      <c r="K32" s="144">
        <v>15</v>
      </c>
      <c r="L32" s="144">
        <v>2</v>
      </c>
      <c r="M32" s="144">
        <v>30</v>
      </c>
      <c r="N32" s="145">
        <v>29.75</v>
      </c>
    </row>
    <row r="33" spans="1:14" ht="15.75">
      <c r="A33" s="144" t="s">
        <v>1438</v>
      </c>
      <c r="B33" s="144">
        <v>1834</v>
      </c>
      <c r="C33" s="144" t="s">
        <v>1746</v>
      </c>
      <c r="D33" s="144" t="s">
        <v>833</v>
      </c>
      <c r="E33" s="125" t="s">
        <v>834</v>
      </c>
      <c r="F33" s="125" t="s">
        <v>1286</v>
      </c>
      <c r="G33" s="144" t="s">
        <v>778</v>
      </c>
      <c r="H33" s="144" t="s">
        <v>835</v>
      </c>
      <c r="I33" s="144">
        <v>119</v>
      </c>
      <c r="J33" s="144" t="s">
        <v>1392</v>
      </c>
      <c r="K33" s="144">
        <v>10</v>
      </c>
      <c r="L33" s="144">
        <v>3</v>
      </c>
      <c r="M33" s="144">
        <v>30</v>
      </c>
      <c r="N33" s="145">
        <v>14</v>
      </c>
    </row>
    <row r="34" spans="1:14" ht="15.75">
      <c r="A34" s="144" t="s">
        <v>1439</v>
      </c>
      <c r="B34" s="144">
        <v>1835</v>
      </c>
      <c r="C34" s="144" t="s">
        <v>1747</v>
      </c>
      <c r="D34" s="144" t="s">
        <v>920</v>
      </c>
      <c r="E34" s="125" t="s">
        <v>921</v>
      </c>
      <c r="F34" s="125" t="s">
        <v>1263</v>
      </c>
      <c r="G34" s="144" t="s">
        <v>917</v>
      </c>
      <c r="H34" s="144" t="s">
        <v>783</v>
      </c>
      <c r="I34" s="144">
        <v>120</v>
      </c>
      <c r="J34" s="144" t="s">
        <v>1392</v>
      </c>
      <c r="K34" s="144">
        <v>1</v>
      </c>
      <c r="L34" s="144">
        <v>25</v>
      </c>
      <c r="M34" s="144">
        <v>25</v>
      </c>
      <c r="N34" s="145">
        <v>68</v>
      </c>
    </row>
    <row r="35" spans="1:14" ht="15.75">
      <c r="A35" s="144" t="s">
        <v>1440</v>
      </c>
      <c r="B35" s="144">
        <v>1836</v>
      </c>
      <c r="C35" s="144" t="s">
        <v>1746</v>
      </c>
      <c r="D35" s="144" t="s">
        <v>974</v>
      </c>
      <c r="E35" s="125" t="s">
        <v>975</v>
      </c>
      <c r="F35" s="125" t="s">
        <v>1288</v>
      </c>
      <c r="G35" s="144" t="s">
        <v>917</v>
      </c>
      <c r="H35" s="144" t="s">
        <v>36</v>
      </c>
      <c r="I35" s="144">
        <v>121</v>
      </c>
      <c r="J35" s="144" t="s">
        <v>1392</v>
      </c>
      <c r="K35" s="144">
        <v>1</v>
      </c>
      <c r="L35" s="144">
        <v>25</v>
      </c>
      <c r="M35" s="144">
        <v>25</v>
      </c>
      <c r="N35" s="145">
        <v>206</v>
      </c>
    </row>
    <row r="36" spans="1:14" ht="15.75">
      <c r="A36" s="144" t="s">
        <v>1441</v>
      </c>
      <c r="B36" s="144">
        <v>1837</v>
      </c>
      <c r="C36" s="144" t="s">
        <v>1746</v>
      </c>
      <c r="D36" s="144" t="s">
        <v>978</v>
      </c>
      <c r="E36" s="125" t="s">
        <v>979</v>
      </c>
      <c r="F36" s="125" t="s">
        <v>1350</v>
      </c>
      <c r="G36" s="144" t="s">
        <v>917</v>
      </c>
      <c r="H36" s="144" t="s">
        <v>36</v>
      </c>
      <c r="I36" s="144">
        <v>122</v>
      </c>
      <c r="J36" s="144" t="s">
        <v>1392</v>
      </c>
      <c r="K36" s="144">
        <v>1</v>
      </c>
      <c r="L36" s="144">
        <v>25</v>
      </c>
      <c r="M36" s="144">
        <v>25</v>
      </c>
      <c r="N36" s="145">
        <v>162.50</v>
      </c>
    </row>
    <row r="37" spans="1:14" ht="15.75">
      <c r="A37" s="144" t="s">
        <v>1442</v>
      </c>
      <c r="B37" s="144">
        <v>1838</v>
      </c>
      <c r="C37" s="144" t="s">
        <v>1746</v>
      </c>
      <c r="D37" s="144" t="s">
        <v>644</v>
      </c>
      <c r="E37" s="125" t="s">
        <v>645</v>
      </c>
      <c r="F37" s="125" t="s">
        <v>1265</v>
      </c>
      <c r="G37" s="144" t="s">
        <v>617</v>
      </c>
      <c r="H37" s="144" t="s">
        <v>646</v>
      </c>
      <c r="I37" s="144">
        <v>123</v>
      </c>
      <c r="J37" s="144">
        <v>5200</v>
      </c>
      <c r="K37" s="144">
        <v>5</v>
      </c>
      <c r="L37" s="144">
        <v>4</v>
      </c>
      <c r="M37" s="144">
        <v>20</v>
      </c>
      <c r="N37" s="145">
        <v>41</v>
      </c>
    </row>
    <row r="38" spans="1:19" ht="15.75">
      <c r="A38" s="144" t="s">
        <v>1443</v>
      </c>
      <c r="B38" s="144">
        <v>1839</v>
      </c>
      <c r="C38" s="144" t="s">
        <v>1746</v>
      </c>
      <c r="D38" s="144" t="s">
        <v>829</v>
      </c>
      <c r="E38" s="125" t="s">
        <v>830</v>
      </c>
      <c r="F38" s="125" t="s">
        <v>1316</v>
      </c>
      <c r="G38" s="144" t="s">
        <v>778</v>
      </c>
      <c r="H38" s="144" t="s">
        <v>823</v>
      </c>
      <c r="I38" s="144">
        <v>124</v>
      </c>
      <c r="J38" s="144" t="s">
        <v>1402</v>
      </c>
      <c r="K38" s="144">
        <v>11</v>
      </c>
      <c r="L38" s="144">
        <v>1.80</v>
      </c>
      <c r="M38" s="144">
        <v>19.80</v>
      </c>
      <c r="N38" s="145">
        <v>16.20</v>
      </c>
      <c r="R38" s="153">
        <f>(6*300)/1000</f>
        <v>1.80</v>
      </c>
      <c r="S38" t="s">
        <v>1916</v>
      </c>
    </row>
    <row r="39" spans="1:14" ht="15.75">
      <c r="A39" s="144" t="s">
        <v>1444</v>
      </c>
      <c r="B39" s="144">
        <v>1840</v>
      </c>
      <c r="C39" s="144" t="s">
        <v>1747</v>
      </c>
      <c r="D39" s="144" t="s">
        <v>806</v>
      </c>
      <c r="E39" s="125" t="s">
        <v>807</v>
      </c>
      <c r="F39" s="125" t="s">
        <v>1311</v>
      </c>
      <c r="G39" s="144" t="s">
        <v>778</v>
      </c>
      <c r="H39" s="144" t="s">
        <v>808</v>
      </c>
      <c r="I39" s="144">
        <v>125</v>
      </c>
      <c r="J39" s="144">
        <v>5200</v>
      </c>
      <c r="K39" s="144">
        <v>2</v>
      </c>
      <c r="L39" s="144">
        <v>6</v>
      </c>
      <c r="M39" s="144">
        <v>12</v>
      </c>
      <c r="N39" s="145">
        <v>25.20</v>
      </c>
    </row>
    <row r="40" spans="1:14" ht="15.75">
      <c r="A40" s="144" t="s">
        <v>1445</v>
      </c>
      <c r="B40" s="144">
        <v>1841</v>
      </c>
      <c r="C40" s="144" t="s">
        <v>1747</v>
      </c>
      <c r="D40" s="144" t="s">
        <v>803</v>
      </c>
      <c r="E40" s="125" t="s">
        <v>804</v>
      </c>
      <c r="F40" s="125" t="s">
        <v>1310</v>
      </c>
      <c r="G40" s="144" t="s">
        <v>778</v>
      </c>
      <c r="H40" s="144" t="s">
        <v>805</v>
      </c>
      <c r="I40" s="144">
        <v>126</v>
      </c>
      <c r="J40" s="144" t="s">
        <v>1392</v>
      </c>
      <c r="K40" s="144">
        <v>4</v>
      </c>
      <c r="L40" s="144">
        <v>2</v>
      </c>
      <c r="M40" s="144">
        <v>8</v>
      </c>
      <c r="N40" s="145">
        <v>45</v>
      </c>
    </row>
    <row r="41" spans="1:14" ht="15.75">
      <c r="A41" s="144" t="s">
        <v>1446</v>
      </c>
      <c r="B41" s="144">
        <v>1842</v>
      </c>
      <c r="C41" s="144" t="s">
        <v>1747</v>
      </c>
      <c r="D41" s="144" t="s">
        <v>798</v>
      </c>
      <c r="E41" s="125" t="s">
        <v>799</v>
      </c>
      <c r="F41" s="125" t="s">
        <v>1307</v>
      </c>
      <c r="G41" s="144" t="s">
        <v>778</v>
      </c>
      <c r="H41" s="144" t="s">
        <v>286</v>
      </c>
      <c r="I41" s="144">
        <v>127</v>
      </c>
      <c r="J41" s="144" t="s">
        <v>1402</v>
      </c>
      <c r="K41" s="144">
        <v>6</v>
      </c>
      <c r="L41" s="144">
        <v>1</v>
      </c>
      <c r="M41" s="144">
        <v>6</v>
      </c>
      <c r="N41" s="145">
        <v>7.65</v>
      </c>
    </row>
    <row r="42" spans="1:14" ht="15.75">
      <c r="A42" s="144" t="s">
        <v>1447</v>
      </c>
      <c r="B42" s="144">
        <v>1843</v>
      </c>
      <c r="C42" s="144" t="s">
        <v>1746</v>
      </c>
      <c r="D42" s="144" t="s">
        <v>800</v>
      </c>
      <c r="E42" s="125" t="s">
        <v>801</v>
      </c>
      <c r="F42" s="125" t="s">
        <v>1308</v>
      </c>
      <c r="G42" s="144" t="s">
        <v>778</v>
      </c>
      <c r="H42" s="144" t="s">
        <v>802</v>
      </c>
      <c r="I42" s="144">
        <v>128</v>
      </c>
      <c r="J42" s="144" t="s">
        <v>1392</v>
      </c>
      <c r="K42" s="144">
        <v>3</v>
      </c>
      <c r="L42" s="144">
        <v>2</v>
      </c>
      <c r="M42" s="144">
        <v>6</v>
      </c>
      <c r="N42" s="145">
        <v>11.90</v>
      </c>
    </row>
    <row r="43" spans="1:14" ht="15.75">
      <c r="A43" s="144" t="s">
        <v>1448</v>
      </c>
      <c r="B43" s="144">
        <v>1844</v>
      </c>
      <c r="C43" s="144" t="s">
        <v>1747</v>
      </c>
      <c r="D43" s="144" t="s">
        <v>814</v>
      </c>
      <c r="E43" s="125" t="s">
        <v>815</v>
      </c>
      <c r="F43" s="125" t="s">
        <v>1267</v>
      </c>
      <c r="G43" s="144" t="s">
        <v>778</v>
      </c>
      <c r="H43" s="144" t="s">
        <v>802</v>
      </c>
      <c r="I43" s="144">
        <v>129</v>
      </c>
      <c r="J43" s="144" t="s">
        <v>1392</v>
      </c>
      <c r="K43" s="144">
        <v>2</v>
      </c>
      <c r="L43" s="144">
        <v>2</v>
      </c>
      <c r="M43" s="144">
        <v>4</v>
      </c>
      <c r="N43" s="145">
        <v>17.50</v>
      </c>
    </row>
    <row r="44" spans="1:14" ht="15.75">
      <c r="A44" s="144" t="s">
        <v>1449</v>
      </c>
      <c r="B44" s="144">
        <v>1845</v>
      </c>
      <c r="C44" s="144" t="s">
        <v>1745</v>
      </c>
      <c r="D44" s="144" t="s">
        <v>130</v>
      </c>
      <c r="E44" s="125" t="s">
        <v>131</v>
      </c>
      <c r="F44" s="125" t="s">
        <v>1102</v>
      </c>
      <c r="G44" s="144" t="s">
        <v>116</v>
      </c>
      <c r="H44" s="144" t="s">
        <v>132</v>
      </c>
      <c r="I44" s="144">
        <v>130</v>
      </c>
      <c r="J44" s="144">
        <v>5200</v>
      </c>
      <c r="K44" s="144">
        <v>1</v>
      </c>
      <c r="L44" s="144">
        <v>3.50</v>
      </c>
      <c r="M44" s="144">
        <v>3.50</v>
      </c>
      <c r="N44" s="145">
        <v>51.90</v>
      </c>
    </row>
    <row r="45" spans="1:14" ht="15.75">
      <c r="A45" s="144" t="s">
        <v>1450</v>
      </c>
      <c r="B45" s="144">
        <v>1846</v>
      </c>
      <c r="C45" s="144" t="s">
        <v>1763</v>
      </c>
      <c r="D45" s="144" t="s">
        <v>231</v>
      </c>
      <c r="E45" s="125" t="s">
        <v>232</v>
      </c>
      <c r="F45" s="125" t="s">
        <v>1132</v>
      </c>
      <c r="G45" s="144" t="s">
        <v>233</v>
      </c>
      <c r="H45" s="144" t="s">
        <v>234</v>
      </c>
      <c r="I45" s="144">
        <v>131</v>
      </c>
      <c r="J45" s="144">
        <v>5200</v>
      </c>
      <c r="K45" s="144">
        <v>12</v>
      </c>
      <c r="L45" s="144">
        <v>0.25</v>
      </c>
      <c r="M45" s="144">
        <v>3</v>
      </c>
      <c r="N45" s="145">
        <v>2.2</v>
      </c>
    </row>
    <row r="46" spans="1:14" ht="15.75">
      <c r="A46" s="144" t="s">
        <v>1451</v>
      </c>
      <c r="B46" s="144">
        <v>1847</v>
      </c>
      <c r="C46" s="144" t="s">
        <v>1747</v>
      </c>
      <c r="D46" s="144" t="s">
        <v>636</v>
      </c>
      <c r="E46" s="125" t="s">
        <v>637</v>
      </c>
      <c r="F46" s="125" t="s">
        <v>1266</v>
      </c>
      <c r="G46" s="144" t="s">
        <v>617</v>
      </c>
      <c r="H46" s="144" t="s">
        <v>635</v>
      </c>
      <c r="I46" s="144">
        <v>132</v>
      </c>
      <c r="J46" s="144" t="s">
        <v>1392</v>
      </c>
      <c r="K46" s="144">
        <v>1</v>
      </c>
      <c r="L46" s="144">
        <v>2</v>
      </c>
      <c r="M46" s="144">
        <v>2</v>
      </c>
      <c r="N46" s="145">
        <v>17.99</v>
      </c>
    </row>
    <row r="47" spans="1:14" ht="15.75">
      <c r="A47" s="144" t="s">
        <v>1452</v>
      </c>
      <c r="B47" s="144">
        <v>1848</v>
      </c>
      <c r="C47" s="144" t="s">
        <v>1746</v>
      </c>
      <c r="D47" s="144" t="s">
        <v>818</v>
      </c>
      <c r="E47" s="125" t="s">
        <v>819</v>
      </c>
      <c r="F47" s="125" t="s">
        <v>1309</v>
      </c>
      <c r="G47" s="144" t="s">
        <v>778</v>
      </c>
      <c r="H47" s="144" t="s">
        <v>820</v>
      </c>
      <c r="I47" s="144">
        <v>134</v>
      </c>
      <c r="J47" s="144" t="s">
        <v>1392</v>
      </c>
      <c r="K47" s="144">
        <v>1</v>
      </c>
      <c r="L47" s="144">
        <v>0.10</v>
      </c>
      <c r="M47" s="144">
        <v>0.10</v>
      </c>
      <c r="N47" s="145">
        <v>13.60</v>
      </c>
    </row>
    <row r="48" spans="1:14" ht="15.75">
      <c r="A48" s="144" t="s">
        <v>1453</v>
      </c>
      <c r="B48" s="144">
        <v>1849</v>
      </c>
      <c r="C48" s="144" t="s">
        <v>1746</v>
      </c>
      <c r="D48" s="144" t="s">
        <v>638</v>
      </c>
      <c r="E48" s="125" t="s">
        <v>639</v>
      </c>
      <c r="F48" s="125" t="s">
        <v>1264</v>
      </c>
      <c r="G48" s="144" t="s">
        <v>617</v>
      </c>
      <c r="H48" s="144" t="s">
        <v>283</v>
      </c>
      <c r="I48" s="144">
        <v>133</v>
      </c>
      <c r="J48" s="144">
        <v>5200</v>
      </c>
      <c r="K48" s="144">
        <v>0</v>
      </c>
      <c r="L48" s="144">
        <v>20</v>
      </c>
      <c r="M48" s="144">
        <v>0</v>
      </c>
      <c r="N48" s="145">
        <v>299</v>
      </c>
    </row>
    <row r="49" spans="1:14" ht="15.75">
      <c r="A49" s="144" t="s">
        <v>1454</v>
      </c>
      <c r="B49" s="144">
        <v>1850</v>
      </c>
      <c r="C49" s="144" t="s">
        <v>1763</v>
      </c>
      <c r="D49" s="144" t="s">
        <v>821</v>
      </c>
      <c r="E49" s="125" t="s">
        <v>822</v>
      </c>
      <c r="F49" s="125" t="s">
        <v>1315</v>
      </c>
      <c r="G49" s="144" t="s">
        <v>778</v>
      </c>
      <c r="H49" s="144" t="s">
        <v>823</v>
      </c>
      <c r="I49" s="144">
        <v>135</v>
      </c>
      <c r="J49" s="144" t="s">
        <v>1402</v>
      </c>
      <c r="K49" s="144">
        <v>0</v>
      </c>
      <c r="L49" s="144">
        <v>1.80</v>
      </c>
      <c r="M49" s="144">
        <v>0</v>
      </c>
      <c r="N49" s="145">
        <v>13.32</v>
      </c>
    </row>
    <row r="50" spans="1:14" ht="15.75">
      <c r="A50" s="144" t="s">
        <v>1455</v>
      </c>
      <c r="B50" s="144">
        <v>1851</v>
      </c>
      <c r="C50" s="144" t="s">
        <v>1746</v>
      </c>
      <c r="D50" s="144" t="s">
        <v>844</v>
      </c>
      <c r="E50" s="125" t="s">
        <v>845</v>
      </c>
      <c r="F50" s="125" t="s">
        <v>1319</v>
      </c>
      <c r="G50" s="144" t="s">
        <v>778</v>
      </c>
      <c r="H50" s="144" t="s">
        <v>835</v>
      </c>
      <c r="I50" s="144">
        <v>136</v>
      </c>
      <c r="J50" s="144">
        <v>5200</v>
      </c>
      <c r="K50" s="144">
        <v>0</v>
      </c>
      <c r="L50" s="144">
        <v>3</v>
      </c>
      <c r="M50" s="144">
        <v>0</v>
      </c>
      <c r="N50" s="145">
        <v>12</v>
      </c>
    </row>
    <row r="51" spans="1:14" ht="15.75">
      <c r="A51" s="144" t="s">
        <v>1456</v>
      </c>
      <c r="B51" s="144">
        <v>1852</v>
      </c>
      <c r="C51" s="144" t="s">
        <v>1745</v>
      </c>
      <c r="D51" s="144" t="s">
        <v>933</v>
      </c>
      <c r="E51" s="125" t="s">
        <v>934</v>
      </c>
      <c r="F51" s="125" t="s">
        <v>1333</v>
      </c>
      <c r="G51" s="144" t="s">
        <v>917</v>
      </c>
      <c r="H51" s="144" t="s">
        <v>21</v>
      </c>
      <c r="I51" s="144">
        <v>137</v>
      </c>
      <c r="J51" s="144" t="s">
        <v>1398</v>
      </c>
      <c r="K51" s="144">
        <v>0</v>
      </c>
      <c r="L51" s="144">
        <v>25</v>
      </c>
      <c r="M51" s="144">
        <v>0</v>
      </c>
      <c r="N51" s="145">
        <v>490</v>
      </c>
    </row>
    <row r="52" spans="1:14" ht="15.75">
      <c r="A52" s="144" t="s">
        <v>1457</v>
      </c>
      <c r="B52" s="144">
        <v>1853</v>
      </c>
      <c r="C52" s="144" t="s">
        <v>1747</v>
      </c>
      <c r="D52" s="144" t="s">
        <v>935</v>
      </c>
      <c r="E52" s="125" t="s">
        <v>936</v>
      </c>
      <c r="F52" s="125" t="s">
        <v>1334</v>
      </c>
      <c r="G52" s="144" t="s">
        <v>917</v>
      </c>
      <c r="H52" s="144" t="s">
        <v>36</v>
      </c>
      <c r="I52" s="144">
        <v>138</v>
      </c>
      <c r="J52" s="144" t="s">
        <v>1392</v>
      </c>
      <c r="K52" s="144">
        <v>0</v>
      </c>
      <c r="L52" s="144">
        <v>25</v>
      </c>
      <c r="M52" s="144">
        <v>0</v>
      </c>
      <c r="N52" s="145">
        <v>91.25</v>
      </c>
    </row>
    <row r="53" spans="1:14" ht="15.75">
      <c r="A53" s="144" t="s">
        <v>1458</v>
      </c>
      <c r="B53" s="144">
        <v>1854</v>
      </c>
      <c r="C53" s="144" t="s">
        <v>1746</v>
      </c>
      <c r="D53" s="144" t="s">
        <v>940</v>
      </c>
      <c r="E53" s="125" t="s">
        <v>941</v>
      </c>
      <c r="F53" s="125" t="s">
        <v>1214</v>
      </c>
      <c r="G53" s="144" t="s">
        <v>917</v>
      </c>
      <c r="H53" s="144" t="s">
        <v>942</v>
      </c>
      <c r="I53" s="144">
        <v>139</v>
      </c>
      <c r="J53" s="144" t="s">
        <v>1392</v>
      </c>
      <c r="K53" s="144">
        <v>0</v>
      </c>
      <c r="L53" s="144">
        <v>20</v>
      </c>
      <c r="M53" s="144">
        <v>0</v>
      </c>
      <c r="N53" s="145">
        <v>118</v>
      </c>
    </row>
    <row r="54" spans="1:14" ht="15.75">
      <c r="A54" s="144" t="s">
        <v>1459</v>
      </c>
      <c r="B54" s="144">
        <v>1855</v>
      </c>
      <c r="C54" s="144" t="s">
        <v>1746</v>
      </c>
      <c r="D54" s="144" t="s">
        <v>943</v>
      </c>
      <c r="E54" s="125" t="s">
        <v>944</v>
      </c>
      <c r="F54" s="125" t="s">
        <v>1215</v>
      </c>
      <c r="G54" s="144" t="s">
        <v>917</v>
      </c>
      <c r="H54" s="144" t="s">
        <v>42</v>
      </c>
      <c r="I54" s="144">
        <v>140</v>
      </c>
      <c r="J54" s="144" t="s">
        <v>1392</v>
      </c>
      <c r="K54" s="144">
        <v>0</v>
      </c>
      <c r="L54" s="144">
        <v>10</v>
      </c>
      <c r="M54" s="144">
        <v>0</v>
      </c>
      <c r="N54" s="145">
        <v>280.50</v>
      </c>
    </row>
    <row r="55" spans="1:14" ht="15.75">
      <c r="A55" s="144" t="s">
        <v>1460</v>
      </c>
      <c r="B55" s="144">
        <v>1856</v>
      </c>
      <c r="C55" s="144" t="s">
        <v>1746</v>
      </c>
      <c r="D55" s="144" t="s">
        <v>945</v>
      </c>
      <c r="E55" s="125" t="s">
        <v>946</v>
      </c>
      <c r="F55" s="125" t="s">
        <v>1336</v>
      </c>
      <c r="G55" s="144" t="s">
        <v>917</v>
      </c>
      <c r="H55" s="144" t="s">
        <v>947</v>
      </c>
      <c r="I55" s="144">
        <v>141</v>
      </c>
      <c r="J55" s="144" t="s">
        <v>1392</v>
      </c>
      <c r="K55" s="144">
        <v>0</v>
      </c>
      <c r="L55" s="144">
        <v>12.50</v>
      </c>
      <c r="M55" s="144">
        <v>0</v>
      </c>
      <c r="N55" s="145">
        <v>74</v>
      </c>
    </row>
    <row r="56" spans="1:14" ht="15.75">
      <c r="A56" s="144" t="s">
        <v>1461</v>
      </c>
      <c r="B56" s="144">
        <v>1857</v>
      </c>
      <c r="C56" s="144" t="s">
        <v>1746</v>
      </c>
      <c r="D56" s="144" t="s">
        <v>964</v>
      </c>
      <c r="E56" s="125" t="s">
        <v>965</v>
      </c>
      <c r="F56" s="125" t="s">
        <v>1341</v>
      </c>
      <c r="G56" s="144" t="s">
        <v>917</v>
      </c>
      <c r="H56" s="144" t="s">
        <v>201</v>
      </c>
      <c r="I56" s="144">
        <v>142</v>
      </c>
      <c r="J56" s="144" t="s">
        <v>1392</v>
      </c>
      <c r="K56" s="144">
        <v>0</v>
      </c>
      <c r="L56" s="144">
        <v>5</v>
      </c>
      <c r="M56" s="144">
        <v>0</v>
      </c>
      <c r="N56" s="145">
        <v>73</v>
      </c>
    </row>
    <row r="57" spans="1:14" ht="15.75">
      <c r="A57" s="144" t="s">
        <v>1462</v>
      </c>
      <c r="B57" s="144">
        <v>1858</v>
      </c>
      <c r="C57" s="144" t="s">
        <v>1746</v>
      </c>
      <c r="D57" s="144" t="s">
        <v>970</v>
      </c>
      <c r="E57" s="125" t="s">
        <v>971</v>
      </c>
      <c r="F57" s="125" t="s">
        <v>1344</v>
      </c>
      <c r="G57" s="144" t="s">
        <v>917</v>
      </c>
      <c r="H57" s="144" t="s">
        <v>42</v>
      </c>
      <c r="I57" s="144">
        <v>143</v>
      </c>
      <c r="J57" s="144">
        <v>5200</v>
      </c>
      <c r="K57" s="144">
        <v>0</v>
      </c>
      <c r="L57" s="144">
        <v>10</v>
      </c>
      <c r="M57" s="144">
        <v>0</v>
      </c>
      <c r="N57" s="145">
        <v>230</v>
      </c>
    </row>
    <row r="58" spans="1:14" ht="15.75">
      <c r="A58" s="144" t="s">
        <v>1463</v>
      </c>
      <c r="B58" s="144">
        <v>1859</v>
      </c>
      <c r="C58" s="144" t="s">
        <v>1745</v>
      </c>
      <c r="D58" s="144" t="s">
        <v>972</v>
      </c>
      <c r="E58" s="125" t="s">
        <v>973</v>
      </c>
      <c r="F58" s="125" t="s">
        <v>1287</v>
      </c>
      <c r="G58" s="144" t="s">
        <v>917</v>
      </c>
      <c r="H58" s="144" t="s">
        <v>36</v>
      </c>
      <c r="I58" s="144">
        <v>144</v>
      </c>
      <c r="J58" s="144" t="s">
        <v>1392</v>
      </c>
      <c r="K58" s="144">
        <v>0</v>
      </c>
      <c r="L58" s="144">
        <v>25</v>
      </c>
      <c r="M58" s="144">
        <v>0</v>
      </c>
      <c r="N58" s="145">
        <v>300</v>
      </c>
    </row>
    <row r="59" spans="1:14" ht="15.75">
      <c r="A59" s="144" t="s">
        <v>1464</v>
      </c>
      <c r="B59" s="144">
        <v>1860</v>
      </c>
      <c r="C59" s="144" t="s">
        <v>1745</v>
      </c>
      <c r="D59" s="144" t="s">
        <v>982</v>
      </c>
      <c r="E59" s="125" t="s">
        <v>983</v>
      </c>
      <c r="F59" s="125" t="s">
        <v>1345</v>
      </c>
      <c r="G59" s="144" t="s">
        <v>917</v>
      </c>
      <c r="H59" s="144" t="s">
        <v>42</v>
      </c>
      <c r="I59" s="144">
        <v>145</v>
      </c>
      <c r="J59" s="144">
        <v>5200</v>
      </c>
      <c r="K59" s="144">
        <v>0</v>
      </c>
      <c r="L59" s="144">
        <v>10</v>
      </c>
      <c r="M59" s="144">
        <f>K59*L59</f>
        <v>0</v>
      </c>
      <c r="N59" s="145">
        <v>62</v>
      </c>
    </row>
    <row r="60" spans="1:14" ht="15.75">
      <c r="A60" s="144" t="s">
        <v>1465</v>
      </c>
      <c r="B60" s="144">
        <v>1861</v>
      </c>
      <c r="C60" s="144" t="s">
        <v>1749</v>
      </c>
      <c r="D60" s="144" t="s">
        <v>37</v>
      </c>
      <c r="E60" s="125" t="s">
        <v>38</v>
      </c>
      <c r="F60" s="125" t="s">
        <v>1149</v>
      </c>
      <c r="G60" s="144" t="s">
        <v>31</v>
      </c>
      <c r="H60" s="144" t="s">
        <v>36</v>
      </c>
      <c r="I60" s="144">
        <v>146</v>
      </c>
      <c r="J60" s="144">
        <v>5200</v>
      </c>
      <c r="K60" s="144">
        <v>0</v>
      </c>
      <c r="L60" s="144"/>
      <c r="M60" s="144">
        <f>K60*L60</f>
        <v>0</v>
      </c>
      <c r="N60" s="145">
        <v>14</v>
      </c>
    </row>
    <row r="61" spans="1:14" ht="15.75">
      <c r="A61" s="144" t="s">
        <v>1466</v>
      </c>
      <c r="B61" s="144">
        <v>1862</v>
      </c>
      <c r="C61" s="144" t="s">
        <v>1749</v>
      </c>
      <c r="D61" s="144" t="s">
        <v>898</v>
      </c>
      <c r="E61" s="125" t="s">
        <v>899</v>
      </c>
      <c r="F61" s="125" t="s">
        <v>1323</v>
      </c>
      <c r="G61" s="144" t="s">
        <v>897</v>
      </c>
      <c r="H61" s="144" t="s">
        <v>36</v>
      </c>
      <c r="I61" s="144">
        <v>147</v>
      </c>
      <c r="J61" s="144">
        <v>5653</v>
      </c>
      <c r="K61" s="144">
        <v>0</v>
      </c>
      <c r="L61" s="144">
        <v>25</v>
      </c>
      <c r="M61" s="144">
        <f>K61*L61</f>
        <v>0</v>
      </c>
      <c r="N61" s="145">
        <v>431.09</v>
      </c>
    </row>
    <row r="62" spans="1:14" ht="15.75">
      <c r="A62" s="144" t="s">
        <v>1467</v>
      </c>
      <c r="B62" s="144">
        <v>1863</v>
      </c>
      <c r="C62" s="144" t="s">
        <v>1749</v>
      </c>
      <c r="D62" s="144" t="s">
        <v>900</v>
      </c>
      <c r="E62" s="125" t="s">
        <v>901</v>
      </c>
      <c r="F62" s="125" t="s">
        <v>1324</v>
      </c>
      <c r="G62" s="144" t="s">
        <v>897</v>
      </c>
      <c r="H62" s="144" t="s">
        <v>28</v>
      </c>
      <c r="I62" s="144">
        <v>148</v>
      </c>
      <c r="J62" s="144">
        <v>5653</v>
      </c>
      <c r="K62" s="144">
        <v>0</v>
      </c>
      <c r="L62" s="144">
        <v>25</v>
      </c>
      <c r="M62" s="144">
        <f>K62*L62</f>
        <v>0</v>
      </c>
      <c r="N62" s="145">
        <v>310</v>
      </c>
    </row>
    <row r="63" spans="1:14" ht="15.75">
      <c r="A63" s="144" t="s">
        <v>1920</v>
      </c>
      <c r="B63" s="144">
        <v>2323</v>
      </c>
      <c r="C63" s="144" t="s">
        <v>1746</v>
      </c>
      <c r="D63" s="144" t="s">
        <v>1921</v>
      </c>
      <c r="E63" s="125" t="s">
        <v>1922</v>
      </c>
      <c r="F63" s="125" t="s">
        <v>1923</v>
      </c>
      <c r="G63" s="144" t="s">
        <v>917</v>
      </c>
      <c r="H63" s="144" t="s">
        <v>36</v>
      </c>
      <c r="I63" s="144"/>
      <c r="J63" s="144">
        <v>4000</v>
      </c>
      <c r="K63" s="144"/>
      <c r="L63" s="144"/>
      <c r="M63" s="144"/>
      <c r="N63" s="145">
        <v>95.75</v>
      </c>
    </row>
    <row r="64" spans="1:14" ht="15.75">
      <c r="A64" s="144" t="s">
        <v>1940</v>
      </c>
      <c r="B64" s="144">
        <v>2328</v>
      </c>
      <c r="C64" s="144" t="s">
        <v>1763</v>
      </c>
      <c r="D64" s="144" t="s">
        <v>1941</v>
      </c>
      <c r="E64" s="125" t="s">
        <v>1942</v>
      </c>
      <c r="F64" s="125" t="s">
        <v>1943</v>
      </c>
      <c r="G64" s="144" t="s">
        <v>917</v>
      </c>
      <c r="H64" s="144" t="s">
        <v>1944</v>
      </c>
      <c r="I64" s="144"/>
      <c r="J64" s="144">
        <v>5200</v>
      </c>
      <c r="K64" s="144"/>
      <c r="L64" s="144"/>
      <c r="M64" s="144"/>
      <c r="N64" s="145">
        <v>49</v>
      </c>
    </row>
    <row r="65" spans="1:14" ht="15.75">
      <c r="A65" s="144" t="s">
        <v>1999</v>
      </c>
      <c r="B65" s="144">
        <v>2540</v>
      </c>
      <c r="C65" s="144" t="s">
        <v>1746</v>
      </c>
      <c r="D65" s="144"/>
      <c r="E65" s="125" t="s">
        <v>2001</v>
      </c>
      <c r="F65" s="125" t="s">
        <v>2000</v>
      </c>
      <c r="G65" s="144" t="s">
        <v>917</v>
      </c>
      <c r="H65" s="144" t="s">
        <v>1944</v>
      </c>
      <c r="I65" s="144"/>
      <c r="J65" s="144">
        <v>5200</v>
      </c>
      <c r="K65" s="144"/>
      <c r="L65" s="144"/>
      <c r="M65" s="144"/>
      <c r="N65" s="145">
        <v>99.50</v>
      </c>
    </row>
  </sheetData>
  <autoFilter ref="A1:M62"/>
  <sortState ref="D2:M62">
    <sortCondition descending="1" sortBy="value" ref="M2:M62"/>
  </sortState>
  <conditionalFormatting sqref="F2:F54">
    <cfRule type="duplicateValues" priority="46" dxfId="10"/>
  </conditionalFormatting>
  <conditionalFormatting sqref="F2:F65">
    <cfRule type="duplicateValues" priority="48" dxfId="10"/>
  </conditionalFormatting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67CD22-CE9B-4E36-AB15-48D61C9F09B9}">
  <dimension ref="A1:Q49"/>
  <sheetViews>
    <sheetView workbookViewId="0" topLeftCell="A40">
      <selection pane="topLeft" activeCell="E59" sqref="E59"/>
    </sheetView>
  </sheetViews>
  <sheetFormatPr defaultRowHeight="15.75"/>
  <cols>
    <col min="2" max="2" width="16.5714285714286" customWidth="1"/>
    <col min="3" max="3" width="24.2857142857143" customWidth="1"/>
    <col min="4" max="4" width="17.8571428571429" customWidth="1"/>
    <col min="5" max="5" width="55.4285714285714" style="130" customWidth="1"/>
    <col min="6" max="6" width="43" style="130" customWidth="1"/>
    <col min="7" max="7" width="40.8571428571429" style="182" customWidth="1"/>
    <col min="8" max="8" width="18.7142857142857" style="130" customWidth="1"/>
    <col min="10" max="10" width="11" style="179" bestFit="1" customWidth="1"/>
    <col min="12" max="14" width="0" hidden="1" customWidth="1"/>
  </cols>
  <sheetData>
    <row r="1" spans="1:14" s="121" customFormat="1" ht="15.75">
      <c r="A1" s="121" t="s">
        <v>1785</v>
      </c>
      <c r="B1" s="121" t="s">
        <v>1729</v>
      </c>
      <c r="C1" s="121" t="s">
        <v>1730</v>
      </c>
      <c r="D1" s="121" t="s">
        <v>0</v>
      </c>
      <c r="E1" s="122" t="s">
        <v>1</v>
      </c>
      <c r="F1" s="122" t="s">
        <v>1060</v>
      </c>
      <c r="G1" s="180" t="s">
        <v>2</v>
      </c>
      <c r="H1" s="122" t="s">
        <v>3</v>
      </c>
      <c r="I1" s="121" t="s">
        <v>1917</v>
      </c>
      <c r="J1" s="177" t="s">
        <v>1913</v>
      </c>
      <c r="K1" s="121" t="s">
        <v>1026</v>
      </c>
      <c r="L1" s="121" t="s">
        <v>1405</v>
      </c>
      <c r="M1" s="121" t="s">
        <v>1389</v>
      </c>
      <c r="N1" s="121" t="s">
        <v>1406</v>
      </c>
    </row>
    <row r="2" spans="1:14" ht="15.75">
      <c r="A2" s="144">
        <v>1953</v>
      </c>
      <c r="B2" s="144" t="s">
        <v>1473</v>
      </c>
      <c r="C2" s="144" t="s">
        <v>1773</v>
      </c>
      <c r="D2" s="144" t="s">
        <v>552</v>
      </c>
      <c r="E2" s="125" t="s">
        <v>553</v>
      </c>
      <c r="F2" s="125" t="s">
        <v>1243</v>
      </c>
      <c r="G2" s="156" t="s">
        <v>542</v>
      </c>
      <c r="H2" s="125" t="s">
        <v>554</v>
      </c>
      <c r="I2" s="144">
        <v>242</v>
      </c>
      <c r="J2" s="157">
        <v>17.20</v>
      </c>
      <c r="K2" s="144" t="s">
        <v>1401</v>
      </c>
      <c r="L2">
        <v>1560</v>
      </c>
      <c r="M2">
        <v>20</v>
      </c>
      <c r="N2">
        <f t="shared" si="0" ref="N2:N19">L2*M2</f>
        <v>31200</v>
      </c>
    </row>
    <row r="3" spans="1:14" ht="15.75">
      <c r="A3" s="144">
        <v>1954</v>
      </c>
      <c r="B3" s="144" t="s">
        <v>1474</v>
      </c>
      <c r="C3" s="144" t="s">
        <v>1773</v>
      </c>
      <c r="D3" s="144" t="s">
        <v>523</v>
      </c>
      <c r="E3" s="125" t="s">
        <v>524</v>
      </c>
      <c r="F3" s="125" t="s">
        <v>1231</v>
      </c>
      <c r="G3" s="156" t="s">
        <v>525</v>
      </c>
      <c r="H3" s="125" t="s">
        <v>283</v>
      </c>
      <c r="I3" s="144">
        <v>243</v>
      </c>
      <c r="J3" s="157">
        <v>21.20</v>
      </c>
      <c r="K3" s="144" t="s">
        <v>1397</v>
      </c>
      <c r="L3">
        <v>720</v>
      </c>
      <c r="M3">
        <v>20</v>
      </c>
      <c r="N3">
        <f t="shared" si="0"/>
        <v>14400</v>
      </c>
    </row>
    <row r="4" spans="1:14" ht="15.75">
      <c r="A4" s="144">
        <v>1955</v>
      </c>
      <c r="B4" s="144" t="s">
        <v>1475</v>
      </c>
      <c r="C4" s="144" t="s">
        <v>1773</v>
      </c>
      <c r="D4" s="144" t="s">
        <v>558</v>
      </c>
      <c r="E4" s="125" t="s">
        <v>559</v>
      </c>
      <c r="F4" s="125" t="s">
        <v>1233</v>
      </c>
      <c r="G4" s="156" t="s">
        <v>542</v>
      </c>
      <c r="H4" s="125" t="s">
        <v>560</v>
      </c>
      <c r="I4" s="144">
        <v>244</v>
      </c>
      <c r="J4" s="157">
        <v>30.50</v>
      </c>
      <c r="K4" s="144" t="s">
        <v>1401</v>
      </c>
      <c r="L4">
        <v>608.90</v>
      </c>
      <c r="M4">
        <v>20</v>
      </c>
      <c r="N4">
        <f t="shared" si="0"/>
        <v>12178</v>
      </c>
    </row>
    <row r="5" spans="1:14" ht="15.75">
      <c r="A5" s="144">
        <v>1956</v>
      </c>
      <c r="B5" s="144" t="s">
        <v>1476</v>
      </c>
      <c r="C5" s="144" t="s">
        <v>1743</v>
      </c>
      <c r="D5" s="144" t="s">
        <v>489</v>
      </c>
      <c r="E5" s="125" t="s">
        <v>490</v>
      </c>
      <c r="F5" s="125" t="s">
        <v>1028</v>
      </c>
      <c r="G5" s="156" t="s">
        <v>491</v>
      </c>
      <c r="H5" s="125" t="s">
        <v>492</v>
      </c>
      <c r="I5" s="144">
        <v>245</v>
      </c>
      <c r="J5" s="157">
        <v>28.50</v>
      </c>
      <c r="K5" s="144" t="s">
        <v>1472</v>
      </c>
      <c r="L5">
        <v>2020</v>
      </c>
      <c r="M5">
        <v>6</v>
      </c>
      <c r="N5">
        <f t="shared" si="0"/>
        <v>12120</v>
      </c>
    </row>
    <row r="6" spans="1:14" ht="15.75">
      <c r="A6" s="144">
        <v>1957</v>
      </c>
      <c r="B6" s="144" t="s">
        <v>1477</v>
      </c>
      <c r="C6" s="144" t="s">
        <v>1744</v>
      </c>
      <c r="D6" s="144" t="s">
        <v>1012</v>
      </c>
      <c r="E6" s="125" t="s">
        <v>1013</v>
      </c>
      <c r="F6" s="125" t="s">
        <v>1289</v>
      </c>
      <c r="G6" s="156" t="s">
        <v>1014</v>
      </c>
      <c r="H6" s="125" t="s">
        <v>36</v>
      </c>
      <c r="I6" s="144">
        <v>246</v>
      </c>
      <c r="J6" s="157">
        <v>81.88</v>
      </c>
      <c r="K6" s="144" t="s">
        <v>1404</v>
      </c>
      <c r="L6">
        <v>160</v>
      </c>
      <c r="M6">
        <v>25</v>
      </c>
      <c r="N6">
        <f t="shared" si="0"/>
        <v>4000</v>
      </c>
    </row>
    <row r="7" spans="1:14" ht="15.75">
      <c r="A7" s="144">
        <v>1958</v>
      </c>
      <c r="B7" s="144" t="s">
        <v>1478</v>
      </c>
      <c r="C7" s="144" t="s">
        <v>1743</v>
      </c>
      <c r="D7" s="144" t="s">
        <v>202</v>
      </c>
      <c r="E7" s="125" t="s">
        <v>203</v>
      </c>
      <c r="F7" s="125" t="s">
        <v>1124</v>
      </c>
      <c r="G7" s="156" t="s">
        <v>204</v>
      </c>
      <c r="H7" s="125" t="s">
        <v>205</v>
      </c>
      <c r="I7" s="144">
        <v>247</v>
      </c>
      <c r="J7" s="157">
        <v>6.39</v>
      </c>
      <c r="K7" s="144" t="s">
        <v>1470</v>
      </c>
      <c r="L7">
        <v>1683</v>
      </c>
      <c r="M7">
        <v>2</v>
      </c>
      <c r="N7">
        <f t="shared" si="0"/>
        <v>3366</v>
      </c>
    </row>
    <row r="8" spans="1:14" ht="15.75">
      <c r="A8" s="144">
        <v>1959</v>
      </c>
      <c r="B8" s="144" t="s">
        <v>1479</v>
      </c>
      <c r="C8" s="144" t="s">
        <v>1773</v>
      </c>
      <c r="D8" s="144" t="s">
        <v>219</v>
      </c>
      <c r="E8" s="125" t="s">
        <v>220</v>
      </c>
      <c r="F8" s="125" t="s">
        <v>220</v>
      </c>
      <c r="G8" s="156" t="s">
        <v>221</v>
      </c>
      <c r="H8" s="125" t="s">
        <v>222</v>
      </c>
      <c r="I8" s="144">
        <v>248</v>
      </c>
      <c r="J8" s="157">
        <v>20.60</v>
      </c>
      <c r="K8" s="144" t="s">
        <v>1403</v>
      </c>
      <c r="L8">
        <v>1380</v>
      </c>
      <c r="M8">
        <v>1.20</v>
      </c>
      <c r="N8">
        <f t="shared" si="0"/>
        <v>1656</v>
      </c>
    </row>
    <row r="9" spans="1:14" ht="15.75">
      <c r="A9" s="144">
        <v>1960</v>
      </c>
      <c r="B9" s="144" t="s">
        <v>1480</v>
      </c>
      <c r="C9" s="144" t="s">
        <v>1743</v>
      </c>
      <c r="D9" s="144" t="s">
        <v>619</v>
      </c>
      <c r="E9" s="125" t="s">
        <v>620</v>
      </c>
      <c r="F9" s="125" t="s">
        <v>1261</v>
      </c>
      <c r="G9" s="156" t="s">
        <v>617</v>
      </c>
      <c r="H9" s="125" t="s">
        <v>621</v>
      </c>
      <c r="I9" s="144">
        <v>249</v>
      </c>
      <c r="J9" s="157">
        <v>21.79</v>
      </c>
      <c r="K9" s="144">
        <v>5600</v>
      </c>
      <c r="L9">
        <v>160</v>
      </c>
      <c r="M9">
        <v>10</v>
      </c>
      <c r="N9">
        <f t="shared" si="0"/>
        <v>1600</v>
      </c>
    </row>
    <row r="10" spans="1:17" s="136" customFormat="1" ht="15.75">
      <c r="A10" s="144">
        <v>1961</v>
      </c>
      <c r="B10" s="144" t="s">
        <v>1481</v>
      </c>
      <c r="C10" s="144" t="s">
        <v>1743</v>
      </c>
      <c r="D10" s="144" t="s">
        <v>658</v>
      </c>
      <c r="E10" s="125" t="s">
        <v>659</v>
      </c>
      <c r="F10" s="125" t="s">
        <v>1269</v>
      </c>
      <c r="G10" s="156" t="s">
        <v>660</v>
      </c>
      <c r="H10" s="125" t="s">
        <v>661</v>
      </c>
      <c r="I10" s="144">
        <v>250</v>
      </c>
      <c r="J10" s="157">
        <v>14</v>
      </c>
      <c r="K10" s="144">
        <v>5630</v>
      </c>
      <c r="L10" s="136">
        <v>130</v>
      </c>
      <c r="M10" s="136">
        <v>10</v>
      </c>
      <c r="N10" s="136">
        <f t="shared" si="0"/>
        <v>1300</v>
      </c>
      <c r="O10"/>
      <c r="P10"/>
      <c r="Q10"/>
    </row>
    <row r="11" spans="1:14" ht="15.75">
      <c r="A11" s="144">
        <v>1962</v>
      </c>
      <c r="B11" s="144" t="s">
        <v>1482</v>
      </c>
      <c r="C11" s="144" t="s">
        <v>1773</v>
      </c>
      <c r="D11" s="144" t="s">
        <v>496</v>
      </c>
      <c r="E11" s="125" t="s">
        <v>497</v>
      </c>
      <c r="F11" s="125" t="s">
        <v>497</v>
      </c>
      <c r="G11" s="156" t="s">
        <v>494</v>
      </c>
      <c r="H11" s="125" t="s">
        <v>1919</v>
      </c>
      <c r="I11" s="144">
        <v>251</v>
      </c>
      <c r="J11" s="157">
        <v>22.20</v>
      </c>
      <c r="K11" s="144" t="s">
        <v>1396</v>
      </c>
      <c r="L11">
        <v>159</v>
      </c>
      <c r="M11">
        <v>8</v>
      </c>
      <c r="N11">
        <f t="shared" si="0"/>
        <v>1272</v>
      </c>
    </row>
    <row r="12" spans="1:14" ht="15.75">
      <c r="A12" s="144">
        <v>1963</v>
      </c>
      <c r="B12" s="144" t="s">
        <v>1483</v>
      </c>
      <c r="C12" s="144" t="s">
        <v>1773</v>
      </c>
      <c r="D12" s="144" t="s">
        <v>703</v>
      </c>
      <c r="E12" s="125" t="s">
        <v>704</v>
      </c>
      <c r="F12" s="125" t="s">
        <v>1278</v>
      </c>
      <c r="G12" s="156" t="s">
        <v>701</v>
      </c>
      <c r="H12" s="125" t="s">
        <v>705</v>
      </c>
      <c r="I12" s="144">
        <v>252</v>
      </c>
      <c r="J12" s="157">
        <v>49.15</v>
      </c>
      <c r="K12" s="144">
        <v>5614</v>
      </c>
      <c r="L12">
        <v>89</v>
      </c>
      <c r="M12">
        <v>13.62</v>
      </c>
      <c r="N12">
        <f t="shared" si="0"/>
        <v>1212.1799999999998</v>
      </c>
    </row>
    <row r="13" spans="1:14" ht="15.75">
      <c r="A13" s="144">
        <v>1964</v>
      </c>
      <c r="B13" s="144" t="s">
        <v>1484</v>
      </c>
      <c r="C13" s="144" t="s">
        <v>1773</v>
      </c>
      <c r="D13" s="144" t="s">
        <v>302</v>
      </c>
      <c r="E13" s="125" t="s">
        <v>303</v>
      </c>
      <c r="F13" s="125" t="s">
        <v>1160</v>
      </c>
      <c r="G13" s="156" t="s">
        <v>300</v>
      </c>
      <c r="H13" s="125" t="s">
        <v>301</v>
      </c>
      <c r="I13" s="144">
        <v>253</v>
      </c>
      <c r="J13" s="157">
        <v>12.20</v>
      </c>
      <c r="K13" s="144" t="s">
        <v>1395</v>
      </c>
      <c r="L13">
        <v>55</v>
      </c>
      <c r="M13">
        <v>20</v>
      </c>
      <c r="N13">
        <f t="shared" si="0"/>
        <v>1100</v>
      </c>
    </row>
    <row r="14" spans="1:14" ht="15.75">
      <c r="A14" s="144">
        <v>1965</v>
      </c>
      <c r="B14" s="144" t="s">
        <v>1485</v>
      </c>
      <c r="C14" s="144" t="s">
        <v>1743</v>
      </c>
      <c r="D14" s="144" t="s">
        <v>159</v>
      </c>
      <c r="E14" s="125" t="s">
        <v>160</v>
      </c>
      <c r="F14" s="125" t="s">
        <v>1111</v>
      </c>
      <c r="G14" s="156" t="s">
        <v>161</v>
      </c>
      <c r="H14" s="125" t="s">
        <v>141</v>
      </c>
      <c r="I14" s="144">
        <v>254</v>
      </c>
      <c r="J14" s="157">
        <v>33.90</v>
      </c>
      <c r="K14" s="144" t="s">
        <v>1469</v>
      </c>
      <c r="L14">
        <v>75</v>
      </c>
      <c r="M14">
        <v>10</v>
      </c>
      <c r="N14">
        <f t="shared" si="0"/>
        <v>750</v>
      </c>
    </row>
    <row r="15" spans="1:14" ht="15.75">
      <c r="A15" s="144">
        <v>1966</v>
      </c>
      <c r="B15" s="144" t="s">
        <v>1486</v>
      </c>
      <c r="C15" s="144" t="s">
        <v>1773</v>
      </c>
      <c r="D15" s="144" t="s">
        <v>507</v>
      </c>
      <c r="E15" s="125" t="s">
        <v>508</v>
      </c>
      <c r="F15" s="125" t="s">
        <v>1228</v>
      </c>
      <c r="G15" s="156" t="s">
        <v>509</v>
      </c>
      <c r="H15" s="125" t="s">
        <v>510</v>
      </c>
      <c r="I15" s="144">
        <v>255</v>
      </c>
      <c r="J15" s="157">
        <v>14.37</v>
      </c>
      <c r="K15" s="144">
        <v>5615</v>
      </c>
      <c r="L15">
        <v>165</v>
      </c>
      <c r="M15">
        <v>4</v>
      </c>
      <c r="N15">
        <f t="shared" si="0"/>
        <v>660</v>
      </c>
    </row>
    <row r="16" spans="1:14" ht="15.75">
      <c r="A16" s="144">
        <v>1967</v>
      </c>
      <c r="B16" s="144" t="s">
        <v>1487</v>
      </c>
      <c r="C16" s="144" t="s">
        <v>1773</v>
      </c>
      <c r="D16" s="144" t="s">
        <v>223</v>
      </c>
      <c r="E16" s="125" t="s">
        <v>224</v>
      </c>
      <c r="F16" s="125" t="s">
        <v>1129</v>
      </c>
      <c r="G16" s="156" t="s">
        <v>221</v>
      </c>
      <c r="H16" s="125" t="s">
        <v>222</v>
      </c>
      <c r="I16" s="144">
        <v>256</v>
      </c>
      <c r="J16" s="157">
        <v>20.40</v>
      </c>
      <c r="K16" s="144" t="s">
        <v>1403</v>
      </c>
      <c r="L16">
        <v>540</v>
      </c>
      <c r="M16">
        <v>1.20</v>
      </c>
      <c r="N16">
        <f t="shared" si="0"/>
        <v>648</v>
      </c>
    </row>
    <row r="17" spans="1:17" s="136" customFormat="1" ht="15.75">
      <c r="A17" s="144">
        <v>1968</v>
      </c>
      <c r="B17" s="144" t="s">
        <v>1488</v>
      </c>
      <c r="C17" s="144" t="s">
        <v>1773</v>
      </c>
      <c r="D17" s="144" t="s">
        <v>555</v>
      </c>
      <c r="E17" s="125" t="s">
        <v>556</v>
      </c>
      <c r="F17" s="125" t="s">
        <v>1242</v>
      </c>
      <c r="G17" s="156" t="s">
        <v>542</v>
      </c>
      <c r="H17" s="125" t="s">
        <v>557</v>
      </c>
      <c r="I17" s="144">
        <v>257</v>
      </c>
      <c r="J17" s="157">
        <v>11</v>
      </c>
      <c r="K17" s="144" t="s">
        <v>1547</v>
      </c>
      <c r="L17" s="136">
        <v>120</v>
      </c>
      <c r="M17" s="136">
        <v>5</v>
      </c>
      <c r="N17" s="136">
        <f t="shared" si="0"/>
        <v>600</v>
      </c>
      <c r="O17"/>
      <c r="P17"/>
      <c r="Q17"/>
    </row>
    <row r="18" spans="1:14" ht="15.75">
      <c r="A18" s="144">
        <v>1969</v>
      </c>
      <c r="B18" s="144" t="s">
        <v>1489</v>
      </c>
      <c r="C18" s="144" t="s">
        <v>1743</v>
      </c>
      <c r="D18" s="144" t="s">
        <v>662</v>
      </c>
      <c r="E18" s="125" t="s">
        <v>663</v>
      </c>
      <c r="F18" s="125" t="s">
        <v>1270</v>
      </c>
      <c r="G18" s="156" t="s">
        <v>660</v>
      </c>
      <c r="H18" s="125" t="s">
        <v>664</v>
      </c>
      <c r="I18" s="144">
        <v>258</v>
      </c>
      <c r="J18" s="157">
        <v>7.60</v>
      </c>
      <c r="K18" s="144" t="s">
        <v>1468</v>
      </c>
      <c r="L18">
        <v>180</v>
      </c>
      <c r="M18">
        <v>2.50</v>
      </c>
      <c r="N18">
        <f t="shared" si="0"/>
        <v>450</v>
      </c>
    </row>
    <row r="19" spans="1:17" s="136" customFormat="1" ht="15.75">
      <c r="A19" s="144">
        <v>1970</v>
      </c>
      <c r="B19" s="144" t="s">
        <v>1490</v>
      </c>
      <c r="C19" s="144" t="s">
        <v>1773</v>
      </c>
      <c r="D19" s="144" t="s">
        <v>911</v>
      </c>
      <c r="E19" s="125" t="s">
        <v>912</v>
      </c>
      <c r="F19" s="125" t="s">
        <v>1328</v>
      </c>
      <c r="G19" s="156" t="s">
        <v>913</v>
      </c>
      <c r="H19" s="125" t="s">
        <v>914</v>
      </c>
      <c r="I19" s="144">
        <v>259</v>
      </c>
      <c r="J19" s="157">
        <v>48.51</v>
      </c>
      <c r="K19" s="144">
        <v>5016</v>
      </c>
      <c r="L19" s="136">
        <v>32</v>
      </c>
      <c r="M19" s="136">
        <v>14</v>
      </c>
      <c r="N19" s="136">
        <f t="shared" si="0"/>
        <v>448</v>
      </c>
      <c r="O19"/>
      <c r="P19"/>
      <c r="Q19"/>
    </row>
    <row r="20" spans="1:14" ht="15.75">
      <c r="A20" s="144">
        <v>1971</v>
      </c>
      <c r="B20" s="144" t="s">
        <v>1491</v>
      </c>
      <c r="C20" s="144" t="s">
        <v>1773</v>
      </c>
      <c r="D20" s="144" t="s">
        <v>651</v>
      </c>
      <c r="E20" s="125" t="s">
        <v>652</v>
      </c>
      <c r="F20" s="125" t="s">
        <v>1097</v>
      </c>
      <c r="G20" s="156" t="s">
        <v>653</v>
      </c>
      <c r="H20" s="125" t="s">
        <v>654</v>
      </c>
      <c r="I20" s="144">
        <v>260</v>
      </c>
      <c r="J20" s="157">
        <v>35.84</v>
      </c>
      <c r="K20" s="144">
        <v>5617</v>
      </c>
      <c r="L20">
        <v>38</v>
      </c>
      <c r="M20">
        <v>10</v>
      </c>
      <c r="N20">
        <f>L20*M20+60</f>
        <v>440</v>
      </c>
    </row>
    <row r="21" spans="1:14" ht="15.75">
      <c r="A21" s="144">
        <v>1972</v>
      </c>
      <c r="B21" s="144" t="s">
        <v>1492</v>
      </c>
      <c r="C21" s="144" t="s">
        <v>1773</v>
      </c>
      <c r="D21" s="144" t="s">
        <v>121</v>
      </c>
      <c r="E21" s="125" t="s">
        <v>122</v>
      </c>
      <c r="F21" s="125" t="s">
        <v>1099</v>
      </c>
      <c r="G21" s="156" t="s">
        <v>116</v>
      </c>
      <c r="H21" s="125" t="s">
        <v>123</v>
      </c>
      <c r="I21" s="144">
        <v>261</v>
      </c>
      <c r="J21" s="157">
        <v>42.90</v>
      </c>
      <c r="K21" s="144">
        <v>5603</v>
      </c>
      <c r="L21">
        <v>97</v>
      </c>
      <c r="M21">
        <v>4.20</v>
      </c>
      <c r="N21">
        <f>L21*M21</f>
        <v>407.40</v>
      </c>
    </row>
    <row r="22" spans="1:17" s="136" customFormat="1" ht="15.75">
      <c r="A22" s="144">
        <v>1973</v>
      </c>
      <c r="B22" s="144" t="s">
        <v>1493</v>
      </c>
      <c r="C22" s="144" t="s">
        <v>1773</v>
      </c>
      <c r="D22" s="144" t="s">
        <v>340</v>
      </c>
      <c r="E22" s="125" t="s">
        <v>341</v>
      </c>
      <c r="F22" s="125" t="s">
        <v>1170</v>
      </c>
      <c r="G22" s="156" t="s">
        <v>342</v>
      </c>
      <c r="H22" s="125" t="s">
        <v>343</v>
      </c>
      <c r="I22" s="144">
        <v>262</v>
      </c>
      <c r="J22" s="157">
        <v>21.50</v>
      </c>
      <c r="K22" s="144">
        <v>5630</v>
      </c>
      <c r="L22" s="136">
        <v>75</v>
      </c>
      <c r="M22" s="136">
        <v>4.75</v>
      </c>
      <c r="N22" s="136">
        <f>L22*M22</f>
        <v>356.25</v>
      </c>
      <c r="O22"/>
      <c r="P22"/>
      <c r="Q22"/>
    </row>
    <row r="23" spans="1:14" ht="15.75">
      <c r="A23" s="144">
        <v>1974</v>
      </c>
      <c r="B23" s="144" t="s">
        <v>1494</v>
      </c>
      <c r="C23" s="144" t="s">
        <v>1743</v>
      </c>
      <c r="D23" s="144" t="s">
        <v>665</v>
      </c>
      <c r="E23" s="125" t="s">
        <v>666</v>
      </c>
      <c r="F23" s="125" t="s">
        <v>1271</v>
      </c>
      <c r="G23" s="156" t="s">
        <v>660</v>
      </c>
      <c r="H23" s="125" t="s">
        <v>664</v>
      </c>
      <c r="I23" s="144">
        <v>263</v>
      </c>
      <c r="J23" s="157">
        <v>6.90</v>
      </c>
      <c r="K23" s="144">
        <v>5611</v>
      </c>
      <c r="L23">
        <v>139</v>
      </c>
      <c r="M23">
        <v>2.50</v>
      </c>
      <c r="N23">
        <f>L23*M23</f>
        <v>347.50</v>
      </c>
    </row>
    <row r="24" spans="1:14" ht="15.75">
      <c r="A24" s="144">
        <v>1975</v>
      </c>
      <c r="B24" s="144" t="s">
        <v>1495</v>
      </c>
      <c r="C24" s="144" t="s">
        <v>1744</v>
      </c>
      <c r="D24" s="144" t="s">
        <v>269</v>
      </c>
      <c r="E24" s="125" t="s">
        <v>270</v>
      </c>
      <c r="F24" s="125" t="s">
        <v>1144</v>
      </c>
      <c r="G24" s="156" t="s">
        <v>255</v>
      </c>
      <c r="H24" s="125" t="s">
        <v>271</v>
      </c>
      <c r="I24" s="144">
        <v>264</v>
      </c>
      <c r="J24" s="157">
        <v>48.22</v>
      </c>
      <c r="K24" s="144">
        <v>5616</v>
      </c>
      <c r="L24">
        <v>31</v>
      </c>
      <c r="M24">
        <v>10</v>
      </c>
      <c r="N24">
        <f>L24*M24</f>
        <v>310</v>
      </c>
    </row>
    <row r="25" spans="1:14" ht="15.75">
      <c r="A25" s="144">
        <v>1976</v>
      </c>
      <c r="B25" s="144" t="s">
        <v>1496</v>
      </c>
      <c r="C25" s="144" t="s">
        <v>1773</v>
      </c>
      <c r="D25" s="144" t="s">
        <v>784</v>
      </c>
      <c r="E25" s="125" t="s">
        <v>785</v>
      </c>
      <c r="F25" s="125" t="s">
        <v>785</v>
      </c>
      <c r="G25" s="156" t="s">
        <v>778</v>
      </c>
      <c r="H25" s="125" t="s">
        <v>481</v>
      </c>
      <c r="I25" s="144">
        <v>265</v>
      </c>
      <c r="J25" s="157">
        <v>25.65</v>
      </c>
      <c r="K25" s="144" t="s">
        <v>1392</v>
      </c>
      <c r="L25">
        <v>50</v>
      </c>
      <c r="M25">
        <v>6</v>
      </c>
      <c r="N25">
        <f>L25*M25</f>
        <v>300</v>
      </c>
    </row>
    <row r="26" spans="1:14" ht="15.75">
      <c r="A26" s="144">
        <v>1977</v>
      </c>
      <c r="B26" s="144" t="s">
        <v>1497</v>
      </c>
      <c r="C26" s="144" t="s">
        <v>1744</v>
      </c>
      <c r="D26" s="144" t="s">
        <v>726</v>
      </c>
      <c r="E26" s="125" t="s">
        <v>727</v>
      </c>
      <c r="F26" s="125" t="s">
        <v>1280</v>
      </c>
      <c r="G26" s="156" t="s">
        <v>724</v>
      </c>
      <c r="H26" s="125" t="s">
        <v>728</v>
      </c>
      <c r="I26" s="144">
        <v>266</v>
      </c>
      <c r="J26" s="157">
        <v>38.08</v>
      </c>
      <c r="K26" s="144" t="s">
        <v>1400</v>
      </c>
      <c r="L26">
        <v>20</v>
      </c>
      <c r="M26">
        <v>12</v>
      </c>
      <c r="N26">
        <f>L26*M26+36</f>
        <v>276</v>
      </c>
    </row>
    <row r="27" spans="1:14" ht="15.75">
      <c r="A27" s="144">
        <v>1978</v>
      </c>
      <c r="B27" s="144" t="s">
        <v>1498</v>
      </c>
      <c r="C27" s="144" t="s">
        <v>1773</v>
      </c>
      <c r="D27" s="144" t="s">
        <v>298</v>
      </c>
      <c r="E27" s="125" t="s">
        <v>299</v>
      </c>
      <c r="F27" s="125" t="s">
        <v>1159</v>
      </c>
      <c r="G27" s="156" t="s">
        <v>300</v>
      </c>
      <c r="H27" s="125" t="s">
        <v>301</v>
      </c>
      <c r="I27" s="144">
        <v>267</v>
      </c>
      <c r="J27" s="157">
        <v>22.40</v>
      </c>
      <c r="K27" s="144" t="s">
        <v>1395</v>
      </c>
      <c r="L27">
        <v>11</v>
      </c>
      <c r="M27">
        <v>20</v>
      </c>
      <c r="N27">
        <f t="shared" si="1" ref="N27:N44">L27*M27</f>
        <v>220</v>
      </c>
    </row>
    <row r="28" spans="1:14" ht="15.75">
      <c r="A28" s="144">
        <v>1979</v>
      </c>
      <c r="B28" s="144" t="s">
        <v>1499</v>
      </c>
      <c r="C28" s="144" t="s">
        <v>1773</v>
      </c>
      <c r="D28" s="144" t="s">
        <v>655</v>
      </c>
      <c r="E28" s="125" t="s">
        <v>656</v>
      </c>
      <c r="F28" s="125" t="s">
        <v>1103</v>
      </c>
      <c r="G28" s="156" t="s">
        <v>653</v>
      </c>
      <c r="H28" s="125" t="s">
        <v>657</v>
      </c>
      <c r="I28" s="144">
        <v>269</v>
      </c>
      <c r="J28" s="157">
        <v>35.96</v>
      </c>
      <c r="K28" s="144">
        <v>5617</v>
      </c>
      <c r="L28">
        <v>13</v>
      </c>
      <c r="M28">
        <v>10.80</v>
      </c>
      <c r="N28">
        <f t="shared" si="1"/>
        <v>140.40</v>
      </c>
    </row>
    <row r="29" spans="1:14" ht="15.75">
      <c r="A29" s="144">
        <v>1980</v>
      </c>
      <c r="B29" s="144" t="s">
        <v>1500</v>
      </c>
      <c r="C29" s="144" t="s">
        <v>1773</v>
      </c>
      <c r="D29" s="144" t="s">
        <v>127</v>
      </c>
      <c r="E29" s="125" t="s">
        <v>128</v>
      </c>
      <c r="F29" s="125" t="s">
        <v>1101</v>
      </c>
      <c r="G29" s="156" t="s">
        <v>116</v>
      </c>
      <c r="H29" s="125" t="s">
        <v>129</v>
      </c>
      <c r="I29" s="144">
        <v>270</v>
      </c>
      <c r="J29" s="157">
        <v>26.50</v>
      </c>
      <c r="K29" s="144" t="s">
        <v>1468</v>
      </c>
      <c r="L29">
        <v>13</v>
      </c>
      <c r="M29">
        <v>10</v>
      </c>
      <c r="N29">
        <f t="shared" si="1"/>
        <v>130</v>
      </c>
    </row>
    <row r="30" spans="1:14" ht="15.75">
      <c r="A30" s="144">
        <v>1981</v>
      </c>
      <c r="B30" s="144" t="s">
        <v>1501</v>
      </c>
      <c r="C30" s="144" t="s">
        <v>1773</v>
      </c>
      <c r="D30" s="144" t="s">
        <v>344</v>
      </c>
      <c r="E30" s="125" t="s">
        <v>345</v>
      </c>
      <c r="F30" s="125" t="s">
        <v>1171</v>
      </c>
      <c r="G30" s="156" t="s">
        <v>342</v>
      </c>
      <c r="H30" s="125" t="s">
        <v>346</v>
      </c>
      <c r="I30" s="144">
        <v>271</v>
      </c>
      <c r="J30" s="157">
        <v>41.15</v>
      </c>
      <c r="K30" s="144" t="s">
        <v>1468</v>
      </c>
      <c r="L30">
        <v>20</v>
      </c>
      <c r="M30">
        <v>6</v>
      </c>
      <c r="N30">
        <f t="shared" si="1"/>
        <v>120</v>
      </c>
    </row>
    <row r="31" spans="1:14" ht="15.75">
      <c r="A31" s="144">
        <v>1982</v>
      </c>
      <c r="B31" s="144" t="s">
        <v>1502</v>
      </c>
      <c r="C31" s="144" t="s">
        <v>1743</v>
      </c>
      <c r="D31" s="144" t="s">
        <v>347</v>
      </c>
      <c r="E31" s="125" t="s">
        <v>348</v>
      </c>
      <c r="F31" s="125" t="s">
        <v>1172</v>
      </c>
      <c r="G31" s="156" t="s">
        <v>342</v>
      </c>
      <c r="H31" s="125" t="s">
        <v>349</v>
      </c>
      <c r="I31" s="144">
        <v>272</v>
      </c>
      <c r="J31" s="157">
        <v>49.75</v>
      </c>
      <c r="K31" s="144">
        <v>5630</v>
      </c>
      <c r="L31">
        <v>18</v>
      </c>
      <c r="M31">
        <v>6.50</v>
      </c>
      <c r="N31">
        <f t="shared" si="1"/>
        <v>117</v>
      </c>
    </row>
    <row r="32" spans="1:14" ht="15.75">
      <c r="A32" s="144">
        <v>1983</v>
      </c>
      <c r="B32" s="144" t="s">
        <v>1503</v>
      </c>
      <c r="C32" s="144" t="s">
        <v>1773</v>
      </c>
      <c r="D32" s="144" t="s">
        <v>706</v>
      </c>
      <c r="E32" s="125" t="s">
        <v>707</v>
      </c>
      <c r="F32" s="125" t="s">
        <v>1279</v>
      </c>
      <c r="G32" s="156" t="s">
        <v>701</v>
      </c>
      <c r="H32" s="125" t="s">
        <v>708</v>
      </c>
      <c r="I32" s="144">
        <v>273</v>
      </c>
      <c r="J32" s="157">
        <v>26.89</v>
      </c>
      <c r="K32" s="144" t="s">
        <v>1399</v>
      </c>
      <c r="L32">
        <v>13</v>
      </c>
      <c r="M32">
        <v>8.40</v>
      </c>
      <c r="N32">
        <f t="shared" si="1"/>
        <v>109.20</v>
      </c>
    </row>
    <row r="33" spans="1:14" ht="15.75">
      <c r="A33" s="144">
        <v>1984</v>
      </c>
      <c r="B33" s="144" t="s">
        <v>1504</v>
      </c>
      <c r="C33" s="144" t="s">
        <v>1773</v>
      </c>
      <c r="D33" s="144" t="s">
        <v>291</v>
      </c>
      <c r="E33" s="125" t="s">
        <v>292</v>
      </c>
      <c r="F33" s="125" t="s">
        <v>1157</v>
      </c>
      <c r="G33" s="156" t="s">
        <v>293</v>
      </c>
      <c r="H33" s="125" t="s">
        <v>36</v>
      </c>
      <c r="I33" s="144">
        <v>274</v>
      </c>
      <c r="J33" s="157">
        <v>184.50</v>
      </c>
      <c r="K33" s="144">
        <v>5618</v>
      </c>
      <c r="L33">
        <v>4</v>
      </c>
      <c r="M33">
        <v>25</v>
      </c>
      <c r="N33">
        <f t="shared" si="1"/>
        <v>100</v>
      </c>
    </row>
    <row r="34" spans="1:14" ht="15.75">
      <c r="A34" s="144">
        <v>1985</v>
      </c>
      <c r="B34" s="144" t="s">
        <v>1505</v>
      </c>
      <c r="C34" s="144" t="s">
        <v>1773</v>
      </c>
      <c r="D34" s="144" t="s">
        <v>260</v>
      </c>
      <c r="E34" s="125" t="s">
        <v>261</v>
      </c>
      <c r="F34" s="125" t="s">
        <v>1141</v>
      </c>
      <c r="G34" s="156" t="s">
        <v>255</v>
      </c>
      <c r="H34" s="125" t="s">
        <v>262</v>
      </c>
      <c r="I34" s="144">
        <v>275</v>
      </c>
      <c r="J34" s="157">
        <v>11.59</v>
      </c>
      <c r="K34" s="144" t="s">
        <v>1471</v>
      </c>
      <c r="L34">
        <v>15</v>
      </c>
      <c r="M34">
        <v>5</v>
      </c>
      <c r="N34">
        <f t="shared" si="1"/>
        <v>75</v>
      </c>
    </row>
    <row r="35" spans="1:14" ht="15.75">
      <c r="A35" s="144">
        <v>1986</v>
      </c>
      <c r="B35" s="144" t="s">
        <v>1506</v>
      </c>
      <c r="C35" s="144" t="s">
        <v>1773</v>
      </c>
      <c r="D35" s="144" t="s">
        <v>769</v>
      </c>
      <c r="E35" s="125" t="s">
        <v>770</v>
      </c>
      <c r="F35" s="125" t="s">
        <v>1284</v>
      </c>
      <c r="G35" s="156" t="s">
        <v>763</v>
      </c>
      <c r="H35" s="125" t="s">
        <v>771</v>
      </c>
      <c r="I35" s="144">
        <v>276</v>
      </c>
      <c r="J35" s="157">
        <v>6.93</v>
      </c>
      <c r="K35" s="144" t="s">
        <v>1401</v>
      </c>
      <c r="L35">
        <v>60</v>
      </c>
      <c r="M35">
        <v>1.20</v>
      </c>
      <c r="N35">
        <f t="shared" si="1"/>
        <v>72</v>
      </c>
    </row>
    <row r="36" spans="1:14" ht="15.75">
      <c r="A36" s="144">
        <v>1987</v>
      </c>
      <c r="B36" s="144" t="s">
        <v>1507</v>
      </c>
      <c r="C36" s="144" t="s">
        <v>1773</v>
      </c>
      <c r="D36" s="144" t="s">
        <v>930</v>
      </c>
      <c r="E36" s="125" t="s">
        <v>931</v>
      </c>
      <c r="F36" s="125" t="s">
        <v>1332</v>
      </c>
      <c r="G36" s="156" t="s">
        <v>917</v>
      </c>
      <c r="H36" s="125" t="s">
        <v>932</v>
      </c>
      <c r="I36" s="144">
        <v>277</v>
      </c>
      <c r="J36" s="157">
        <v>111.35</v>
      </c>
      <c r="K36" s="144" t="s">
        <v>1392</v>
      </c>
      <c r="L36">
        <v>21</v>
      </c>
      <c r="M36">
        <v>3.40</v>
      </c>
      <c r="N36">
        <f t="shared" si="1"/>
        <v>71.39999999999999</v>
      </c>
    </row>
    <row r="37" spans="1:14" ht="15.75">
      <c r="A37" s="144">
        <v>1988</v>
      </c>
      <c r="B37" s="144" t="s">
        <v>1508</v>
      </c>
      <c r="C37" s="144" t="s">
        <v>1773</v>
      </c>
      <c r="D37" s="144" t="s">
        <v>761</v>
      </c>
      <c r="E37" s="125" t="s">
        <v>762</v>
      </c>
      <c r="F37" s="125" t="s">
        <v>1302</v>
      </c>
      <c r="G37" s="156" t="s">
        <v>763</v>
      </c>
      <c r="H37" s="125" t="s">
        <v>764</v>
      </c>
      <c r="I37" s="144">
        <v>278</v>
      </c>
      <c r="J37" s="157">
        <v>63.59</v>
      </c>
      <c r="K37" s="144" t="s">
        <v>1544</v>
      </c>
      <c r="L37">
        <v>11</v>
      </c>
      <c r="M37">
        <v>5</v>
      </c>
      <c r="N37">
        <f t="shared" si="1"/>
        <v>55</v>
      </c>
    </row>
    <row r="38" spans="1:14" ht="15.75">
      <c r="A38" s="144">
        <v>1989</v>
      </c>
      <c r="B38" s="144" t="s">
        <v>1509</v>
      </c>
      <c r="C38" s="144" t="s">
        <v>1773</v>
      </c>
      <c r="D38" s="144" t="s">
        <v>501</v>
      </c>
      <c r="E38" s="125" t="s">
        <v>502</v>
      </c>
      <c r="F38" s="125" t="s">
        <v>1227</v>
      </c>
      <c r="G38" s="156" t="s">
        <v>494</v>
      </c>
      <c r="H38" s="125" t="s">
        <v>503</v>
      </c>
      <c r="I38" s="144">
        <v>280</v>
      </c>
      <c r="J38" s="157">
        <v>54.30</v>
      </c>
      <c r="K38" s="144">
        <v>5600</v>
      </c>
      <c r="L38">
        <v>2</v>
      </c>
      <c r="M38">
        <v>20</v>
      </c>
      <c r="N38">
        <f t="shared" si="1"/>
        <v>40</v>
      </c>
    </row>
    <row r="39" spans="1:14" ht="15.75">
      <c r="A39" s="144">
        <v>1990</v>
      </c>
      <c r="B39" s="144" t="s">
        <v>1510</v>
      </c>
      <c r="C39" s="144" t="s">
        <v>1773</v>
      </c>
      <c r="D39" s="144" t="s">
        <v>772</v>
      </c>
      <c r="E39" s="125" t="s">
        <v>773</v>
      </c>
      <c r="F39" s="125" t="s">
        <v>1304</v>
      </c>
      <c r="G39" s="156" t="s">
        <v>763</v>
      </c>
      <c r="H39" s="125" t="s">
        <v>201</v>
      </c>
      <c r="I39" s="144">
        <v>281</v>
      </c>
      <c r="J39" s="157">
        <v>16.72</v>
      </c>
      <c r="K39" s="144">
        <v>5200</v>
      </c>
      <c r="L39">
        <v>5</v>
      </c>
      <c r="M39">
        <v>5</v>
      </c>
      <c r="N39">
        <f t="shared" si="1"/>
        <v>25</v>
      </c>
    </row>
    <row r="40" spans="1:14" ht="15.75">
      <c r="A40" s="144">
        <v>1991</v>
      </c>
      <c r="B40" s="144" t="s">
        <v>1511</v>
      </c>
      <c r="C40" s="144" t="s">
        <v>1773</v>
      </c>
      <c r="D40" s="144" t="s">
        <v>118</v>
      </c>
      <c r="E40" s="125" t="s">
        <v>119</v>
      </c>
      <c r="F40" s="125" t="s">
        <v>1098</v>
      </c>
      <c r="G40" s="156" t="s">
        <v>116</v>
      </c>
      <c r="H40" s="125" t="s">
        <v>120</v>
      </c>
      <c r="I40" s="144">
        <v>282</v>
      </c>
      <c r="J40" s="157">
        <v>40.07</v>
      </c>
      <c r="K40" s="144" t="s">
        <v>1394</v>
      </c>
      <c r="L40">
        <v>6</v>
      </c>
      <c r="M40">
        <v>3.80</v>
      </c>
      <c r="N40">
        <f t="shared" si="1"/>
        <v>22.799999999999997</v>
      </c>
    </row>
    <row r="41" spans="1:14" ht="15.75">
      <c r="A41" s="144">
        <v>1992</v>
      </c>
      <c r="B41" s="144" t="s">
        <v>1512</v>
      </c>
      <c r="C41" s="144" t="s">
        <v>1744</v>
      </c>
      <c r="D41" s="144" t="s">
        <v>774</v>
      </c>
      <c r="E41" s="125" t="s">
        <v>775</v>
      </c>
      <c r="F41" s="125" t="s">
        <v>1283</v>
      </c>
      <c r="G41" s="156" t="s">
        <v>763</v>
      </c>
      <c r="H41" s="125" t="s">
        <v>201</v>
      </c>
      <c r="I41" s="144">
        <v>283</v>
      </c>
      <c r="J41" s="157">
        <v>34.65</v>
      </c>
      <c r="K41" s="144" t="s">
        <v>1395</v>
      </c>
      <c r="L41">
        <v>4</v>
      </c>
      <c r="M41">
        <v>5</v>
      </c>
      <c r="N41">
        <f t="shared" si="1"/>
        <v>20</v>
      </c>
    </row>
    <row r="42" spans="1:14" ht="15.75">
      <c r="A42" s="144">
        <v>1993</v>
      </c>
      <c r="B42" s="144" t="s">
        <v>1513</v>
      </c>
      <c r="C42" s="144" t="s">
        <v>1773</v>
      </c>
      <c r="D42" s="144" t="s">
        <v>29</v>
      </c>
      <c r="E42" s="125" t="s">
        <v>30</v>
      </c>
      <c r="F42" s="125" t="s">
        <v>1146</v>
      </c>
      <c r="G42" s="156" t="s">
        <v>31</v>
      </c>
      <c r="H42" s="125" t="s">
        <v>21</v>
      </c>
      <c r="I42" s="144">
        <v>284</v>
      </c>
      <c r="J42" s="157">
        <v>48.50</v>
      </c>
      <c r="K42" s="144" t="s">
        <v>1391</v>
      </c>
      <c r="L42">
        <v>0</v>
      </c>
      <c r="M42">
        <v>25</v>
      </c>
      <c r="N42">
        <f t="shared" si="1"/>
        <v>0</v>
      </c>
    </row>
    <row r="43" spans="1:14" ht="15.75">
      <c r="A43" s="144">
        <v>1994</v>
      </c>
      <c r="B43" s="144" t="s">
        <v>1514</v>
      </c>
      <c r="C43" s="144" t="s">
        <v>1773</v>
      </c>
      <c r="D43" s="144" t="s">
        <v>719</v>
      </c>
      <c r="E43" s="125" t="s">
        <v>720</v>
      </c>
      <c r="F43" s="125" t="s">
        <v>1281</v>
      </c>
      <c r="G43" s="156" t="s">
        <v>701</v>
      </c>
      <c r="H43" s="125" t="s">
        <v>721</v>
      </c>
      <c r="I43" s="144">
        <v>285</v>
      </c>
      <c r="J43" s="157">
        <v>22.10</v>
      </c>
      <c r="K43" s="144">
        <v>5600</v>
      </c>
      <c r="L43">
        <v>0</v>
      </c>
      <c r="M43">
        <v>16</v>
      </c>
      <c r="N43">
        <f t="shared" si="1"/>
        <v>0</v>
      </c>
    </row>
    <row r="44" spans="1:14" ht="15.75">
      <c r="A44" s="144">
        <v>1995</v>
      </c>
      <c r="B44" s="144" t="s">
        <v>1550</v>
      </c>
      <c r="C44" s="144" t="s">
        <v>1744</v>
      </c>
      <c r="D44" s="144" t="s">
        <v>272</v>
      </c>
      <c r="E44" s="125" t="s">
        <v>273</v>
      </c>
      <c r="F44" s="125" t="s">
        <v>1145</v>
      </c>
      <c r="G44" s="156" t="s">
        <v>255</v>
      </c>
      <c r="H44" s="125" t="s">
        <v>271</v>
      </c>
      <c r="I44" s="144">
        <v>286</v>
      </c>
      <c r="J44" s="157">
        <v>48.22</v>
      </c>
      <c r="K44" s="144">
        <v>5616</v>
      </c>
      <c r="L44">
        <v>0</v>
      </c>
      <c r="M44">
        <v>10</v>
      </c>
      <c r="N44">
        <f t="shared" si="1"/>
        <v>0</v>
      </c>
    </row>
    <row r="45" spans="1:11" ht="15.75">
      <c r="A45" s="144">
        <v>2537</v>
      </c>
      <c r="B45" s="144" t="s">
        <v>2002</v>
      </c>
      <c r="C45" s="144" t="s">
        <v>1744</v>
      </c>
      <c r="D45" s="144"/>
      <c r="E45" s="125" t="s">
        <v>2009</v>
      </c>
      <c r="F45" s="125" t="s">
        <v>2004</v>
      </c>
      <c r="G45" s="156" t="s">
        <v>2006</v>
      </c>
      <c r="H45" s="125" t="s">
        <v>1944</v>
      </c>
      <c r="I45" s="144"/>
      <c r="J45" s="157">
        <v>48.22</v>
      </c>
      <c r="K45" s="144">
        <v>5616</v>
      </c>
    </row>
    <row r="46" spans="1:11" ht="15.75">
      <c r="A46" s="144">
        <v>2547</v>
      </c>
      <c r="B46" s="144" t="s">
        <v>2003</v>
      </c>
      <c r="C46" s="144" t="s">
        <v>1773</v>
      </c>
      <c r="D46" s="144"/>
      <c r="E46" s="125" t="s">
        <v>2007</v>
      </c>
      <c r="F46" s="125" t="s">
        <v>2005</v>
      </c>
      <c r="G46" s="156" t="s">
        <v>116</v>
      </c>
      <c r="H46" s="125" t="s">
        <v>2008</v>
      </c>
      <c r="I46" s="144"/>
      <c r="J46" s="157">
        <v>19.28</v>
      </c>
      <c r="K46" s="144">
        <v>5630</v>
      </c>
    </row>
    <row r="47" spans="1:11" ht="15.75">
      <c r="A47" s="144">
        <v>2571</v>
      </c>
      <c r="B47" s="144" t="s">
        <v>2039</v>
      </c>
      <c r="C47" s="144" t="s">
        <v>1773</v>
      </c>
      <c r="D47" s="144" t="s">
        <v>2040</v>
      </c>
      <c r="E47" s="176" t="s">
        <v>2038</v>
      </c>
      <c r="F47" s="125" t="s">
        <v>2041</v>
      </c>
      <c r="G47" s="156" t="s">
        <v>724</v>
      </c>
      <c r="H47" s="125" t="s">
        <v>2042</v>
      </c>
      <c r="I47" s="164"/>
      <c r="J47" s="178">
        <v>37.97</v>
      </c>
      <c r="K47" s="144">
        <v>5616</v>
      </c>
    </row>
    <row r="48" spans="1:11" ht="15.75">
      <c r="A48" s="164"/>
      <c r="B48" s="164"/>
      <c r="C48" s="164"/>
      <c r="D48" s="164"/>
      <c r="E48" s="176"/>
      <c r="F48" s="176"/>
      <c r="G48" s="181"/>
      <c r="H48" s="176"/>
      <c r="I48" s="164"/>
      <c r="J48" s="178"/>
      <c r="K48" s="164"/>
    </row>
    <row r="49" spans="1:11" ht="15.75">
      <c r="A49" s="164"/>
      <c r="B49" s="164"/>
      <c r="C49" s="164"/>
      <c r="D49" s="164"/>
      <c r="E49" s="176"/>
      <c r="F49" s="176"/>
      <c r="G49" s="181"/>
      <c r="H49" s="176"/>
      <c r="I49" s="164"/>
      <c r="J49" s="178"/>
      <c r="K49" s="164"/>
    </row>
  </sheetData>
  <autoFilter ref="B1:N44"/>
  <sortState ref="D2:N44">
    <sortCondition descending="1" sortBy="value" ref="N2:N44"/>
  </sortState>
  <conditionalFormatting sqref="F2:F20">
    <cfRule type="duplicateValues" priority="15" dxfId="10"/>
  </conditionalFormatting>
  <conditionalFormatting sqref="F2:F38">
    <cfRule type="duplicateValues" priority="45" dxfId="10"/>
  </conditionalFormatting>
  <pageMargins left="0.7" right="0.7" top="0.75" bottom="0.75" header="0.3" footer="0.3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167ACC-0F6D-460D-9887-BC903A7ECCD0}">
  <dimension ref="A1:Q33"/>
  <sheetViews>
    <sheetView zoomScale="85" zoomScaleNormal="85" workbookViewId="0" topLeftCell="A1">
      <selection pane="topLeft" activeCell="E41" sqref="E41"/>
    </sheetView>
  </sheetViews>
  <sheetFormatPr defaultRowHeight="15"/>
  <cols>
    <col min="1" max="1" width="11.8571428571429" bestFit="1" customWidth="1"/>
    <col min="2" max="2" width="20.7142857142857" bestFit="1" customWidth="1"/>
    <col min="3" max="3" width="22" style="130" bestFit="1" customWidth="1"/>
    <col min="4" max="4" width="16.8571428571429" style="130" customWidth="1"/>
    <col min="5" max="5" width="71.8571428571429" style="130" customWidth="1"/>
    <col min="6" max="6" width="62.1428571428571" style="130" customWidth="1"/>
    <col min="7" max="7" width="34.2857142857143" customWidth="1"/>
    <col min="9" max="9" width="7.42857142857143" style="120" customWidth="1"/>
    <col min="10" max="10" width="6" style="120" customWidth="1"/>
    <col min="11" max="13" width="0" hidden="1" customWidth="1"/>
    <col min="14" max="14" width="9.14285714285714" style="134"/>
    <col min="15" max="15" width="6.85714285714286" customWidth="1"/>
  </cols>
  <sheetData>
    <row r="1" spans="1:17" s="133" customFormat="1" ht="15.75">
      <c r="A1" s="133" t="s">
        <v>1785</v>
      </c>
      <c r="B1" s="133" t="s">
        <v>1729</v>
      </c>
      <c r="C1" s="154" t="s">
        <v>1730</v>
      </c>
      <c r="D1" s="154" t="s">
        <v>0</v>
      </c>
      <c r="E1" s="154" t="s">
        <v>1</v>
      </c>
      <c r="F1" s="154" t="s">
        <v>1060</v>
      </c>
      <c r="G1" s="133" t="s">
        <v>2</v>
      </c>
      <c r="H1" s="133" t="s">
        <v>3</v>
      </c>
      <c r="I1" s="133" t="s">
        <v>1914</v>
      </c>
      <c r="J1" s="133" t="s">
        <v>1026</v>
      </c>
      <c r="K1" t="s">
        <v>1388</v>
      </c>
      <c r="L1" t="s">
        <v>1389</v>
      </c>
      <c r="M1" t="s">
        <v>1390</v>
      </c>
      <c r="N1" s="134" t="s">
        <v>1913</v>
      </c>
      <c r="O1"/>
      <c r="P1"/>
      <c r="Q1"/>
    </row>
    <row r="2" spans="1:14" ht="15.75">
      <c r="A2" s="144">
        <v>2552</v>
      </c>
      <c r="B2" s="144" t="s">
        <v>1887</v>
      </c>
      <c r="C2" s="125" t="s">
        <v>1736</v>
      </c>
      <c r="D2" s="125" t="s">
        <v>467</v>
      </c>
      <c r="E2" s="125" t="s">
        <v>468</v>
      </c>
      <c r="F2" s="125" t="s">
        <v>1222</v>
      </c>
      <c r="G2" s="144" t="s">
        <v>469</v>
      </c>
      <c r="H2" s="144" t="s">
        <v>332</v>
      </c>
      <c r="I2" s="144">
        <v>60</v>
      </c>
      <c r="J2" s="144" t="s">
        <v>1385</v>
      </c>
      <c r="K2" s="144">
        <v>51525</v>
      </c>
      <c r="L2" s="144">
        <v>1</v>
      </c>
      <c r="M2" s="144">
        <f>K2*L2</f>
        <v>51525</v>
      </c>
      <c r="N2" s="145">
        <v>6.72</v>
      </c>
    </row>
    <row r="3" spans="1:14" ht="15.75">
      <c r="A3" s="144">
        <v>1777</v>
      </c>
      <c r="B3" s="144" t="s">
        <v>1895</v>
      </c>
      <c r="C3" s="125" t="s">
        <v>1738</v>
      </c>
      <c r="D3" s="125" t="s">
        <v>350</v>
      </c>
      <c r="E3" s="125" t="s">
        <v>351</v>
      </c>
      <c r="F3" s="125" t="s">
        <v>1173</v>
      </c>
      <c r="G3" s="144" t="s">
        <v>352</v>
      </c>
      <c r="H3" s="144" t="s">
        <v>117</v>
      </c>
      <c r="I3" s="144">
        <v>61</v>
      </c>
      <c r="J3" s="144">
        <v>5326</v>
      </c>
      <c r="K3" s="144">
        <v>3938</v>
      </c>
      <c r="L3" s="144">
        <v>10</v>
      </c>
      <c r="M3" s="144">
        <f>K3*L3+3200</f>
        <v>42580</v>
      </c>
      <c r="N3" s="145">
        <v>40.60</v>
      </c>
    </row>
    <row r="4" spans="1:14" ht="15.75">
      <c r="A4" s="144">
        <v>1778</v>
      </c>
      <c r="B4" s="144" t="s">
        <v>1888</v>
      </c>
      <c r="C4" s="125" t="s">
        <v>1736</v>
      </c>
      <c r="D4" s="125" t="s">
        <v>280</v>
      </c>
      <c r="E4" s="125" t="s">
        <v>281</v>
      </c>
      <c r="F4" s="125" t="s">
        <v>1153</v>
      </c>
      <c r="G4" s="144" t="s">
        <v>282</v>
      </c>
      <c r="H4" s="144" t="s">
        <v>283</v>
      </c>
      <c r="I4" s="144">
        <v>62</v>
      </c>
      <c r="J4" s="144">
        <v>5326</v>
      </c>
      <c r="K4" s="144">
        <v>632.5600000000001</v>
      </c>
      <c r="L4" s="144">
        <v>20</v>
      </c>
      <c r="M4" s="144">
        <f t="shared" si="0" ref="M4:M27">K4*L4</f>
        <v>12651.20</v>
      </c>
      <c r="N4" s="145">
        <v>90</v>
      </c>
    </row>
    <row r="5" spans="1:14" ht="15.75">
      <c r="A5" s="144">
        <v>1779</v>
      </c>
      <c r="B5" s="144" t="s">
        <v>1896</v>
      </c>
      <c r="C5" s="125" t="s">
        <v>1740</v>
      </c>
      <c r="D5" s="125" t="s">
        <v>333</v>
      </c>
      <c r="E5" s="125" t="s">
        <v>334</v>
      </c>
      <c r="F5" s="125" t="s">
        <v>1169</v>
      </c>
      <c r="G5" s="144" t="s">
        <v>335</v>
      </c>
      <c r="H5" s="144" t="s">
        <v>336</v>
      </c>
      <c r="I5" s="144">
        <v>63</v>
      </c>
      <c r="J5" s="144" t="s">
        <v>1384</v>
      </c>
      <c r="K5" s="144">
        <v>6218</v>
      </c>
      <c r="L5" s="144">
        <v>2</v>
      </c>
      <c r="M5" s="144">
        <f t="shared" si="0"/>
        <v>12436</v>
      </c>
      <c r="N5" s="145">
        <v>19.60</v>
      </c>
    </row>
    <row r="6" spans="1:14" ht="15.75">
      <c r="A6" s="144">
        <v>1780</v>
      </c>
      <c r="B6" s="144" t="s">
        <v>1889</v>
      </c>
      <c r="C6" s="125" t="s">
        <v>1736</v>
      </c>
      <c r="D6" s="125" t="s">
        <v>470</v>
      </c>
      <c r="E6" s="125" t="s">
        <v>471</v>
      </c>
      <c r="F6" s="125" t="s">
        <v>1223</v>
      </c>
      <c r="G6" s="144" t="s">
        <v>469</v>
      </c>
      <c r="H6" s="144" t="s">
        <v>332</v>
      </c>
      <c r="I6" s="144">
        <v>64</v>
      </c>
      <c r="J6" s="144">
        <v>5326</v>
      </c>
      <c r="K6" s="144">
        <v>9209.60</v>
      </c>
      <c r="L6" s="144">
        <v>1</v>
      </c>
      <c r="M6" s="144">
        <f t="shared" si="0"/>
        <v>9209.60</v>
      </c>
      <c r="N6" s="145">
        <v>6.72</v>
      </c>
    </row>
    <row r="7" spans="1:14" ht="15.75">
      <c r="A7" s="144">
        <v>1781</v>
      </c>
      <c r="B7" s="144" t="s">
        <v>1897</v>
      </c>
      <c r="C7" s="125" t="s">
        <v>1738</v>
      </c>
      <c r="D7" s="125" t="s">
        <v>572</v>
      </c>
      <c r="E7" s="125" t="s">
        <v>573</v>
      </c>
      <c r="F7" s="125" t="s">
        <v>1249</v>
      </c>
      <c r="G7" s="144" t="s">
        <v>568</v>
      </c>
      <c r="H7" s="144" t="s">
        <v>201</v>
      </c>
      <c r="I7" s="144">
        <v>65</v>
      </c>
      <c r="J7" s="144" t="s">
        <v>1385</v>
      </c>
      <c r="K7" s="144">
        <v>1777</v>
      </c>
      <c r="L7" s="144">
        <v>5</v>
      </c>
      <c r="M7" s="144">
        <f t="shared" si="0"/>
        <v>8885</v>
      </c>
      <c r="N7" s="145">
        <v>27.85</v>
      </c>
    </row>
    <row r="8" spans="1:14" ht="15.75">
      <c r="A8" s="144">
        <v>1782</v>
      </c>
      <c r="B8" s="144" t="s">
        <v>1898</v>
      </c>
      <c r="C8" s="125" t="s">
        <v>1738</v>
      </c>
      <c r="D8" s="125" t="s">
        <v>570</v>
      </c>
      <c r="E8" s="125" t="s">
        <v>571</v>
      </c>
      <c r="F8" s="125" t="s">
        <v>1247</v>
      </c>
      <c r="G8" s="144" t="s">
        <v>568</v>
      </c>
      <c r="H8" s="144" t="s">
        <v>569</v>
      </c>
      <c r="I8" s="144">
        <v>66</v>
      </c>
      <c r="J8" s="144">
        <v>5326</v>
      </c>
      <c r="K8" s="144">
        <v>1448</v>
      </c>
      <c r="L8" s="144">
        <v>5</v>
      </c>
      <c r="M8" s="144">
        <f t="shared" si="0"/>
        <v>7240</v>
      </c>
      <c r="N8" s="145">
        <v>21.75</v>
      </c>
    </row>
    <row r="9" spans="1:14" ht="15.75">
      <c r="A9" s="144">
        <v>1783</v>
      </c>
      <c r="B9" s="144" t="s">
        <v>1890</v>
      </c>
      <c r="C9" s="125" t="s">
        <v>1736</v>
      </c>
      <c r="D9" s="125" t="s">
        <v>472</v>
      </c>
      <c r="E9" s="125" t="s">
        <v>473</v>
      </c>
      <c r="F9" s="125" t="s">
        <v>1224</v>
      </c>
      <c r="G9" s="144" t="s">
        <v>469</v>
      </c>
      <c r="H9" s="144" t="s">
        <v>332</v>
      </c>
      <c r="I9" s="144">
        <v>67</v>
      </c>
      <c r="J9" s="144">
        <v>5328</v>
      </c>
      <c r="K9" s="144">
        <v>6313.71</v>
      </c>
      <c r="L9" s="144">
        <v>1</v>
      </c>
      <c r="M9" s="144">
        <f t="shared" si="0"/>
        <v>6313.71</v>
      </c>
      <c r="N9" s="145">
        <v>5.07</v>
      </c>
    </row>
    <row r="10" spans="1:14" ht="15.75">
      <c r="A10" s="144">
        <v>1784</v>
      </c>
      <c r="B10" s="144" t="s">
        <v>1899</v>
      </c>
      <c r="C10" s="125" t="s">
        <v>1741</v>
      </c>
      <c r="D10" s="125" t="s">
        <v>681</v>
      </c>
      <c r="E10" s="125" t="s">
        <v>682</v>
      </c>
      <c r="F10" s="125" t="s">
        <v>1276</v>
      </c>
      <c r="G10" s="144" t="s">
        <v>676</v>
      </c>
      <c r="H10" s="144" t="s">
        <v>500</v>
      </c>
      <c r="I10" s="144">
        <v>68</v>
      </c>
      <c r="J10" s="144" t="s">
        <v>1387</v>
      </c>
      <c r="K10" s="144">
        <v>532</v>
      </c>
      <c r="L10" s="144">
        <v>10</v>
      </c>
      <c r="M10" s="144">
        <f t="shared" si="0"/>
        <v>5320</v>
      </c>
      <c r="N10" s="145">
        <v>75</v>
      </c>
    </row>
    <row r="11" spans="1:14" ht="15.75">
      <c r="A11" s="144">
        <v>1785</v>
      </c>
      <c r="B11" s="144" t="s">
        <v>1891</v>
      </c>
      <c r="C11" s="125" t="s">
        <v>1736</v>
      </c>
      <c r="D11" s="125" t="s">
        <v>287</v>
      </c>
      <c r="E11" s="125" t="s">
        <v>288</v>
      </c>
      <c r="F11" s="125" t="s">
        <v>1155</v>
      </c>
      <c r="G11" s="144" t="s">
        <v>282</v>
      </c>
      <c r="H11" s="144" t="s">
        <v>286</v>
      </c>
      <c r="I11" s="144">
        <v>69</v>
      </c>
      <c r="J11" s="144">
        <v>5326</v>
      </c>
      <c r="K11" s="144">
        <v>3894.50</v>
      </c>
      <c r="L11" s="144">
        <v>1</v>
      </c>
      <c r="M11" s="144">
        <f t="shared" si="0"/>
        <v>3894.50</v>
      </c>
      <c r="N11" s="145">
        <v>0.40</v>
      </c>
    </row>
    <row r="12" spans="1:14" ht="15.75">
      <c r="A12" s="144">
        <v>1786</v>
      </c>
      <c r="B12" s="144" t="s">
        <v>1900</v>
      </c>
      <c r="C12" s="125" t="s">
        <v>1734</v>
      </c>
      <c r="D12" s="125" t="s">
        <v>476</v>
      </c>
      <c r="E12" s="125" t="s">
        <v>477</v>
      </c>
      <c r="F12" s="125" t="s">
        <v>1226</v>
      </c>
      <c r="G12" s="144" t="s">
        <v>469</v>
      </c>
      <c r="H12" s="144" t="s">
        <v>332</v>
      </c>
      <c r="I12" s="144">
        <v>70</v>
      </c>
      <c r="J12" s="144">
        <v>5330</v>
      </c>
      <c r="K12" s="144">
        <v>3730</v>
      </c>
      <c r="L12" s="144">
        <v>1</v>
      </c>
      <c r="M12" s="144">
        <f t="shared" si="0"/>
        <v>3730</v>
      </c>
      <c r="N12" s="145">
        <v>6.68</v>
      </c>
    </row>
    <row r="13" spans="1:14" ht="15.75">
      <c r="A13" s="144">
        <v>1787</v>
      </c>
      <c r="B13" s="144" t="s">
        <v>1901</v>
      </c>
      <c r="C13" s="125" t="s">
        <v>1738</v>
      </c>
      <c r="D13" s="125" t="s">
        <v>356</v>
      </c>
      <c r="E13" s="125" t="s">
        <v>357</v>
      </c>
      <c r="F13" s="125" t="s">
        <v>1174</v>
      </c>
      <c r="G13" s="144" t="s">
        <v>355</v>
      </c>
      <c r="H13" s="144" t="s">
        <v>358</v>
      </c>
      <c r="I13" s="144">
        <v>71</v>
      </c>
      <c r="J13" s="144">
        <v>5326</v>
      </c>
      <c r="K13" s="144">
        <v>275</v>
      </c>
      <c r="L13" s="144">
        <v>10</v>
      </c>
      <c r="M13" s="144">
        <f t="shared" si="0"/>
        <v>2750</v>
      </c>
      <c r="N13" s="145">
        <v>36.50</v>
      </c>
    </row>
    <row r="14" spans="1:14" ht="15.75">
      <c r="A14" s="144">
        <v>1788</v>
      </c>
      <c r="B14" s="144" t="s">
        <v>1892</v>
      </c>
      <c r="C14" s="125" t="s">
        <v>1736</v>
      </c>
      <c r="D14" s="125" t="s">
        <v>474</v>
      </c>
      <c r="E14" s="125" t="s">
        <v>475</v>
      </c>
      <c r="F14" s="125" t="s">
        <v>1225</v>
      </c>
      <c r="G14" s="144" t="s">
        <v>469</v>
      </c>
      <c r="H14" s="144" t="s">
        <v>332</v>
      </c>
      <c r="I14" s="144">
        <v>72</v>
      </c>
      <c r="J14" s="144" t="s">
        <v>1385</v>
      </c>
      <c r="K14" s="144">
        <v>2673.89</v>
      </c>
      <c r="L14" s="144">
        <v>1</v>
      </c>
      <c r="M14" s="144">
        <f t="shared" si="0"/>
        <v>2673.89</v>
      </c>
      <c r="N14" s="145">
        <v>5.82</v>
      </c>
    </row>
    <row r="15" spans="1:14" ht="15.75">
      <c r="A15" s="144">
        <v>1789</v>
      </c>
      <c r="B15" s="144" t="s">
        <v>1893</v>
      </c>
      <c r="C15" s="125" t="s">
        <v>1736</v>
      </c>
      <c r="D15" s="125" t="s">
        <v>284</v>
      </c>
      <c r="E15" s="125" t="s">
        <v>285</v>
      </c>
      <c r="F15" s="125" t="s">
        <v>1154</v>
      </c>
      <c r="G15" s="144" t="s">
        <v>282</v>
      </c>
      <c r="H15" s="144" t="s">
        <v>286</v>
      </c>
      <c r="I15" s="144">
        <v>73</v>
      </c>
      <c r="J15" s="144">
        <v>5326</v>
      </c>
      <c r="K15" s="144">
        <v>1686.86</v>
      </c>
      <c r="L15" s="144">
        <v>1</v>
      </c>
      <c r="M15" s="144">
        <f t="shared" si="0"/>
        <v>1686.86</v>
      </c>
      <c r="N15" s="145">
        <v>0.40</v>
      </c>
    </row>
    <row r="16" spans="1:14" ht="15.75">
      <c r="A16" s="144">
        <v>1790</v>
      </c>
      <c r="B16" s="144" t="s">
        <v>1902</v>
      </c>
      <c r="C16" s="125" t="s">
        <v>1740</v>
      </c>
      <c r="D16" s="125" t="s">
        <v>584</v>
      </c>
      <c r="E16" s="125" t="s">
        <v>585</v>
      </c>
      <c r="F16" s="125" t="s">
        <v>1253</v>
      </c>
      <c r="G16" s="144" t="s">
        <v>568</v>
      </c>
      <c r="H16" s="144" t="s">
        <v>201</v>
      </c>
      <c r="I16" s="144">
        <v>74</v>
      </c>
      <c r="J16" s="144">
        <v>5328</v>
      </c>
      <c r="K16" s="144">
        <v>330</v>
      </c>
      <c r="L16" s="144">
        <v>5</v>
      </c>
      <c r="M16" s="144">
        <f t="shared" si="0"/>
        <v>1650</v>
      </c>
      <c r="N16" s="145">
        <v>53</v>
      </c>
    </row>
    <row r="17" spans="1:14" ht="15.75">
      <c r="A17" s="144">
        <v>1791</v>
      </c>
      <c r="B17" s="144" t="s">
        <v>1903</v>
      </c>
      <c r="C17" s="125" t="s">
        <v>1739</v>
      </c>
      <c r="D17" s="125" t="s">
        <v>683</v>
      </c>
      <c r="E17" s="125" t="s">
        <v>684</v>
      </c>
      <c r="F17" s="125" t="s">
        <v>1277</v>
      </c>
      <c r="G17" s="144" t="s">
        <v>685</v>
      </c>
      <c r="H17" s="144" t="s">
        <v>614</v>
      </c>
      <c r="I17" s="144">
        <v>76</v>
      </c>
      <c r="J17" s="144">
        <v>5327</v>
      </c>
      <c r="K17" s="144">
        <v>140</v>
      </c>
      <c r="L17" s="144">
        <v>10</v>
      </c>
      <c r="M17" s="144">
        <f t="shared" si="0"/>
        <v>1400</v>
      </c>
      <c r="N17" s="145">
        <v>82</v>
      </c>
    </row>
    <row r="18" spans="1:14" ht="15.75">
      <c r="A18" s="144">
        <v>1792</v>
      </c>
      <c r="B18" s="144" t="s">
        <v>1904</v>
      </c>
      <c r="C18" s="125" t="s">
        <v>1735</v>
      </c>
      <c r="D18" s="125" t="s">
        <v>580</v>
      </c>
      <c r="E18" s="125" t="s">
        <v>581</v>
      </c>
      <c r="F18" s="125" t="s">
        <v>1251</v>
      </c>
      <c r="G18" s="144" t="s">
        <v>568</v>
      </c>
      <c r="H18" s="144" t="s">
        <v>201</v>
      </c>
      <c r="I18" s="144">
        <v>77</v>
      </c>
      <c r="J18" s="144" t="s">
        <v>1386</v>
      </c>
      <c r="K18" s="144">
        <v>269</v>
      </c>
      <c r="L18" s="144">
        <v>5</v>
      </c>
      <c r="M18" s="144">
        <f t="shared" si="0"/>
        <v>1345</v>
      </c>
      <c r="N18" s="145">
        <v>24.75</v>
      </c>
    </row>
    <row r="19" spans="1:14" ht="15.75">
      <c r="A19" s="144">
        <v>1793</v>
      </c>
      <c r="B19" s="144" t="s">
        <v>1905</v>
      </c>
      <c r="C19" s="125" t="s">
        <v>1738</v>
      </c>
      <c r="D19" s="125" t="s">
        <v>907</v>
      </c>
      <c r="E19" s="125" t="s">
        <v>908</v>
      </c>
      <c r="F19" s="125" t="s">
        <v>1327</v>
      </c>
      <c r="G19" s="144" t="s">
        <v>909</v>
      </c>
      <c r="H19" s="144" t="s">
        <v>910</v>
      </c>
      <c r="I19" s="144">
        <v>78</v>
      </c>
      <c r="J19" s="144">
        <v>5326</v>
      </c>
      <c r="K19" s="144">
        <v>132</v>
      </c>
      <c r="L19" s="144">
        <v>10</v>
      </c>
      <c r="M19" s="144">
        <f t="shared" si="0"/>
        <v>1320</v>
      </c>
      <c r="N19" s="145">
        <v>53.90</v>
      </c>
    </row>
    <row r="20" spans="1:14" ht="15.75">
      <c r="A20" s="144">
        <v>1794</v>
      </c>
      <c r="B20" s="144" t="s">
        <v>1906</v>
      </c>
      <c r="C20" s="125" t="s">
        <v>1740</v>
      </c>
      <c r="D20" s="125" t="s">
        <v>582</v>
      </c>
      <c r="E20" s="125" t="s">
        <v>583</v>
      </c>
      <c r="F20" s="125" t="s">
        <v>1252</v>
      </c>
      <c r="G20" s="144" t="s">
        <v>568</v>
      </c>
      <c r="H20" s="144" t="s">
        <v>201</v>
      </c>
      <c r="I20" s="144">
        <v>79</v>
      </c>
      <c r="J20" s="144" t="s">
        <v>1384</v>
      </c>
      <c r="K20" s="144">
        <v>241</v>
      </c>
      <c r="L20" s="144">
        <v>5</v>
      </c>
      <c r="M20" s="144">
        <f t="shared" si="0"/>
        <v>1205</v>
      </c>
      <c r="N20" s="145">
        <v>30.25</v>
      </c>
    </row>
    <row r="21" spans="1:14" ht="15.75">
      <c r="A21" s="144">
        <v>1795</v>
      </c>
      <c r="B21" s="144" t="s">
        <v>1907</v>
      </c>
      <c r="C21" s="125" t="s">
        <v>1742</v>
      </c>
      <c r="D21" s="125" t="s">
        <v>677</v>
      </c>
      <c r="E21" s="125" t="s">
        <v>678</v>
      </c>
      <c r="F21" s="125" t="s">
        <v>1275</v>
      </c>
      <c r="G21" s="144" t="s">
        <v>676</v>
      </c>
      <c r="H21" s="144" t="s">
        <v>141</v>
      </c>
      <c r="I21" s="144">
        <v>80</v>
      </c>
      <c r="J21" s="144">
        <v>5325</v>
      </c>
      <c r="K21" s="144">
        <v>115.20</v>
      </c>
      <c r="L21" s="144">
        <v>10</v>
      </c>
      <c r="M21" s="144">
        <f t="shared" si="0"/>
        <v>1152</v>
      </c>
      <c r="N21" s="145">
        <v>85</v>
      </c>
    </row>
    <row r="22" spans="1:14" ht="15.75">
      <c r="A22" s="144">
        <v>1796</v>
      </c>
      <c r="B22" s="144" t="s">
        <v>1908</v>
      </c>
      <c r="C22" s="125" t="s">
        <v>1739</v>
      </c>
      <c r="D22" s="125" t="s">
        <v>198</v>
      </c>
      <c r="E22" s="125" t="s">
        <v>199</v>
      </c>
      <c r="F22" s="125" t="s">
        <v>1123</v>
      </c>
      <c r="G22" s="144" t="s">
        <v>200</v>
      </c>
      <c r="H22" s="144" t="s">
        <v>201</v>
      </c>
      <c r="I22" s="144">
        <v>81</v>
      </c>
      <c r="J22" s="144" t="s">
        <v>1383</v>
      </c>
      <c r="K22" s="144">
        <v>214</v>
      </c>
      <c r="L22" s="144">
        <v>5</v>
      </c>
      <c r="M22" s="144">
        <f t="shared" si="0"/>
        <v>1070</v>
      </c>
      <c r="N22" s="145">
        <v>33.50</v>
      </c>
    </row>
    <row r="23" spans="1:14" ht="15.75">
      <c r="A23" s="144">
        <v>1797</v>
      </c>
      <c r="B23" s="144" t="s">
        <v>1909</v>
      </c>
      <c r="C23" s="125" t="s">
        <v>1735</v>
      </c>
      <c r="D23" s="125" t="s">
        <v>574</v>
      </c>
      <c r="E23" s="125" t="s">
        <v>575</v>
      </c>
      <c r="F23" s="125" t="s">
        <v>1250</v>
      </c>
      <c r="G23" s="144" t="s">
        <v>568</v>
      </c>
      <c r="H23" s="144" t="s">
        <v>201</v>
      </c>
      <c r="I23" s="144">
        <v>82</v>
      </c>
      <c r="J23" s="144" t="s">
        <v>1386</v>
      </c>
      <c r="K23" s="144">
        <v>175</v>
      </c>
      <c r="L23" s="144">
        <v>5</v>
      </c>
      <c r="M23" s="144">
        <f t="shared" si="0"/>
        <v>875</v>
      </c>
      <c r="N23" s="145">
        <v>32.50</v>
      </c>
    </row>
    <row r="24" spans="1:14" ht="15.75">
      <c r="A24" s="144">
        <v>1798</v>
      </c>
      <c r="B24" s="144" t="s">
        <v>1910</v>
      </c>
      <c r="C24" s="125" t="s">
        <v>1738</v>
      </c>
      <c r="D24" s="125" t="s">
        <v>566</v>
      </c>
      <c r="E24" s="125" t="s">
        <v>567</v>
      </c>
      <c r="F24" s="125" t="s">
        <v>1248</v>
      </c>
      <c r="G24" s="144" t="s">
        <v>568</v>
      </c>
      <c r="H24" s="144" t="s">
        <v>569</v>
      </c>
      <c r="I24" s="144">
        <v>83</v>
      </c>
      <c r="J24" s="144">
        <v>5326</v>
      </c>
      <c r="K24" s="144">
        <v>82</v>
      </c>
      <c r="L24" s="144">
        <v>5</v>
      </c>
      <c r="M24" s="144">
        <f t="shared" si="0"/>
        <v>410</v>
      </c>
      <c r="N24" s="145">
        <v>27.85</v>
      </c>
    </row>
    <row r="25" spans="1:14" ht="15.75">
      <c r="A25" s="144">
        <v>1799</v>
      </c>
      <c r="B25" s="144" t="s">
        <v>1911</v>
      </c>
      <c r="C25" s="125" t="s">
        <v>1742</v>
      </c>
      <c r="D25" s="125" t="s">
        <v>679</v>
      </c>
      <c r="E25" s="125" t="s">
        <v>680</v>
      </c>
      <c r="F25" s="125" t="s">
        <v>1274</v>
      </c>
      <c r="G25" s="144" t="s">
        <v>676</v>
      </c>
      <c r="H25" s="144" t="s">
        <v>141</v>
      </c>
      <c r="I25" s="144">
        <v>84</v>
      </c>
      <c r="J25" s="144">
        <v>5325</v>
      </c>
      <c r="K25" s="144">
        <v>38</v>
      </c>
      <c r="L25" s="144">
        <v>10</v>
      </c>
      <c r="M25" s="144">
        <f t="shared" si="0"/>
        <v>380</v>
      </c>
      <c r="N25" s="145">
        <v>92.50</v>
      </c>
    </row>
    <row r="26" spans="1:14" ht="15.75">
      <c r="A26" s="144">
        <v>1800</v>
      </c>
      <c r="B26" s="144" t="s">
        <v>1912</v>
      </c>
      <c r="C26" s="125" t="s">
        <v>1737</v>
      </c>
      <c r="D26" s="125" t="s">
        <v>330</v>
      </c>
      <c r="E26" s="125" t="s">
        <v>331</v>
      </c>
      <c r="F26" s="125" t="s">
        <v>1136</v>
      </c>
      <c r="G26" s="144" t="s">
        <v>306</v>
      </c>
      <c r="H26" s="144" t="s">
        <v>332</v>
      </c>
      <c r="I26" s="144">
        <v>85</v>
      </c>
      <c r="J26" s="144">
        <v>5335</v>
      </c>
      <c r="K26" s="144">
        <v>240</v>
      </c>
      <c r="L26" s="144">
        <v>1</v>
      </c>
      <c r="M26" s="144">
        <f t="shared" si="0"/>
        <v>240</v>
      </c>
      <c r="N26" s="145">
        <v>5.52</v>
      </c>
    </row>
    <row r="27" spans="1:14" ht="15.75">
      <c r="A27" s="144">
        <v>1801</v>
      </c>
      <c r="B27" s="144" t="s">
        <v>1894</v>
      </c>
      <c r="C27" s="125" t="s">
        <v>1736</v>
      </c>
      <c r="D27" s="125" t="s">
        <v>289</v>
      </c>
      <c r="E27" s="125" t="s">
        <v>290</v>
      </c>
      <c r="F27" s="125" t="s">
        <v>1156</v>
      </c>
      <c r="G27" s="144" t="s">
        <v>282</v>
      </c>
      <c r="H27" s="144" t="s">
        <v>286</v>
      </c>
      <c r="I27" s="144">
        <v>86</v>
      </c>
      <c r="J27" s="144">
        <v>5326</v>
      </c>
      <c r="K27" s="144">
        <v>0</v>
      </c>
      <c r="L27" s="144">
        <v>1</v>
      </c>
      <c r="M27" s="144">
        <f t="shared" si="0"/>
        <v>0</v>
      </c>
      <c r="N27" s="145">
        <v>0.40</v>
      </c>
    </row>
    <row r="28" spans="1:14" ht="15.75">
      <c r="A28" s="144">
        <v>2534</v>
      </c>
      <c r="B28" s="144" t="s">
        <v>2010</v>
      </c>
      <c r="C28" s="125" t="s">
        <v>1736</v>
      </c>
      <c r="D28" s="125"/>
      <c r="E28" s="125" t="s">
        <v>2022</v>
      </c>
      <c r="F28" s="125" t="s">
        <v>2016</v>
      </c>
      <c r="G28" s="144" t="s">
        <v>282</v>
      </c>
      <c r="H28" s="144" t="s">
        <v>286</v>
      </c>
      <c r="I28" s="144"/>
      <c r="J28" s="144">
        <v>5326</v>
      </c>
      <c r="K28" s="144"/>
      <c r="L28" s="144"/>
      <c r="M28" s="144"/>
      <c r="N28" s="145">
        <v>0.40</v>
      </c>
    </row>
    <row r="29" spans="1:14" ht="15.75">
      <c r="A29" s="144">
        <v>2536</v>
      </c>
      <c r="B29" s="144" t="s">
        <v>2011</v>
      </c>
      <c r="C29" s="125" t="s">
        <v>2024</v>
      </c>
      <c r="D29" s="125"/>
      <c r="E29" s="125" t="s">
        <v>2023</v>
      </c>
      <c r="F29" s="125" t="s">
        <v>2017</v>
      </c>
      <c r="G29" s="144" t="s">
        <v>469</v>
      </c>
      <c r="H29" s="144" t="s">
        <v>286</v>
      </c>
      <c r="I29" s="144"/>
      <c r="J29" s="144">
        <v>5328</v>
      </c>
      <c r="K29" s="144"/>
      <c r="L29" s="144"/>
      <c r="M29" s="144"/>
      <c r="N29" s="145">
        <v>7.28</v>
      </c>
    </row>
    <row r="30" spans="1:14" ht="15.75">
      <c r="A30" s="144">
        <v>2548</v>
      </c>
      <c r="B30" s="144" t="s">
        <v>2012</v>
      </c>
      <c r="C30" s="125" t="s">
        <v>1736</v>
      </c>
      <c r="D30" s="125"/>
      <c r="E30" s="125" t="s">
        <v>2025</v>
      </c>
      <c r="F30" s="125" t="s">
        <v>2018</v>
      </c>
      <c r="G30" s="144" t="s">
        <v>200</v>
      </c>
      <c r="H30" s="144" t="s">
        <v>2026</v>
      </c>
      <c r="I30" s="144"/>
      <c r="J30" s="144">
        <v>5326</v>
      </c>
      <c r="K30" s="144"/>
      <c r="L30" s="144"/>
      <c r="M30" s="144"/>
      <c r="N30" s="145">
        <v>43.75</v>
      </c>
    </row>
    <row r="31" spans="1:14" ht="15.75">
      <c r="A31" s="144">
        <v>2549</v>
      </c>
      <c r="B31" s="144" t="s">
        <v>2013</v>
      </c>
      <c r="C31" s="125" t="s">
        <v>1738</v>
      </c>
      <c r="D31" s="125"/>
      <c r="E31" s="125" t="s">
        <v>2027</v>
      </c>
      <c r="F31" s="125" t="s">
        <v>2019</v>
      </c>
      <c r="G31" s="144" t="s">
        <v>568</v>
      </c>
      <c r="H31" s="144" t="s">
        <v>2026</v>
      </c>
      <c r="I31" s="144"/>
      <c r="J31" s="144">
        <v>5326</v>
      </c>
      <c r="K31" s="144"/>
      <c r="L31" s="144"/>
      <c r="M31" s="144"/>
      <c r="N31" s="145">
        <v>21.50</v>
      </c>
    </row>
    <row r="32" spans="1:14" ht="15.75">
      <c r="A32" s="144">
        <v>2550</v>
      </c>
      <c r="B32" s="144" t="s">
        <v>2014</v>
      </c>
      <c r="C32" s="125" t="s">
        <v>1734</v>
      </c>
      <c r="D32" s="125"/>
      <c r="E32" s="125" t="s">
        <v>2028</v>
      </c>
      <c r="F32" s="125" t="s">
        <v>2020</v>
      </c>
      <c r="G32" s="144" t="s">
        <v>469</v>
      </c>
      <c r="H32" s="144" t="s">
        <v>2029</v>
      </c>
      <c r="I32" s="144"/>
      <c r="J32" s="144">
        <v>5326</v>
      </c>
      <c r="K32" s="144"/>
      <c r="L32" s="144"/>
      <c r="M32" s="144"/>
      <c r="N32" s="145">
        <v>21.50</v>
      </c>
    </row>
    <row r="33" spans="1:14" ht="15.75">
      <c r="A33" s="144">
        <v>2566</v>
      </c>
      <c r="B33" s="144" t="s">
        <v>2015</v>
      </c>
      <c r="C33" s="125" t="s">
        <v>1738</v>
      </c>
      <c r="D33" s="125"/>
      <c r="E33" s="125" t="s">
        <v>2030</v>
      </c>
      <c r="F33" s="125" t="s">
        <v>2021</v>
      </c>
      <c r="G33" s="144"/>
      <c r="H33" s="144" t="s">
        <v>2029</v>
      </c>
      <c r="I33" s="144"/>
      <c r="J33" s="144">
        <v>5326</v>
      </c>
      <c r="K33" s="144"/>
      <c r="L33" s="144"/>
      <c r="M33" s="144"/>
      <c r="N33" s="145">
        <v>21.50</v>
      </c>
    </row>
  </sheetData>
  <autoFilter ref="B1:M33"/>
  <sortState ref="D2:M27">
    <sortCondition descending="1" sortBy="value" ref="M2:M27"/>
  </sortState>
  <conditionalFormatting sqref="F2:F33 I2:I33">
    <cfRule type="duplicateValues" priority="49" dxfId="10"/>
  </conditionalFormatting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27F12E-7FC4-4ED7-8A80-0450DFEDE0DD}">
  <dimension ref="A1:T17"/>
  <sheetViews>
    <sheetView zoomScale="115" zoomScaleNormal="115" workbookViewId="0" topLeftCell="A1">
      <pane ySplit="1" topLeftCell="A7" activePane="bottomLeft" state="frozen"/>
      <selection pane="topLeft" activeCell="A1" sqref="A1"/>
      <selection pane="bottomLeft" activeCell="E30" sqref="E30"/>
    </sheetView>
  </sheetViews>
  <sheetFormatPr defaultRowHeight="15"/>
  <cols>
    <col min="2" max="3" width="12.5714285714286" customWidth="1"/>
    <col min="4" max="4" width="14.7142857142857" customWidth="1"/>
    <col min="5" max="5" width="57" customWidth="1"/>
    <col min="6" max="6" width="33.5714285714286" customWidth="1"/>
    <col min="7" max="7" width="39.1428571428571" customWidth="1"/>
    <col min="8" max="8" width="12.5714285714286" customWidth="1"/>
    <col min="10" max="10" width="8.71428571428571" style="142" customWidth="1"/>
    <col min="11" max="11" width="7" style="120" customWidth="1"/>
    <col min="12" max="12" width="22" hidden="1" customWidth="1"/>
    <col min="13" max="13" width="10.4285714285714" hidden="1" customWidth="1"/>
    <col min="14" max="14" width="22" hidden="1" customWidth="1"/>
    <col min="17" max="17" width="15.4285714285714" customWidth="1"/>
  </cols>
  <sheetData>
    <row r="1" spans="1:14" ht="15.75">
      <c r="A1" s="121" t="s">
        <v>1785</v>
      </c>
      <c r="B1" s="121" t="s">
        <v>1382</v>
      </c>
      <c r="C1" s="121" t="s">
        <v>1027</v>
      </c>
      <c r="D1" s="121" t="s">
        <v>0</v>
      </c>
      <c r="E1" s="121" t="s">
        <v>1</v>
      </c>
      <c r="F1" s="121" t="s">
        <v>1060</v>
      </c>
      <c r="G1" s="121" t="s">
        <v>2</v>
      </c>
      <c r="H1" s="121" t="s">
        <v>3</v>
      </c>
      <c r="I1" s="121" t="s">
        <v>1917</v>
      </c>
      <c r="J1" s="141" t="s">
        <v>1913</v>
      </c>
      <c r="K1" s="133" t="s">
        <v>1026</v>
      </c>
      <c r="L1" s="121" t="s">
        <v>1363</v>
      </c>
      <c r="M1" s="121" t="s">
        <v>1364</v>
      </c>
      <c r="N1" s="121" t="s">
        <v>1365</v>
      </c>
    </row>
    <row r="2" spans="1:14" s="183" customFormat="1" ht="15.75">
      <c r="A2" s="144">
        <v>1937</v>
      </c>
      <c r="B2" s="144" t="s">
        <v>1366</v>
      </c>
      <c r="C2" s="144" t="s">
        <v>1731</v>
      </c>
      <c r="D2" s="144" t="s">
        <v>526</v>
      </c>
      <c r="E2" s="144" t="s">
        <v>527</v>
      </c>
      <c r="F2" s="144" t="s">
        <v>1232</v>
      </c>
      <c r="G2" s="144" t="s">
        <v>525</v>
      </c>
      <c r="H2" s="144" t="s">
        <v>283</v>
      </c>
      <c r="I2" s="144">
        <v>226</v>
      </c>
      <c r="J2" s="145">
        <v>34.60</v>
      </c>
      <c r="K2" s="144">
        <v>5510</v>
      </c>
      <c r="L2" s="183">
        <v>1056</v>
      </c>
      <c r="M2" s="183">
        <v>20</v>
      </c>
      <c r="N2" s="183">
        <f>L2*M2</f>
        <v>21120</v>
      </c>
    </row>
    <row r="3" spans="1:14" s="183" customFormat="1" ht="15.75">
      <c r="A3" s="144">
        <v>1938</v>
      </c>
      <c r="B3" s="144" t="s">
        <v>1367</v>
      </c>
      <c r="C3" s="144" t="s">
        <v>1732</v>
      </c>
      <c r="D3" s="144" t="s">
        <v>244</v>
      </c>
      <c r="E3" s="144" t="s">
        <v>245</v>
      </c>
      <c r="F3" s="144" t="s">
        <v>1137</v>
      </c>
      <c r="G3" s="144" t="s">
        <v>240</v>
      </c>
      <c r="H3" s="144" t="s">
        <v>246</v>
      </c>
      <c r="I3" s="144">
        <v>227</v>
      </c>
      <c r="J3" s="145">
        <v>3.60</v>
      </c>
      <c r="K3" s="144" t="s">
        <v>1360</v>
      </c>
      <c r="L3" s="183">
        <v>5712</v>
      </c>
      <c r="M3" s="183">
        <v>2</v>
      </c>
      <c r="N3" s="183">
        <f>L3*M3</f>
        <v>11424</v>
      </c>
    </row>
    <row r="4" spans="1:14" s="183" customFormat="1" ht="15.75">
      <c r="A4" s="144">
        <v>1939</v>
      </c>
      <c r="B4" s="144" t="s">
        <v>1368</v>
      </c>
      <c r="C4" s="144" t="s">
        <v>1135</v>
      </c>
      <c r="D4" s="144" t="s">
        <v>247</v>
      </c>
      <c r="E4" s="144" t="s">
        <v>248</v>
      </c>
      <c r="F4" s="144" t="s">
        <v>1135</v>
      </c>
      <c r="G4" s="144" t="s">
        <v>240</v>
      </c>
      <c r="H4" s="144" t="s">
        <v>42</v>
      </c>
      <c r="I4" s="144">
        <v>228</v>
      </c>
      <c r="J4" s="145">
        <v>9.91</v>
      </c>
      <c r="K4" s="144" t="s">
        <v>1361</v>
      </c>
      <c r="L4" s="183">
        <v>445</v>
      </c>
      <c r="M4" s="183">
        <v>10</v>
      </c>
      <c r="N4" s="183">
        <f>L4*M4</f>
        <v>4450</v>
      </c>
    </row>
    <row r="5" spans="1:14" s="183" customFormat="1" ht="15.75">
      <c r="A5" s="144">
        <v>1940</v>
      </c>
      <c r="B5" s="144" t="s">
        <v>1369</v>
      </c>
      <c r="C5" s="144" t="s">
        <v>1043</v>
      </c>
      <c r="D5" s="144" t="s">
        <v>504</v>
      </c>
      <c r="E5" s="144" t="s">
        <v>505</v>
      </c>
      <c r="F5" s="144" t="s">
        <v>1164</v>
      </c>
      <c r="G5" s="144" t="s">
        <v>506</v>
      </c>
      <c r="H5" s="144" t="s">
        <v>336</v>
      </c>
      <c r="I5" s="144">
        <v>229</v>
      </c>
      <c r="J5" s="145">
        <v>9</v>
      </c>
      <c r="K5" s="144">
        <v>5008</v>
      </c>
      <c r="L5" s="183">
        <v>756</v>
      </c>
      <c r="M5" s="183">
        <v>2</v>
      </c>
      <c r="N5" s="183">
        <f>L5*M5+4544</f>
        <v>6056</v>
      </c>
    </row>
    <row r="6" spans="1:14" s="183" customFormat="1" ht="15.75">
      <c r="A6" s="144">
        <v>1941</v>
      </c>
      <c r="B6" s="144" t="s">
        <v>1370</v>
      </c>
      <c r="C6" s="144" t="s">
        <v>1733</v>
      </c>
      <c r="D6" s="144" t="s">
        <v>307</v>
      </c>
      <c r="E6" s="144" t="s">
        <v>308</v>
      </c>
      <c r="F6" s="144" t="s">
        <v>1162</v>
      </c>
      <c r="G6" s="144" t="s">
        <v>306</v>
      </c>
      <c r="H6" s="144" t="s">
        <v>309</v>
      </c>
      <c r="I6" s="144">
        <v>230</v>
      </c>
      <c r="J6" s="145">
        <v>56.98</v>
      </c>
      <c r="K6" s="144" t="s">
        <v>1360</v>
      </c>
      <c r="L6" s="183">
        <v>146</v>
      </c>
      <c r="M6" s="183">
        <v>10</v>
      </c>
      <c r="N6" s="183">
        <f t="shared" si="0" ref="N6:N17">L6*M6</f>
        <v>1460</v>
      </c>
    </row>
    <row r="7" spans="1:20" s="184" customFormat="1" ht="15.75">
      <c r="A7" s="144">
        <v>1942</v>
      </c>
      <c r="B7" s="144" t="s">
        <v>1371</v>
      </c>
      <c r="C7" s="144" t="s">
        <v>1733</v>
      </c>
      <c r="D7" s="144" t="s">
        <v>238</v>
      </c>
      <c r="E7" s="144" t="s">
        <v>239</v>
      </c>
      <c r="F7" s="144" t="s">
        <v>1133</v>
      </c>
      <c r="G7" s="144" t="s">
        <v>240</v>
      </c>
      <c r="H7" s="144" t="s">
        <v>241</v>
      </c>
      <c r="I7" s="144">
        <v>231</v>
      </c>
      <c r="J7" s="145">
        <v>1.55</v>
      </c>
      <c r="K7" s="144">
        <v>7800</v>
      </c>
      <c r="L7" s="183">
        <v>727</v>
      </c>
      <c r="M7" s="183">
        <v>2</v>
      </c>
      <c r="N7" s="183">
        <f t="shared" si="0"/>
        <v>1454</v>
      </c>
      <c r="O7" s="183"/>
      <c r="P7" s="183"/>
      <c r="Q7" s="183"/>
      <c r="R7" s="183"/>
      <c r="S7" s="183"/>
      <c r="T7" s="183"/>
    </row>
    <row r="8" spans="1:14" s="183" customFormat="1" ht="15.75">
      <c r="A8" s="144">
        <v>1943</v>
      </c>
      <c r="B8" s="144" t="s">
        <v>1372</v>
      </c>
      <c r="C8" s="144" t="s">
        <v>1731</v>
      </c>
      <c r="D8" s="144" t="s">
        <v>667</v>
      </c>
      <c r="E8" s="144" t="s">
        <v>668</v>
      </c>
      <c r="F8" s="144" t="s">
        <v>1272</v>
      </c>
      <c r="G8" s="144" t="s">
        <v>669</v>
      </c>
      <c r="H8" s="144" t="s">
        <v>670</v>
      </c>
      <c r="I8" s="144">
        <v>232</v>
      </c>
      <c r="J8" s="145">
        <v>74.50</v>
      </c>
      <c r="K8" s="144" t="s">
        <v>1361</v>
      </c>
      <c r="L8" s="183">
        <v>89</v>
      </c>
      <c r="M8" s="183">
        <v>15</v>
      </c>
      <c r="N8" s="183">
        <f t="shared" si="0"/>
        <v>1335</v>
      </c>
    </row>
    <row r="9" spans="1:14" s="183" customFormat="1" ht="15.75">
      <c r="A9" s="144">
        <v>1944</v>
      </c>
      <c r="B9" s="144" t="s">
        <v>1373</v>
      </c>
      <c r="C9" s="144" t="s">
        <v>1043</v>
      </c>
      <c r="D9" s="144" t="s">
        <v>904</v>
      </c>
      <c r="E9" s="144" t="s">
        <v>905</v>
      </c>
      <c r="F9" s="144" t="s">
        <v>1326</v>
      </c>
      <c r="G9" s="144" t="s">
        <v>906</v>
      </c>
      <c r="H9" s="144" t="s">
        <v>201</v>
      </c>
      <c r="I9" s="144">
        <v>233</v>
      </c>
      <c r="J9" s="145">
        <v>31.25</v>
      </c>
      <c r="K9" s="144">
        <v>5008</v>
      </c>
      <c r="L9" s="183">
        <v>254</v>
      </c>
      <c r="M9" s="183">
        <v>5</v>
      </c>
      <c r="N9" s="183">
        <f t="shared" si="0"/>
        <v>1270</v>
      </c>
    </row>
    <row r="10" spans="1:14" s="183" customFormat="1" ht="15.75">
      <c r="A10" s="144">
        <v>1945</v>
      </c>
      <c r="B10" s="144" t="s">
        <v>1374</v>
      </c>
      <c r="C10" s="144" t="s">
        <v>1043</v>
      </c>
      <c r="D10" s="144" t="s">
        <v>310</v>
      </c>
      <c r="E10" s="144" t="s">
        <v>311</v>
      </c>
      <c r="F10" s="144" t="s">
        <v>1163</v>
      </c>
      <c r="G10" s="144" t="s">
        <v>306</v>
      </c>
      <c r="H10" s="144" t="s">
        <v>312</v>
      </c>
      <c r="I10" s="144">
        <v>234</v>
      </c>
      <c r="J10" s="145">
        <v>15.025</v>
      </c>
      <c r="K10" s="144">
        <v>5008</v>
      </c>
      <c r="L10" s="183">
        <v>382.63</v>
      </c>
      <c r="M10" s="183">
        <v>2.50</v>
      </c>
      <c r="N10" s="183">
        <f t="shared" si="0"/>
        <v>956.575</v>
      </c>
    </row>
    <row r="11" spans="1:14" s="183" customFormat="1" ht="15.75">
      <c r="A11" s="144">
        <v>1946</v>
      </c>
      <c r="B11" s="144" t="s">
        <v>1375</v>
      </c>
      <c r="C11" s="144" t="s">
        <v>1731</v>
      </c>
      <c r="D11" s="144" t="s">
        <v>124</v>
      </c>
      <c r="E11" s="144" t="s">
        <v>125</v>
      </c>
      <c r="F11" s="144" t="s">
        <v>1100</v>
      </c>
      <c r="G11" s="144" t="s">
        <v>116</v>
      </c>
      <c r="H11" s="144" t="s">
        <v>126</v>
      </c>
      <c r="I11" s="144">
        <v>235</v>
      </c>
      <c r="J11" s="145">
        <v>17.89</v>
      </c>
      <c r="K11" s="144">
        <v>5510</v>
      </c>
      <c r="L11" s="183">
        <v>55</v>
      </c>
      <c r="M11" s="183">
        <v>12</v>
      </c>
      <c r="N11" s="183">
        <f t="shared" si="0"/>
        <v>660</v>
      </c>
    </row>
    <row r="12" spans="1:14" s="183" customFormat="1" ht="15.75">
      <c r="A12" s="144">
        <v>1947</v>
      </c>
      <c r="B12" s="144" t="s">
        <v>1376</v>
      </c>
      <c r="C12" s="144" t="s">
        <v>1043</v>
      </c>
      <c r="D12" s="144" t="s">
        <v>318</v>
      </c>
      <c r="E12" s="144" t="s">
        <v>319</v>
      </c>
      <c r="F12" s="144" t="s">
        <v>1166</v>
      </c>
      <c r="G12" s="144" t="s">
        <v>306</v>
      </c>
      <c r="H12" s="144" t="s">
        <v>320</v>
      </c>
      <c r="I12" s="144">
        <v>236</v>
      </c>
      <c r="J12" s="145">
        <v>9.76</v>
      </c>
      <c r="K12" s="144" t="s">
        <v>1362</v>
      </c>
      <c r="L12" s="183">
        <v>501</v>
      </c>
      <c r="M12" s="183">
        <v>1</v>
      </c>
      <c r="N12" s="183">
        <f t="shared" si="0"/>
        <v>501</v>
      </c>
    </row>
    <row r="13" spans="1:14" s="183" customFormat="1" ht="15.75">
      <c r="A13" s="144">
        <v>1948</v>
      </c>
      <c r="B13" s="144" t="s">
        <v>1377</v>
      </c>
      <c r="C13" s="144" t="s">
        <v>1043</v>
      </c>
      <c r="D13" s="144" t="s">
        <v>321</v>
      </c>
      <c r="E13" s="144" t="s">
        <v>322</v>
      </c>
      <c r="F13" s="144" t="s">
        <v>1167</v>
      </c>
      <c r="G13" s="144" t="s">
        <v>306</v>
      </c>
      <c r="H13" s="144" t="s">
        <v>323</v>
      </c>
      <c r="I13" s="144">
        <v>237</v>
      </c>
      <c r="J13" s="145">
        <v>5.80</v>
      </c>
      <c r="K13" s="144">
        <v>5008</v>
      </c>
      <c r="L13" s="183">
        <v>297</v>
      </c>
      <c r="M13" s="183">
        <v>1.50</v>
      </c>
      <c r="N13" s="183">
        <f t="shared" si="0"/>
        <v>445.50</v>
      </c>
    </row>
    <row r="14" spans="1:14" s="183" customFormat="1" ht="15.75">
      <c r="A14" s="144">
        <v>1949</v>
      </c>
      <c r="B14" s="144" t="s">
        <v>1378</v>
      </c>
      <c r="C14" s="144" t="s">
        <v>1043</v>
      </c>
      <c r="D14" s="144" t="s">
        <v>315</v>
      </c>
      <c r="E14" s="144" t="s">
        <v>316</v>
      </c>
      <c r="F14" s="144" t="s">
        <v>1165</v>
      </c>
      <c r="G14" s="144" t="s">
        <v>306</v>
      </c>
      <c r="H14" s="144" t="s">
        <v>317</v>
      </c>
      <c r="I14" s="144">
        <v>238</v>
      </c>
      <c r="J14" s="145">
        <v>4.49</v>
      </c>
      <c r="K14" s="144">
        <v>5008</v>
      </c>
      <c r="L14" s="183">
        <v>271</v>
      </c>
      <c r="M14" s="183">
        <v>1.50</v>
      </c>
      <c r="N14" s="183">
        <f t="shared" si="0"/>
        <v>406.50</v>
      </c>
    </row>
    <row r="15" spans="1:14" s="183" customFormat="1" ht="15.75">
      <c r="A15" s="144">
        <v>1950</v>
      </c>
      <c r="B15" s="144" t="s">
        <v>1379</v>
      </c>
      <c r="C15" s="144" t="s">
        <v>1043</v>
      </c>
      <c r="D15" s="144" t="s">
        <v>327</v>
      </c>
      <c r="E15" s="144" t="s">
        <v>328</v>
      </c>
      <c r="F15" s="144" t="s">
        <v>1168</v>
      </c>
      <c r="G15" s="144" t="s">
        <v>306</v>
      </c>
      <c r="H15" s="144" t="s">
        <v>329</v>
      </c>
      <c r="I15" s="144">
        <v>239</v>
      </c>
      <c r="J15" s="145">
        <v>42.66</v>
      </c>
      <c r="K15" s="144" t="s">
        <v>1362</v>
      </c>
      <c r="L15" s="183">
        <v>118.63</v>
      </c>
      <c r="M15" s="183">
        <v>3</v>
      </c>
      <c r="N15" s="183">
        <f t="shared" si="0"/>
        <v>355.89</v>
      </c>
    </row>
    <row r="16" spans="1:14" s="183" customFormat="1" ht="15.75">
      <c r="A16" s="144">
        <v>1951</v>
      </c>
      <c r="B16" s="144" t="s">
        <v>1380</v>
      </c>
      <c r="C16" s="144" t="s">
        <v>1043</v>
      </c>
      <c r="D16" s="144" t="s">
        <v>304</v>
      </c>
      <c r="E16" s="144" t="s">
        <v>305</v>
      </c>
      <c r="F16" s="144" t="s">
        <v>1161</v>
      </c>
      <c r="G16" s="144" t="s">
        <v>306</v>
      </c>
      <c r="H16" s="144" t="s">
        <v>286</v>
      </c>
      <c r="I16" s="144">
        <v>240</v>
      </c>
      <c r="J16" s="145">
        <v>10.76</v>
      </c>
      <c r="K16" s="144" t="s">
        <v>1362</v>
      </c>
      <c r="L16" s="183">
        <v>100</v>
      </c>
      <c r="M16" s="183">
        <v>1</v>
      </c>
      <c r="N16" s="183">
        <f t="shared" si="0"/>
        <v>100</v>
      </c>
    </row>
    <row r="17" spans="1:20" s="184" customFormat="1" ht="15.75">
      <c r="A17" s="144">
        <v>1952</v>
      </c>
      <c r="B17" s="144" t="s">
        <v>1381</v>
      </c>
      <c r="C17" s="144" t="s">
        <v>1733</v>
      </c>
      <c r="D17" s="144" t="s">
        <v>242</v>
      </c>
      <c r="E17" s="144" t="s">
        <v>243</v>
      </c>
      <c r="F17" s="144" t="s">
        <v>1134</v>
      </c>
      <c r="G17" s="144" t="s">
        <v>240</v>
      </c>
      <c r="H17" s="144" t="s">
        <v>241</v>
      </c>
      <c r="I17" s="144">
        <v>241</v>
      </c>
      <c r="J17" s="145">
        <v>1.55</v>
      </c>
      <c r="K17" s="144">
        <v>7800</v>
      </c>
      <c r="L17" s="183">
        <v>21</v>
      </c>
      <c r="M17" s="183">
        <v>2</v>
      </c>
      <c r="N17" s="183">
        <f t="shared" si="0"/>
        <v>42</v>
      </c>
      <c r="O17" s="183"/>
      <c r="P17" s="183"/>
      <c r="Q17" s="183"/>
      <c r="R17" s="183"/>
      <c r="S17" s="183"/>
      <c r="T17" s="183"/>
    </row>
  </sheetData>
  <autoFilter ref="B1:N17"/>
  <sortState ref="D2:N17">
    <sortCondition descending="1" sortBy="value" ref="N2:N17"/>
  </sortState>
  <conditionalFormatting sqref="F2:F17">
    <cfRule type="duplicateValues" priority="35" dxfId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D032F9-F95E-4660-93AF-AC853132C989}">
  <dimension ref="A1:D81"/>
  <sheetViews>
    <sheetView workbookViewId="0" topLeftCell="A46">
      <selection pane="topLeft" activeCell="H29" sqref="H29"/>
    </sheetView>
  </sheetViews>
  <sheetFormatPr defaultRowHeight="15.75"/>
  <cols>
    <col min="2" max="2" width="52.7142857142857" style="123" customWidth="1"/>
    <col min="3" max="3" width="10.1428571428571" style="130" bestFit="1" customWidth="1"/>
    <col min="4" max="4" width="11" style="130" bestFit="1" customWidth="1"/>
  </cols>
  <sheetData>
    <row r="1" spans="1:4" s="121" customFormat="1" ht="15.75">
      <c r="A1" s="121" t="s">
        <v>1785</v>
      </c>
      <c r="B1" s="122" t="s">
        <v>1803</v>
      </c>
      <c r="C1" s="122" t="s">
        <v>1804</v>
      </c>
      <c r="D1" s="122"/>
    </row>
    <row r="3" spans="1:4" ht="15.75">
      <c r="A3" s="125">
        <v>88</v>
      </c>
      <c r="B3" s="125" t="s">
        <v>6</v>
      </c>
      <c r="C3" s="125" t="s">
        <v>1822</v>
      </c>
      <c r="D3" s="125"/>
    </row>
    <row r="4" spans="1:4" ht="15.75">
      <c r="A4" s="125">
        <v>89</v>
      </c>
      <c r="B4" s="124" t="s">
        <v>10</v>
      </c>
      <c r="C4" s="125" t="s">
        <v>1823</v>
      </c>
      <c r="D4" s="125"/>
    </row>
    <row r="5" spans="1:4" ht="15.75">
      <c r="A5" s="125"/>
      <c r="B5" s="125" t="s">
        <v>17</v>
      </c>
      <c r="C5" s="125"/>
      <c r="D5" s="125"/>
    </row>
    <row r="6" spans="1:4" ht="15.75">
      <c r="A6" s="125">
        <v>90</v>
      </c>
      <c r="B6" s="125" t="s">
        <v>25</v>
      </c>
      <c r="C6" s="125" t="s">
        <v>1806</v>
      </c>
      <c r="D6" s="125"/>
    </row>
    <row r="7" spans="1:4" ht="15.75">
      <c r="A7" s="125">
        <v>91</v>
      </c>
      <c r="B7" s="125" t="s">
        <v>31</v>
      </c>
      <c r="C7" s="125" t="s">
        <v>1807</v>
      </c>
      <c r="D7" s="125"/>
    </row>
    <row r="8" spans="1:4" ht="15.75">
      <c r="A8" s="125">
        <v>92</v>
      </c>
      <c r="B8" s="125" t="s">
        <v>41</v>
      </c>
      <c r="C8" s="125" t="s">
        <v>1818</v>
      </c>
      <c r="D8" s="125"/>
    </row>
    <row r="9" spans="1:4" ht="15.75">
      <c r="A9" s="125">
        <v>93</v>
      </c>
      <c r="B9" s="125" t="s">
        <v>116</v>
      </c>
      <c r="C9" s="125">
        <v>366001</v>
      </c>
      <c r="D9" s="125"/>
    </row>
    <row r="10" spans="1:4" ht="15.75">
      <c r="A10" s="125">
        <v>166</v>
      </c>
      <c r="B10" s="125" t="s">
        <v>138</v>
      </c>
      <c r="C10" s="125" t="s">
        <v>1808</v>
      </c>
      <c r="D10" s="125" t="s">
        <v>1886</v>
      </c>
    </row>
    <row r="11" spans="1:4" ht="15.75">
      <c r="A11" s="125">
        <v>95</v>
      </c>
      <c r="B11" s="125" t="s">
        <v>148</v>
      </c>
      <c r="C11" s="125" t="s">
        <v>1819</v>
      </c>
      <c r="D11" s="125"/>
    </row>
    <row r="12" spans="1:4" ht="15.75">
      <c r="A12" s="125">
        <v>96</v>
      </c>
      <c r="B12" s="126" t="s">
        <v>161</v>
      </c>
      <c r="C12" s="125" t="s">
        <v>1820</v>
      </c>
      <c r="D12" s="125"/>
    </row>
    <row r="13" spans="1:4" ht="15.75">
      <c r="A13" s="125">
        <v>97</v>
      </c>
      <c r="B13" s="125" t="s">
        <v>164</v>
      </c>
      <c r="C13" s="125" t="s">
        <v>1821</v>
      </c>
      <c r="D13" s="125"/>
    </row>
    <row r="14" spans="1:4" ht="15.75">
      <c r="A14" s="125">
        <v>98</v>
      </c>
      <c r="B14" s="125" t="s">
        <v>171</v>
      </c>
      <c r="C14" s="125" t="s">
        <v>1809</v>
      </c>
      <c r="D14" s="125"/>
    </row>
    <row r="15" spans="1:4" ht="15.75">
      <c r="A15" s="125">
        <v>99</v>
      </c>
      <c r="B15" s="125" t="s">
        <v>200</v>
      </c>
      <c r="C15" s="125" t="s">
        <v>1826</v>
      </c>
      <c r="D15" s="125"/>
    </row>
    <row r="16" spans="1:4" ht="15.75">
      <c r="A16" s="125">
        <v>100</v>
      </c>
      <c r="B16" s="125" t="s">
        <v>204</v>
      </c>
      <c r="C16" s="125" t="s">
        <v>1810</v>
      </c>
      <c r="D16" s="125"/>
    </row>
    <row r="17" spans="1:4" ht="15.75">
      <c r="A17" s="125">
        <v>165</v>
      </c>
      <c r="B17" s="125" t="s">
        <v>208</v>
      </c>
      <c r="C17" s="125" t="s">
        <v>1829</v>
      </c>
      <c r="D17" s="125" t="s">
        <v>1885</v>
      </c>
    </row>
    <row r="18" spans="1:4" ht="15.75">
      <c r="A18" s="125">
        <v>101</v>
      </c>
      <c r="B18" s="125" t="s">
        <v>217</v>
      </c>
      <c r="C18" s="125" t="s">
        <v>1811</v>
      </c>
      <c r="D18" s="125"/>
    </row>
    <row r="19" spans="1:4" ht="15.75">
      <c r="A19" s="125">
        <v>102</v>
      </c>
      <c r="B19" s="125" t="s">
        <v>221</v>
      </c>
      <c r="C19" s="125" t="s">
        <v>1827</v>
      </c>
      <c r="D19" s="125"/>
    </row>
    <row r="20" spans="1:4" ht="15.75">
      <c r="A20" s="125">
        <v>103</v>
      </c>
      <c r="B20" s="125" t="s">
        <v>227</v>
      </c>
      <c r="C20" s="125" t="s">
        <v>1812</v>
      </c>
      <c r="D20" s="125"/>
    </row>
    <row r="21" spans="1:4" ht="15.75">
      <c r="A21" s="125">
        <v>104</v>
      </c>
      <c r="B21" s="125" t="s">
        <v>233</v>
      </c>
      <c r="C21" s="125" t="s">
        <v>1813</v>
      </c>
      <c r="D21" s="125"/>
    </row>
    <row r="22" spans="1:4" ht="15.75">
      <c r="A22" s="125">
        <v>105</v>
      </c>
      <c r="B22" s="125" t="s">
        <v>237</v>
      </c>
      <c r="C22" s="125" t="s">
        <v>1881</v>
      </c>
      <c r="D22" s="125" t="s">
        <v>1882</v>
      </c>
    </row>
    <row r="23" spans="1:4" ht="15.75">
      <c r="A23" s="125">
        <v>106</v>
      </c>
      <c r="B23" s="125" t="s">
        <v>240</v>
      </c>
      <c r="C23" s="125" t="s">
        <v>1830</v>
      </c>
      <c r="D23" s="125"/>
    </row>
    <row r="24" spans="1:4" ht="15.75">
      <c r="A24" s="125">
        <v>107</v>
      </c>
      <c r="B24" s="125" t="s">
        <v>255</v>
      </c>
      <c r="C24" s="125" t="s">
        <v>1814</v>
      </c>
      <c r="D24" s="125"/>
    </row>
    <row r="25" spans="1:4" ht="15.75">
      <c r="A25" s="125">
        <v>108</v>
      </c>
      <c r="B25" s="125" t="s">
        <v>282</v>
      </c>
      <c r="C25" s="125" t="s">
        <v>1815</v>
      </c>
      <c r="D25" s="125"/>
    </row>
    <row r="26" spans="1:4" ht="15.75">
      <c r="A26" s="125">
        <v>109</v>
      </c>
      <c r="B26" s="126" t="s">
        <v>293</v>
      </c>
      <c r="C26" s="125" t="s">
        <v>1828</v>
      </c>
      <c r="D26" s="125"/>
    </row>
    <row r="27" spans="1:4" ht="15.75">
      <c r="A27" s="125">
        <v>110</v>
      </c>
      <c r="B27" s="127" t="s">
        <v>296</v>
      </c>
      <c r="C27" s="125" t="s">
        <v>1824</v>
      </c>
      <c r="D27" s="125"/>
    </row>
    <row r="28" spans="1:4" ht="15.75">
      <c r="A28" s="125">
        <v>111</v>
      </c>
      <c r="B28" s="127" t="s">
        <v>300</v>
      </c>
      <c r="C28" s="125" t="s">
        <v>1816</v>
      </c>
      <c r="D28" s="125" t="s">
        <v>1883</v>
      </c>
    </row>
    <row r="29" spans="1:4" ht="15.75">
      <c r="A29" s="125">
        <v>112</v>
      </c>
      <c r="B29" s="125" t="s">
        <v>306</v>
      </c>
      <c r="C29" s="125" t="s">
        <v>1831</v>
      </c>
      <c r="D29" s="125"/>
    </row>
    <row r="30" spans="1:4" ht="15.75">
      <c r="A30" s="125">
        <v>113</v>
      </c>
      <c r="B30" s="125" t="s">
        <v>335</v>
      </c>
      <c r="C30" s="125" t="s">
        <v>1832</v>
      </c>
      <c r="D30" s="125"/>
    </row>
    <row r="31" spans="1:4" ht="15.75">
      <c r="A31" s="125">
        <v>114</v>
      </c>
      <c r="B31" s="125" t="s">
        <v>342</v>
      </c>
      <c r="C31" s="125" t="s">
        <v>1817</v>
      </c>
      <c r="D31" s="125"/>
    </row>
    <row r="32" spans="1:4" ht="15.75">
      <c r="A32" s="125">
        <v>115</v>
      </c>
      <c r="B32" s="125" t="s">
        <v>352</v>
      </c>
      <c r="C32" s="125" t="s">
        <v>1825</v>
      </c>
      <c r="D32" s="125"/>
    </row>
    <row r="33" spans="1:4" ht="15.75">
      <c r="A33" s="125">
        <v>116</v>
      </c>
      <c r="B33" s="125" t="s">
        <v>355</v>
      </c>
      <c r="C33" s="125" t="s">
        <v>1833</v>
      </c>
      <c r="D33" s="125"/>
    </row>
    <row r="34" spans="1:4" ht="15.75">
      <c r="A34" s="125">
        <v>117</v>
      </c>
      <c r="B34" s="125" t="s">
        <v>361</v>
      </c>
      <c r="C34" s="125" t="s">
        <v>1834</v>
      </c>
      <c r="D34" s="125"/>
    </row>
    <row r="35" spans="1:4" ht="15.75">
      <c r="A35" s="125">
        <v>118</v>
      </c>
      <c r="B35" s="125" t="s">
        <v>364</v>
      </c>
      <c r="C35" s="125" t="s">
        <v>1835</v>
      </c>
      <c r="D35" s="125"/>
    </row>
    <row r="36" spans="1:4" ht="15.75">
      <c r="A36" s="125">
        <v>119</v>
      </c>
      <c r="B36" s="125" t="s">
        <v>469</v>
      </c>
      <c r="C36" s="125" t="s">
        <v>1836</v>
      </c>
      <c r="D36" s="125"/>
    </row>
    <row r="37" spans="1:4" ht="15.75">
      <c r="A37" s="125">
        <v>120</v>
      </c>
      <c r="B37" s="127" t="s">
        <v>480</v>
      </c>
      <c r="C37" s="125" t="s">
        <v>1837</v>
      </c>
      <c r="D37" s="125"/>
    </row>
    <row r="38" spans="1:4" ht="15.75">
      <c r="A38" s="125">
        <v>121</v>
      </c>
      <c r="B38" s="125" t="s">
        <v>484</v>
      </c>
      <c r="C38" s="125" t="s">
        <v>1838</v>
      </c>
      <c r="D38" s="125"/>
    </row>
    <row r="39" spans="1:4" ht="15.75">
      <c r="A39" s="125">
        <v>122</v>
      </c>
      <c r="B39" s="127" t="s">
        <v>491</v>
      </c>
      <c r="C39" s="125" t="s">
        <v>1839</v>
      </c>
      <c r="D39" s="125"/>
    </row>
    <row r="40" spans="1:4" ht="15.75">
      <c r="A40" s="125">
        <v>123</v>
      </c>
      <c r="B40" s="125" t="s">
        <v>494</v>
      </c>
      <c r="C40" s="125" t="s">
        <v>1840</v>
      </c>
      <c r="D40" s="125"/>
    </row>
    <row r="41" spans="1:4" ht="15.75">
      <c r="A41" s="125">
        <v>124</v>
      </c>
      <c r="B41" s="128" t="s">
        <v>506</v>
      </c>
      <c r="C41" s="125" t="s">
        <v>1841</v>
      </c>
      <c r="D41" s="125"/>
    </row>
    <row r="42" spans="1:4" ht="15.75">
      <c r="A42" s="125">
        <v>125</v>
      </c>
      <c r="B42" s="125" t="s">
        <v>509</v>
      </c>
      <c r="C42" s="125" t="s">
        <v>1842</v>
      </c>
      <c r="D42" s="125"/>
    </row>
    <row r="43" spans="1:4" ht="15.75">
      <c r="A43" s="125">
        <v>126</v>
      </c>
      <c r="B43" s="125" t="s">
        <v>513</v>
      </c>
      <c r="C43" s="125" t="s">
        <v>1843</v>
      </c>
      <c r="D43" s="125"/>
    </row>
    <row r="44" spans="1:4" ht="15.75">
      <c r="A44" s="125">
        <v>127</v>
      </c>
      <c r="B44" s="125" t="s">
        <v>518</v>
      </c>
      <c r="C44" s="125" t="s">
        <v>1844</v>
      </c>
      <c r="D44" s="125"/>
    </row>
    <row r="45" spans="1:4" ht="15.75">
      <c r="A45" s="125">
        <v>128</v>
      </c>
      <c r="B45" s="127" t="s">
        <v>525</v>
      </c>
      <c r="C45" s="125" t="s">
        <v>1845</v>
      </c>
      <c r="D45" s="125"/>
    </row>
    <row r="46" spans="1:4" ht="15.75">
      <c r="A46" s="125">
        <v>129</v>
      </c>
      <c r="B46" s="125" t="s">
        <v>532</v>
      </c>
      <c r="C46" s="125" t="s">
        <v>1846</v>
      </c>
      <c r="D46" s="125"/>
    </row>
    <row r="47" spans="1:4" ht="15.75">
      <c r="A47" s="125">
        <v>130</v>
      </c>
      <c r="B47" s="125" t="s">
        <v>542</v>
      </c>
      <c r="C47" s="125" t="s">
        <v>1805</v>
      </c>
      <c r="D47" s="125"/>
    </row>
    <row r="48" spans="1:4" ht="15.75">
      <c r="A48" s="125">
        <v>131</v>
      </c>
      <c r="B48" s="125" t="s">
        <v>565</v>
      </c>
      <c r="C48" s="125" t="s">
        <v>1847</v>
      </c>
      <c r="D48" s="125"/>
    </row>
    <row r="49" spans="1:4" ht="15.75">
      <c r="A49" s="125">
        <v>132</v>
      </c>
      <c r="B49" s="129" t="s">
        <v>568</v>
      </c>
      <c r="C49" s="125" t="s">
        <v>1863</v>
      </c>
      <c r="D49" s="125"/>
    </row>
    <row r="50" spans="1:4" ht="15.75">
      <c r="A50" s="125">
        <v>133</v>
      </c>
      <c r="B50" s="125" t="s">
        <v>588</v>
      </c>
      <c r="C50" s="125" t="s">
        <v>1864</v>
      </c>
      <c r="D50" s="125"/>
    </row>
    <row r="51" spans="1:4" ht="15.75">
      <c r="A51" s="125">
        <v>134</v>
      </c>
      <c r="B51" s="125" t="s">
        <v>592</v>
      </c>
      <c r="C51" s="125" t="s">
        <v>1848</v>
      </c>
      <c r="D51" s="125" t="s">
        <v>1884</v>
      </c>
    </row>
    <row r="52" spans="1:4" ht="15.75">
      <c r="A52" s="125">
        <v>135</v>
      </c>
      <c r="B52" s="125" t="s">
        <v>599</v>
      </c>
      <c r="C52" s="125" t="s">
        <v>1865</v>
      </c>
      <c r="D52" s="125"/>
    </row>
    <row r="53" spans="1:4" ht="15.75">
      <c r="A53" s="125">
        <v>136</v>
      </c>
      <c r="B53" s="127" t="s">
        <v>609</v>
      </c>
      <c r="C53" s="125" t="s">
        <v>1866</v>
      </c>
      <c r="D53" s="125"/>
    </row>
    <row r="54" spans="1:4" ht="15.75">
      <c r="A54" s="125">
        <v>137</v>
      </c>
      <c r="B54" s="125" t="s">
        <v>613</v>
      </c>
      <c r="C54" s="125" t="s">
        <v>1849</v>
      </c>
      <c r="D54" s="125"/>
    </row>
    <row r="55" spans="1:4" ht="15.75">
      <c r="A55" s="125">
        <v>138</v>
      </c>
      <c r="B55" s="125" t="s">
        <v>617</v>
      </c>
      <c r="C55" s="125" t="s">
        <v>1867</v>
      </c>
      <c r="D55" s="125"/>
    </row>
    <row r="56" spans="1:4" ht="15.75">
      <c r="A56" s="125">
        <v>139</v>
      </c>
      <c r="B56" s="125" t="s">
        <v>649</v>
      </c>
      <c r="C56" s="125" t="s">
        <v>1868</v>
      </c>
      <c r="D56" s="125"/>
    </row>
    <row r="57" spans="1:4" ht="15.75">
      <c r="A57" s="125">
        <v>140</v>
      </c>
      <c r="B57" s="125" t="s">
        <v>653</v>
      </c>
      <c r="C57" s="125" t="s">
        <v>1850</v>
      </c>
      <c r="D57" s="125"/>
    </row>
    <row r="58" spans="1:4" ht="15.75">
      <c r="A58" s="125">
        <v>141</v>
      </c>
      <c r="B58" s="125" t="s">
        <v>660</v>
      </c>
      <c r="C58" s="125" t="s">
        <v>1851</v>
      </c>
      <c r="D58" s="125"/>
    </row>
    <row r="59" spans="1:4" ht="15.75">
      <c r="A59" s="125">
        <v>142</v>
      </c>
      <c r="B59" s="124" t="s">
        <v>669</v>
      </c>
      <c r="C59" s="125" t="s">
        <v>1869</v>
      </c>
      <c r="D59" s="125"/>
    </row>
    <row r="60" spans="1:4" ht="15.75">
      <c r="A60" s="125">
        <v>143</v>
      </c>
      <c r="B60" s="125" t="s">
        <v>673</v>
      </c>
      <c r="C60" s="125" t="s">
        <v>1870</v>
      </c>
      <c r="D60" s="125"/>
    </row>
    <row r="61" spans="1:4" ht="15.75">
      <c r="A61" s="125">
        <v>144</v>
      </c>
      <c r="B61" s="126" t="s">
        <v>676</v>
      </c>
      <c r="C61" s="125" t="s">
        <v>1871</v>
      </c>
      <c r="D61" s="125"/>
    </row>
    <row r="62" spans="1:4" ht="15.75">
      <c r="A62" s="125">
        <v>145</v>
      </c>
      <c r="B62" s="125" t="s">
        <v>685</v>
      </c>
      <c r="C62" s="125" t="s">
        <v>1852</v>
      </c>
      <c r="D62" s="125"/>
    </row>
    <row r="63" spans="1:4" ht="15.75">
      <c r="A63" s="125">
        <v>146</v>
      </c>
      <c r="B63" s="125" t="s">
        <v>688</v>
      </c>
      <c r="C63" s="125" t="s">
        <v>1853</v>
      </c>
      <c r="D63" s="125"/>
    </row>
    <row r="64" spans="1:4" ht="15.75">
      <c r="A64" s="125">
        <v>147</v>
      </c>
      <c r="B64" s="125" t="s">
        <v>692</v>
      </c>
      <c r="C64" s="125" t="s">
        <v>1854</v>
      </c>
      <c r="D64" s="125"/>
    </row>
    <row r="65" spans="1:4" ht="15.75">
      <c r="A65" s="125">
        <v>148</v>
      </c>
      <c r="B65" s="125" t="s">
        <v>701</v>
      </c>
      <c r="C65" s="125" t="s">
        <v>1855</v>
      </c>
      <c r="D65" s="125"/>
    </row>
    <row r="66" spans="1:4" ht="15.75">
      <c r="A66" s="125">
        <v>149</v>
      </c>
      <c r="B66" s="124" t="s">
        <v>724</v>
      </c>
      <c r="C66" s="125" t="s">
        <v>1856</v>
      </c>
      <c r="D66" s="125"/>
    </row>
    <row r="67" spans="1:4" ht="15.75">
      <c r="A67" s="125">
        <v>150</v>
      </c>
      <c r="B67" s="125" t="s">
        <v>731</v>
      </c>
      <c r="C67" s="125" t="s">
        <v>1872</v>
      </c>
      <c r="D67" s="125"/>
    </row>
    <row r="68" spans="1:4" ht="15.75">
      <c r="A68" s="125">
        <v>151</v>
      </c>
      <c r="B68" s="125" t="s">
        <v>738</v>
      </c>
      <c r="C68" s="125" t="s">
        <v>1873</v>
      </c>
      <c r="D68" s="125"/>
    </row>
    <row r="69" spans="1:4" ht="15.75">
      <c r="A69" s="125">
        <v>152</v>
      </c>
      <c r="B69" s="125" t="s">
        <v>763</v>
      </c>
      <c r="C69" s="125" t="s">
        <v>1874</v>
      </c>
      <c r="D69" s="125"/>
    </row>
    <row r="70" spans="1:4" ht="15.75">
      <c r="A70" s="125">
        <v>153</v>
      </c>
      <c r="B70" s="125" t="s">
        <v>778</v>
      </c>
      <c r="C70" s="125" t="s">
        <v>1857</v>
      </c>
      <c r="D70" s="125"/>
    </row>
    <row r="71" spans="1:4" ht="15.75">
      <c r="A71" s="125">
        <v>154</v>
      </c>
      <c r="B71" s="125" t="s">
        <v>855</v>
      </c>
      <c r="C71" s="125" t="s">
        <v>1875</v>
      </c>
      <c r="D71" s="125"/>
    </row>
    <row r="72" spans="1:4" ht="15.75">
      <c r="A72" s="125">
        <v>155</v>
      </c>
      <c r="B72" s="127" t="s">
        <v>893</v>
      </c>
      <c r="C72" s="125" t="s">
        <v>1876</v>
      </c>
      <c r="D72" s="125"/>
    </row>
    <row r="73" spans="1:4" ht="15.75">
      <c r="A73" s="125">
        <v>156</v>
      </c>
      <c r="B73" s="125" t="s">
        <v>897</v>
      </c>
      <c r="C73" s="125" t="s">
        <v>1858</v>
      </c>
      <c r="D73" s="125"/>
    </row>
    <row r="74" spans="1:4" ht="15.75">
      <c r="A74" s="125">
        <v>157</v>
      </c>
      <c r="B74" s="125" t="s">
        <v>906</v>
      </c>
      <c r="C74" s="125" t="s">
        <v>1877</v>
      </c>
      <c r="D74" s="125"/>
    </row>
    <row r="75" spans="1:4" ht="15.75">
      <c r="A75" s="125">
        <v>158</v>
      </c>
      <c r="B75" s="125" t="s">
        <v>909</v>
      </c>
      <c r="C75" s="125" t="s">
        <v>1859</v>
      </c>
      <c r="D75" s="125"/>
    </row>
    <row r="76" spans="1:4" ht="15.75">
      <c r="A76" s="125">
        <v>159</v>
      </c>
      <c r="B76" s="128" t="s">
        <v>913</v>
      </c>
      <c r="C76" s="125" t="s">
        <v>1878</v>
      </c>
      <c r="D76" s="125"/>
    </row>
    <row r="77" spans="1:4" ht="15.75">
      <c r="A77" s="125">
        <v>160</v>
      </c>
      <c r="B77" s="125" t="s">
        <v>917</v>
      </c>
      <c r="C77" s="125" t="s">
        <v>1860</v>
      </c>
      <c r="D77" s="125"/>
    </row>
    <row r="78" spans="1:4" ht="15.75">
      <c r="A78" s="125">
        <v>161</v>
      </c>
      <c r="B78" s="125" t="s">
        <v>998</v>
      </c>
      <c r="C78" s="125" t="s">
        <v>1879</v>
      </c>
      <c r="D78" s="125"/>
    </row>
    <row r="79" spans="1:4" ht="15.75">
      <c r="A79" s="125">
        <v>162</v>
      </c>
      <c r="B79" s="125" t="s">
        <v>1014</v>
      </c>
      <c r="C79" s="125" t="s">
        <v>1861</v>
      </c>
      <c r="D79" s="125"/>
    </row>
    <row r="80" spans="1:4" ht="15.75">
      <c r="A80" s="125">
        <v>163</v>
      </c>
      <c r="B80" s="125" t="s">
        <v>1022</v>
      </c>
      <c r="C80" s="125" t="s">
        <v>1862</v>
      </c>
      <c r="D80" s="125"/>
    </row>
    <row r="81" spans="1:4" ht="15.75">
      <c r="A81" s="125">
        <v>164</v>
      </c>
      <c r="B81" s="125" t="s">
        <v>1025</v>
      </c>
      <c r="C81" s="125" t="s">
        <v>1880</v>
      </c>
      <c r="D81" s="125"/>
    </row>
  </sheetData>
  <hyperlinks>
    <hyperlink ref="B41" r:id="rId1" tooltip="View company" display="J. S. BAILEY LIMITED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0052B5-DC32-40E5-9499-F141F4961AAE}">
  <dimension ref="B2:I478"/>
  <sheetViews>
    <sheetView tabSelected="1" workbookViewId="0" topLeftCell="A1">
      <selection pane="topLeft" activeCell="D48" sqref="D48"/>
    </sheetView>
  </sheetViews>
  <sheetFormatPr defaultRowHeight="15"/>
  <cols>
    <col min="2" max="2" width="16.5714285714286" bestFit="1" customWidth="1"/>
    <col min="3" max="3" width="56" customWidth="1"/>
    <col min="4" max="4" width="53.8571428571429" customWidth="1"/>
    <col min="5" max="5" width="48.1428571428571" customWidth="1"/>
    <col min="6" max="6" width="16.2857142857143" customWidth="1"/>
    <col min="7" max="8" width="13.4285714285714" customWidth="1"/>
    <col min="9" max="9" width="27.7142857142857" bestFit="1" customWidth="1"/>
  </cols>
  <sheetData>
    <row r="2" spans="2:9" ht="15">
      <c r="B2" s="6" t="s">
        <v>0</v>
      </c>
      <c r="C2" s="7" t="s">
        <v>1</v>
      </c>
      <c r="D2" s="8" t="s">
        <v>1060</v>
      </c>
      <c r="E2" s="6" t="s">
        <v>2</v>
      </c>
      <c r="F2" s="6" t="s">
        <v>3</v>
      </c>
      <c r="G2" s="9" t="s">
        <v>1026</v>
      </c>
      <c r="H2" s="9"/>
      <c r="I2" s="9" t="s">
        <v>1027</v>
      </c>
    </row>
    <row r="3" spans="2:9" ht="15" hidden="1">
      <c r="B3" s="10"/>
      <c r="C3" s="11"/>
      <c r="D3" s="11"/>
      <c r="E3" s="10"/>
      <c r="F3" s="10"/>
      <c r="G3" s="4"/>
      <c r="H3" s="4"/>
      <c r="I3" s="4">
        <v>0</v>
      </c>
    </row>
    <row r="4" spans="2:9" ht="15" hidden="1">
      <c r="B4" s="12" t="s">
        <v>4</v>
      </c>
      <c r="C4" s="4" t="s">
        <v>5</v>
      </c>
      <c r="D4" s="4" t="s">
        <v>1356</v>
      </c>
      <c r="E4" s="13" t="s">
        <v>6</v>
      </c>
      <c r="F4" s="14" t="s">
        <v>7</v>
      </c>
      <c r="G4" s="4">
        <v>0</v>
      </c>
      <c r="H4" s="4">
        <v>0</v>
      </c>
      <c r="I4" s="4" t="s">
        <v>1028</v>
      </c>
    </row>
    <row r="5" spans="2:9" ht="15" hidden="1">
      <c r="B5" s="15"/>
      <c r="C5" s="15"/>
      <c r="D5" s="15"/>
      <c r="E5" s="15"/>
      <c r="F5" s="15"/>
      <c r="G5" s="4">
        <v>0</v>
      </c>
      <c r="H5" s="4">
        <v>0</v>
      </c>
      <c r="I5" s="4" t="s">
        <v>1029</v>
      </c>
    </row>
    <row r="6" spans="2:9" ht="15" hidden="1">
      <c r="B6" s="1" t="s">
        <v>8</v>
      </c>
      <c r="C6" s="2" t="s">
        <v>9</v>
      </c>
      <c r="D6" s="2" t="s">
        <v>1061</v>
      </c>
      <c r="E6" s="3" t="s">
        <v>10</v>
      </c>
      <c r="F6" s="3" t="s">
        <v>11</v>
      </c>
      <c r="G6" s="4">
        <v>0</v>
      </c>
      <c r="H6" s="4">
        <v>745</v>
      </c>
      <c r="I6" s="4" t="s">
        <v>1029</v>
      </c>
    </row>
    <row r="7" spans="2:9" ht="15" hidden="1">
      <c r="B7" s="1" t="s">
        <v>12</v>
      </c>
      <c r="C7" s="16" t="s">
        <v>13</v>
      </c>
      <c r="D7" s="17" t="s">
        <v>1062</v>
      </c>
      <c r="E7" s="3" t="s">
        <v>10</v>
      </c>
      <c r="F7" s="18" t="s">
        <v>14</v>
      </c>
      <c r="G7" s="4" t="s">
        <v>1515</v>
      </c>
      <c r="H7" s="4">
        <v>0</v>
      </c>
      <c r="I7" s="4" t="s">
        <v>1029</v>
      </c>
    </row>
    <row r="8" spans="2:9" ht="15" hidden="1">
      <c r="B8" s="15"/>
      <c r="C8" s="19"/>
      <c r="D8" s="19"/>
      <c r="E8" s="20"/>
      <c r="F8" s="20"/>
      <c r="G8" s="4">
        <v>0</v>
      </c>
      <c r="H8" s="4">
        <v>0</v>
      </c>
      <c r="I8" s="4">
        <v>0</v>
      </c>
    </row>
    <row r="9" spans="2:9" ht="15" hidden="1">
      <c r="B9" s="21" t="s">
        <v>15</v>
      </c>
      <c r="C9" s="22" t="s">
        <v>16</v>
      </c>
      <c r="D9" s="22" t="s">
        <v>1152</v>
      </c>
      <c r="E9" s="23" t="s">
        <v>17</v>
      </c>
      <c r="F9" s="23" t="s">
        <v>18</v>
      </c>
      <c r="G9" s="4" t="s">
        <v>1533</v>
      </c>
      <c r="H9" s="4">
        <v>1438</v>
      </c>
      <c r="I9" s="4" t="s">
        <v>1041</v>
      </c>
    </row>
    <row r="10" spans="2:9" ht="15" hidden="1">
      <c r="B10" s="21" t="s">
        <v>19</v>
      </c>
      <c r="C10" s="22" t="s">
        <v>20</v>
      </c>
      <c r="D10" s="22" t="s">
        <v>20</v>
      </c>
      <c r="E10" s="23" t="s">
        <v>17</v>
      </c>
      <c r="F10" s="23" t="s">
        <v>21</v>
      </c>
      <c r="G10" s="4" t="s">
        <v>1391</v>
      </c>
      <c r="H10" s="4">
        <v>7</v>
      </c>
      <c r="I10" s="4" t="s">
        <v>1042</v>
      </c>
    </row>
    <row r="11" spans="2:9" ht="15" hidden="1">
      <c r="B11" s="21"/>
      <c r="C11" s="22" t="s">
        <v>22</v>
      </c>
      <c r="D11" s="98" t="s">
        <v>1032</v>
      </c>
      <c r="E11" s="23" t="s">
        <v>17</v>
      </c>
      <c r="F11" s="23"/>
      <c r="G11" s="4">
        <v>0</v>
      </c>
      <c r="H11" s="4">
        <v>0</v>
      </c>
      <c r="I11" s="4" t="s">
        <v>1042</v>
      </c>
    </row>
    <row r="12" spans="2:9" ht="15" hidden="1">
      <c r="B12" s="24"/>
      <c r="C12" s="25"/>
      <c r="D12" s="25"/>
      <c r="E12" s="26"/>
      <c r="F12" s="27"/>
      <c r="G12" s="4">
        <v>0</v>
      </c>
      <c r="H12" s="4">
        <v>0</v>
      </c>
      <c r="I12" s="4">
        <v>0</v>
      </c>
    </row>
    <row r="13" spans="2:9" ht="15" hidden="1">
      <c r="B13" s="21" t="s">
        <v>23</v>
      </c>
      <c r="C13" s="22" t="s">
        <v>24</v>
      </c>
      <c r="D13" s="22" t="s">
        <v>1150</v>
      </c>
      <c r="E13" s="23" t="s">
        <v>25</v>
      </c>
      <c r="F13" s="23" t="s">
        <v>21</v>
      </c>
      <c r="G13" s="4" t="s">
        <v>1539</v>
      </c>
      <c r="H13" s="4">
        <v>80</v>
      </c>
      <c r="I13" s="4" t="s">
        <v>1042</v>
      </c>
    </row>
    <row r="14" spans="2:9" ht="15" hidden="1">
      <c r="B14" s="21" t="s">
        <v>26</v>
      </c>
      <c r="C14" s="22" t="s">
        <v>27</v>
      </c>
      <c r="D14" s="22" t="s">
        <v>1151</v>
      </c>
      <c r="E14" s="23" t="s">
        <v>25</v>
      </c>
      <c r="F14" s="23" t="s">
        <v>28</v>
      </c>
      <c r="G14" s="4" t="s">
        <v>1540</v>
      </c>
      <c r="H14" s="4">
        <v>30</v>
      </c>
      <c r="I14" s="4" t="s">
        <v>1042</v>
      </c>
    </row>
    <row r="15" spans="2:9" ht="15" hidden="1">
      <c r="B15" s="28"/>
      <c r="C15" s="29"/>
      <c r="D15" s="29"/>
      <c r="E15" s="26"/>
      <c r="F15" s="26"/>
      <c r="G15" s="4">
        <v>0</v>
      </c>
      <c r="H15" s="4">
        <v>0</v>
      </c>
      <c r="I15" s="4">
        <v>0</v>
      </c>
    </row>
    <row r="16" spans="2:9" ht="15" hidden="1">
      <c r="B16" s="30" t="s">
        <v>29</v>
      </c>
      <c r="C16" s="31" t="s">
        <v>30</v>
      </c>
      <c r="D16" s="31" t="s">
        <v>1146</v>
      </c>
      <c r="E16" s="32" t="s">
        <v>31</v>
      </c>
      <c r="F16" s="32" t="s">
        <v>21</v>
      </c>
      <c r="G16" s="4" t="s">
        <v>1391</v>
      </c>
      <c r="H16" s="4">
        <v>0</v>
      </c>
      <c r="I16" s="4" t="s">
        <v>1058</v>
      </c>
    </row>
    <row r="17" spans="2:9" ht="15" hidden="1">
      <c r="B17" s="30" t="s">
        <v>32</v>
      </c>
      <c r="C17" s="31" t="s">
        <v>33</v>
      </c>
      <c r="D17" s="31" t="s">
        <v>1147</v>
      </c>
      <c r="E17" s="32" t="s">
        <v>31</v>
      </c>
      <c r="F17" s="32" t="s">
        <v>21</v>
      </c>
      <c r="G17" s="4" t="s">
        <v>1392</v>
      </c>
      <c r="H17" s="4">
        <v>26</v>
      </c>
      <c r="I17" s="4" t="s">
        <v>1059</v>
      </c>
    </row>
    <row r="18" spans="2:9" ht="15" hidden="1">
      <c r="B18" s="30" t="s">
        <v>34</v>
      </c>
      <c r="C18" s="31" t="s">
        <v>35</v>
      </c>
      <c r="D18" s="31" t="s">
        <v>1148</v>
      </c>
      <c r="E18" s="32" t="s">
        <v>31</v>
      </c>
      <c r="F18" s="32" t="s">
        <v>36</v>
      </c>
      <c r="G18" s="4" t="s">
        <v>1393</v>
      </c>
      <c r="H18" s="4">
        <v>3</v>
      </c>
      <c r="I18" s="4" t="s">
        <v>1059</v>
      </c>
    </row>
    <row r="19" spans="2:9" ht="15" hidden="1">
      <c r="B19" s="30" t="s">
        <v>37</v>
      </c>
      <c r="C19" s="31" t="s">
        <v>38</v>
      </c>
      <c r="D19" s="31" t="s">
        <v>1149</v>
      </c>
      <c r="E19" s="32" t="s">
        <v>31</v>
      </c>
      <c r="F19" s="32" t="s">
        <v>36</v>
      </c>
      <c r="G19" s="4">
        <v>0</v>
      </c>
      <c r="H19" s="4">
        <v>0</v>
      </c>
      <c r="I19" s="4" t="s">
        <v>1042</v>
      </c>
    </row>
    <row r="20" spans="2:9" ht="15" hidden="1">
      <c r="B20" s="24"/>
      <c r="C20" s="25"/>
      <c r="D20" s="25"/>
      <c r="E20" s="27"/>
      <c r="F20" s="27"/>
      <c r="G20" s="4">
        <v>0</v>
      </c>
      <c r="H20" s="4">
        <v>0</v>
      </c>
      <c r="I20" s="4">
        <v>0</v>
      </c>
    </row>
    <row r="21" spans="2:9" ht="15">
      <c r="B21" s="21" t="s">
        <v>39</v>
      </c>
      <c r="C21" s="22" t="s">
        <v>40</v>
      </c>
      <c r="D21" s="22" t="s">
        <v>1063</v>
      </c>
      <c r="E21" s="23" t="s">
        <v>41</v>
      </c>
      <c r="F21" s="23" t="s">
        <v>42</v>
      </c>
      <c r="G21" s="4" t="s">
        <v>1665</v>
      </c>
      <c r="H21" s="4">
        <v>11687</v>
      </c>
      <c r="I21" s="4" t="s">
        <v>1035</v>
      </c>
    </row>
    <row r="22" spans="2:9" ht="15">
      <c r="B22" s="21" t="s">
        <v>43</v>
      </c>
      <c r="C22" s="22" t="s">
        <v>44</v>
      </c>
      <c r="D22" s="22" t="s">
        <v>1064</v>
      </c>
      <c r="E22" s="23" t="s">
        <v>41</v>
      </c>
      <c r="F22" s="23" t="s">
        <v>45</v>
      </c>
      <c r="G22" s="4" t="s">
        <v>1559</v>
      </c>
      <c r="H22" s="4">
        <v>140</v>
      </c>
      <c r="I22" s="4" t="s">
        <v>1035</v>
      </c>
    </row>
    <row r="23" spans="2:9" ht="15">
      <c r="B23" s="21" t="s">
        <v>46</v>
      </c>
      <c r="C23" s="22" t="s">
        <v>47</v>
      </c>
      <c r="D23" s="22" t="s">
        <v>1065</v>
      </c>
      <c r="E23" s="23" t="s">
        <v>41</v>
      </c>
      <c r="F23" s="23" t="s">
        <v>42</v>
      </c>
      <c r="G23" s="4" t="s">
        <v>1560</v>
      </c>
      <c r="H23" s="4">
        <v>15</v>
      </c>
      <c r="I23" s="4" t="s">
        <v>1035</v>
      </c>
    </row>
    <row r="24" spans="2:9" ht="15">
      <c r="B24" s="21" t="s">
        <v>48</v>
      </c>
      <c r="C24" s="22" t="s">
        <v>49</v>
      </c>
      <c r="D24" s="22" t="s">
        <v>1085</v>
      </c>
      <c r="E24" s="23" t="s">
        <v>41</v>
      </c>
      <c r="F24" s="23" t="s">
        <v>42</v>
      </c>
      <c r="G24" s="4" t="s">
        <v>1535</v>
      </c>
      <c r="H24" s="4">
        <v>50</v>
      </c>
      <c r="I24" s="4" t="s">
        <v>1035</v>
      </c>
    </row>
    <row r="25" spans="2:9" ht="15">
      <c r="B25" s="21" t="s">
        <v>50</v>
      </c>
      <c r="C25" s="22" t="s">
        <v>51</v>
      </c>
      <c r="D25" s="22" t="s">
        <v>1066</v>
      </c>
      <c r="E25" s="23" t="s">
        <v>41</v>
      </c>
      <c r="F25" s="23" t="s">
        <v>42</v>
      </c>
      <c r="G25" s="4" t="s">
        <v>1554</v>
      </c>
      <c r="H25" s="4">
        <v>140</v>
      </c>
      <c r="I25" s="4" t="s">
        <v>1035</v>
      </c>
    </row>
    <row r="26" spans="2:9" ht="15">
      <c r="B26" s="21" t="s">
        <v>52</v>
      </c>
      <c r="C26" s="22" t="s">
        <v>53</v>
      </c>
      <c r="D26" s="22" t="s">
        <v>1067</v>
      </c>
      <c r="E26" s="23" t="s">
        <v>41</v>
      </c>
      <c r="F26" s="23" t="s">
        <v>42</v>
      </c>
      <c r="G26" s="4" t="s">
        <v>1554</v>
      </c>
      <c r="H26" s="4">
        <v>345</v>
      </c>
      <c r="I26" s="4" t="s">
        <v>1035</v>
      </c>
    </row>
    <row r="27" spans="2:9" ht="15">
      <c r="B27" s="21" t="s">
        <v>54</v>
      </c>
      <c r="C27" s="22" t="s">
        <v>55</v>
      </c>
      <c r="D27" s="22" t="s">
        <v>1068</v>
      </c>
      <c r="E27" s="23" t="s">
        <v>41</v>
      </c>
      <c r="F27" s="23" t="s">
        <v>42</v>
      </c>
      <c r="G27" s="4">
        <v>0</v>
      </c>
      <c r="H27" s="4">
        <v>40</v>
      </c>
      <c r="I27" s="4" t="s">
        <v>1035</v>
      </c>
    </row>
    <row r="28" spans="2:9" ht="15">
      <c r="B28" s="21" t="s">
        <v>56</v>
      </c>
      <c r="C28" s="22" t="s">
        <v>57</v>
      </c>
      <c r="D28" s="22" t="s">
        <v>1069</v>
      </c>
      <c r="E28" s="23" t="s">
        <v>41</v>
      </c>
      <c r="F28" s="23" t="s">
        <v>42</v>
      </c>
      <c r="G28" s="4" t="s">
        <v>1558</v>
      </c>
      <c r="H28" s="4">
        <v>200</v>
      </c>
      <c r="I28" s="4" t="s">
        <v>1035</v>
      </c>
    </row>
    <row r="29" spans="2:9" ht="15">
      <c r="B29" s="21" t="s">
        <v>58</v>
      </c>
      <c r="C29" s="22" t="s">
        <v>59</v>
      </c>
      <c r="D29" s="22" t="s">
        <v>1070</v>
      </c>
      <c r="E29" s="23" t="s">
        <v>41</v>
      </c>
      <c r="F29" s="23" t="s">
        <v>42</v>
      </c>
      <c r="G29" s="4" t="s">
        <v>1560</v>
      </c>
      <c r="H29" s="4">
        <v>297</v>
      </c>
      <c r="I29" s="4" t="s">
        <v>1035</v>
      </c>
    </row>
    <row r="30" spans="2:9" ht="15">
      <c r="B30" s="21" t="s">
        <v>60</v>
      </c>
      <c r="C30" s="22" t="s">
        <v>61</v>
      </c>
      <c r="D30" s="22" t="s">
        <v>1071</v>
      </c>
      <c r="E30" s="23" t="s">
        <v>41</v>
      </c>
      <c r="F30" s="23" t="s">
        <v>42</v>
      </c>
      <c r="G30" s="4" t="s">
        <v>1666</v>
      </c>
      <c r="H30" s="4">
        <v>170</v>
      </c>
      <c r="I30" s="4" t="s">
        <v>1035</v>
      </c>
    </row>
    <row r="31" spans="2:9" ht="15">
      <c r="B31" s="21" t="s">
        <v>62</v>
      </c>
      <c r="C31" s="22" t="s">
        <v>63</v>
      </c>
      <c r="D31" s="22" t="s">
        <v>1072</v>
      </c>
      <c r="E31" s="23" t="s">
        <v>41</v>
      </c>
      <c r="F31" s="23" t="s">
        <v>42</v>
      </c>
      <c r="G31" s="4" t="s">
        <v>1535</v>
      </c>
      <c r="H31" s="4">
        <v>70</v>
      </c>
      <c r="I31" s="4" t="s">
        <v>1035</v>
      </c>
    </row>
    <row r="32" spans="2:9" ht="15">
      <c r="B32" s="21" t="s">
        <v>64</v>
      </c>
      <c r="C32" s="22" t="s">
        <v>65</v>
      </c>
      <c r="D32" s="22" t="s">
        <v>1073</v>
      </c>
      <c r="E32" s="23" t="s">
        <v>41</v>
      </c>
      <c r="F32" s="23" t="s">
        <v>42</v>
      </c>
      <c r="G32" s="4" t="s">
        <v>1544</v>
      </c>
      <c r="H32" s="4">
        <v>211</v>
      </c>
      <c r="I32" s="4" t="s">
        <v>1035</v>
      </c>
    </row>
    <row r="33" spans="2:9" ht="15">
      <c r="B33" s="21" t="s">
        <v>66</v>
      </c>
      <c r="C33" s="22" t="s">
        <v>67</v>
      </c>
      <c r="D33" s="22" t="s">
        <v>1074</v>
      </c>
      <c r="E33" s="23" t="s">
        <v>41</v>
      </c>
      <c r="F33" s="23" t="s">
        <v>42</v>
      </c>
      <c r="G33" s="4" t="s">
        <v>1560</v>
      </c>
      <c r="H33" s="4">
        <v>90</v>
      </c>
      <c r="I33" s="4" t="s">
        <v>1035</v>
      </c>
    </row>
    <row r="34" spans="2:9" ht="15">
      <c r="B34" s="21" t="s">
        <v>68</v>
      </c>
      <c r="C34" s="22" t="s">
        <v>69</v>
      </c>
      <c r="D34" s="22" t="s">
        <v>1075</v>
      </c>
      <c r="E34" s="23" t="s">
        <v>41</v>
      </c>
      <c r="F34" s="23" t="s">
        <v>45</v>
      </c>
      <c r="G34" s="4" t="s">
        <v>1558</v>
      </c>
      <c r="H34" s="4">
        <v>0</v>
      </c>
      <c r="I34" s="4" t="s">
        <v>1035</v>
      </c>
    </row>
    <row r="35" spans="2:9" ht="15">
      <c r="B35" s="21" t="s">
        <v>70</v>
      </c>
      <c r="C35" s="22" t="s">
        <v>71</v>
      </c>
      <c r="D35" s="22" t="s">
        <v>1076</v>
      </c>
      <c r="E35" s="23" t="s">
        <v>41</v>
      </c>
      <c r="F35" s="23" t="s">
        <v>42</v>
      </c>
      <c r="G35" s="4" t="s">
        <v>1554</v>
      </c>
      <c r="H35" s="4">
        <v>192</v>
      </c>
      <c r="I35" s="4" t="s">
        <v>1035</v>
      </c>
    </row>
    <row r="36" spans="2:9" ht="15">
      <c r="B36" s="21" t="s">
        <v>72</v>
      </c>
      <c r="C36" s="33" t="s">
        <v>73</v>
      </c>
      <c r="D36" s="33" t="s">
        <v>1077</v>
      </c>
      <c r="E36" s="23" t="s">
        <v>41</v>
      </c>
      <c r="F36" s="23" t="s">
        <v>42</v>
      </c>
      <c r="G36" s="4" t="s">
        <v>1551</v>
      </c>
      <c r="H36" s="4">
        <v>840</v>
      </c>
      <c r="I36" s="4" t="s">
        <v>1035</v>
      </c>
    </row>
    <row r="37" spans="2:9" ht="15">
      <c r="B37" s="21" t="s">
        <v>74</v>
      </c>
      <c r="C37" s="33" t="s">
        <v>75</v>
      </c>
      <c r="D37" s="33" t="s">
        <v>1078</v>
      </c>
      <c r="E37" s="23" t="s">
        <v>41</v>
      </c>
      <c r="F37" s="23" t="s">
        <v>42</v>
      </c>
      <c r="G37" s="4" t="s">
        <v>1667</v>
      </c>
      <c r="H37" s="4">
        <v>165</v>
      </c>
      <c r="I37" s="4" t="s">
        <v>1035</v>
      </c>
    </row>
    <row r="38" spans="2:9" ht="15">
      <c r="B38" s="21" t="s">
        <v>76</v>
      </c>
      <c r="C38" s="33" t="s">
        <v>77</v>
      </c>
      <c r="D38" s="33" t="s">
        <v>1079</v>
      </c>
      <c r="E38" s="23" t="s">
        <v>41</v>
      </c>
      <c r="F38" s="23" t="s">
        <v>42</v>
      </c>
      <c r="G38" s="4" t="s">
        <v>1668</v>
      </c>
      <c r="H38" s="4">
        <v>11</v>
      </c>
      <c r="I38" s="4" t="s">
        <v>1035</v>
      </c>
    </row>
    <row r="39" spans="2:9" ht="15">
      <c r="B39" s="21" t="s">
        <v>78</v>
      </c>
      <c r="C39" s="33" t="s">
        <v>79</v>
      </c>
      <c r="D39" s="33" t="s">
        <v>1080</v>
      </c>
      <c r="E39" s="23" t="s">
        <v>41</v>
      </c>
      <c r="F39" s="23" t="s">
        <v>42</v>
      </c>
      <c r="G39" s="4" t="s">
        <v>1560</v>
      </c>
      <c r="H39" s="4">
        <v>0</v>
      </c>
      <c r="I39" s="4" t="s">
        <v>1035</v>
      </c>
    </row>
    <row r="40" spans="2:9" ht="15">
      <c r="B40" s="21" t="s">
        <v>80</v>
      </c>
      <c r="C40" s="33" t="s">
        <v>81</v>
      </c>
      <c r="D40" s="33" t="s">
        <v>1081</v>
      </c>
      <c r="E40" s="23" t="s">
        <v>41</v>
      </c>
      <c r="F40" s="23" t="s">
        <v>42</v>
      </c>
      <c r="G40" s="4" t="s">
        <v>1556</v>
      </c>
      <c r="H40" s="4">
        <v>70</v>
      </c>
      <c r="I40" s="4" t="s">
        <v>1035</v>
      </c>
    </row>
    <row r="41" spans="2:9" ht="15">
      <c r="B41" s="21" t="s">
        <v>82</v>
      </c>
      <c r="C41" s="33" t="s">
        <v>83</v>
      </c>
      <c r="D41" s="33" t="s">
        <v>1082</v>
      </c>
      <c r="E41" s="23" t="s">
        <v>41</v>
      </c>
      <c r="F41" s="23" t="s">
        <v>42</v>
      </c>
      <c r="G41" s="4" t="s">
        <v>1554</v>
      </c>
      <c r="H41" s="4">
        <v>1111</v>
      </c>
      <c r="I41" s="4" t="s">
        <v>1035</v>
      </c>
    </row>
    <row r="42" spans="2:9" ht="15">
      <c r="B42" s="21" t="s">
        <v>84</v>
      </c>
      <c r="C42" s="33" t="s">
        <v>85</v>
      </c>
      <c r="D42" s="33" t="s">
        <v>1083</v>
      </c>
      <c r="E42" s="23" t="s">
        <v>41</v>
      </c>
      <c r="F42" s="23" t="s">
        <v>42</v>
      </c>
      <c r="G42" s="4" t="s">
        <v>1557</v>
      </c>
      <c r="H42" s="4">
        <v>884</v>
      </c>
      <c r="I42" s="4" t="s">
        <v>1035</v>
      </c>
    </row>
    <row r="43" spans="2:9" ht="15">
      <c r="B43" s="21" t="s">
        <v>86</v>
      </c>
      <c r="C43" s="33" t="s">
        <v>87</v>
      </c>
      <c r="D43" s="33" t="s">
        <v>1084</v>
      </c>
      <c r="E43" s="23" t="s">
        <v>41</v>
      </c>
      <c r="F43" s="23" t="s">
        <v>42</v>
      </c>
      <c r="G43" s="4" t="s">
        <v>1669</v>
      </c>
      <c r="H43" s="4">
        <v>25</v>
      </c>
      <c r="I43" s="4" t="s">
        <v>1035</v>
      </c>
    </row>
    <row r="44" spans="2:9" ht="15">
      <c r="B44" s="21" t="s">
        <v>88</v>
      </c>
      <c r="C44" s="21" t="s">
        <v>89</v>
      </c>
      <c r="D44" s="21" t="s">
        <v>1086</v>
      </c>
      <c r="E44" s="23" t="s">
        <v>41</v>
      </c>
      <c r="F44" s="23" t="s">
        <v>42</v>
      </c>
      <c r="G44" s="4" t="s">
        <v>1552</v>
      </c>
      <c r="H44" s="4">
        <v>1421</v>
      </c>
      <c r="I44" s="4" t="s">
        <v>1035</v>
      </c>
    </row>
    <row r="45" spans="2:9" ht="15">
      <c r="B45" s="21" t="s">
        <v>90</v>
      </c>
      <c r="C45" s="21" t="s">
        <v>91</v>
      </c>
      <c r="D45" s="21" t="s">
        <v>1087</v>
      </c>
      <c r="E45" s="23" t="s">
        <v>41</v>
      </c>
      <c r="F45" s="23" t="s">
        <v>42</v>
      </c>
      <c r="G45" s="4" t="s">
        <v>1670</v>
      </c>
      <c r="H45" s="4">
        <v>452</v>
      </c>
      <c r="I45" s="4" t="s">
        <v>1035</v>
      </c>
    </row>
    <row r="46" spans="2:9" ht="15">
      <c r="B46" s="21" t="s">
        <v>92</v>
      </c>
      <c r="C46" s="21" t="s">
        <v>93</v>
      </c>
      <c r="D46" s="21" t="s">
        <v>1088</v>
      </c>
      <c r="E46" s="23" t="s">
        <v>41</v>
      </c>
      <c r="F46" s="23" t="s">
        <v>42</v>
      </c>
      <c r="G46" s="4">
        <v>0</v>
      </c>
      <c r="H46" s="4">
        <v>70</v>
      </c>
      <c r="I46" s="4" t="s">
        <v>1035</v>
      </c>
    </row>
    <row r="47" spans="2:9" ht="15">
      <c r="B47" s="21" t="s">
        <v>94</v>
      </c>
      <c r="C47" s="21" t="s">
        <v>95</v>
      </c>
      <c r="D47" s="21" t="s">
        <v>1089</v>
      </c>
      <c r="E47" s="23" t="s">
        <v>41</v>
      </c>
      <c r="F47" s="23" t="s">
        <v>42</v>
      </c>
      <c r="G47" s="4" t="s">
        <v>1671</v>
      </c>
      <c r="H47" s="4">
        <v>60</v>
      </c>
      <c r="I47" s="4" t="s">
        <v>1035</v>
      </c>
    </row>
    <row r="48" spans="2:9" ht="15">
      <c r="B48" s="21" t="s">
        <v>96</v>
      </c>
      <c r="C48" s="34" t="s">
        <v>97</v>
      </c>
      <c r="D48" s="35" t="s">
        <v>1090</v>
      </c>
      <c r="E48" s="23" t="s">
        <v>41</v>
      </c>
      <c r="F48" s="23" t="s">
        <v>42</v>
      </c>
      <c r="G48" s="4">
        <v>0</v>
      </c>
      <c r="H48" s="4">
        <v>50</v>
      </c>
      <c r="I48" s="4" t="s">
        <v>1035</v>
      </c>
    </row>
    <row r="49" spans="2:9" ht="15">
      <c r="B49" s="21" t="s">
        <v>98</v>
      </c>
      <c r="C49" s="35" t="s">
        <v>99</v>
      </c>
      <c r="D49" s="35" t="s">
        <v>1091</v>
      </c>
      <c r="E49" s="23" t="s">
        <v>41</v>
      </c>
      <c r="F49" s="23" t="s">
        <v>42</v>
      </c>
      <c r="G49" s="4" t="s">
        <v>1403</v>
      </c>
      <c r="H49" s="4">
        <v>3450</v>
      </c>
      <c r="I49" s="4" t="s">
        <v>1035</v>
      </c>
    </row>
    <row r="50" spans="2:9" ht="15">
      <c r="B50" s="21" t="s">
        <v>100</v>
      </c>
      <c r="C50" s="35" t="s">
        <v>101</v>
      </c>
      <c r="D50" s="35" t="s">
        <v>1092</v>
      </c>
      <c r="E50" s="23" t="s">
        <v>41</v>
      </c>
      <c r="F50" s="23" t="s">
        <v>42</v>
      </c>
      <c r="G50" s="4">
        <v>0</v>
      </c>
      <c r="H50" s="4">
        <v>236</v>
      </c>
      <c r="I50" s="4" t="s">
        <v>1035</v>
      </c>
    </row>
    <row r="51" spans="2:9" ht="15">
      <c r="B51" s="21" t="s">
        <v>102</v>
      </c>
      <c r="C51" s="35" t="s">
        <v>103</v>
      </c>
      <c r="D51" s="35" t="s">
        <v>1082</v>
      </c>
      <c r="E51" s="23" t="s">
        <v>41</v>
      </c>
      <c r="F51" s="23" t="s">
        <v>104</v>
      </c>
      <c r="G51" s="4">
        <v>0</v>
      </c>
      <c r="H51" s="4">
        <v>340</v>
      </c>
      <c r="I51" s="4" t="s">
        <v>1035</v>
      </c>
    </row>
    <row r="52" spans="2:9" ht="15">
      <c r="B52" s="21" t="s">
        <v>105</v>
      </c>
      <c r="C52" s="36" t="s">
        <v>106</v>
      </c>
      <c r="D52" s="36" t="s">
        <v>1093</v>
      </c>
      <c r="E52" s="23" t="s">
        <v>41</v>
      </c>
      <c r="F52" s="23" t="s">
        <v>107</v>
      </c>
      <c r="G52" s="4">
        <v>0</v>
      </c>
      <c r="H52" s="4">
        <v>30</v>
      </c>
      <c r="I52" s="4" t="s">
        <v>1035</v>
      </c>
    </row>
    <row r="53" spans="2:9" ht="15.75" thickBot="1">
      <c r="B53" s="21" t="s">
        <v>108</v>
      </c>
      <c r="C53" s="37" t="s">
        <v>109</v>
      </c>
      <c r="D53" s="36" t="s">
        <v>1094</v>
      </c>
      <c r="E53" s="23" t="s">
        <v>41</v>
      </c>
      <c r="F53" s="23" t="s">
        <v>107</v>
      </c>
      <c r="G53" s="4">
        <v>0</v>
      </c>
      <c r="H53" s="4">
        <v>10</v>
      </c>
      <c r="I53" s="4" t="s">
        <v>1035</v>
      </c>
    </row>
    <row r="54" spans="2:9" ht="15">
      <c r="B54" s="21" t="s">
        <v>110</v>
      </c>
      <c r="C54" s="36" t="s">
        <v>111</v>
      </c>
      <c r="D54" s="36" t="s">
        <v>1095</v>
      </c>
      <c r="E54" s="23" t="s">
        <v>41</v>
      </c>
      <c r="F54" s="23" t="s">
        <v>107</v>
      </c>
      <c r="G54" s="4">
        <v>0</v>
      </c>
      <c r="H54" s="4">
        <v>5</v>
      </c>
      <c r="I54" s="4" t="s">
        <v>1035</v>
      </c>
    </row>
    <row r="55" spans="2:9" ht="15">
      <c r="B55" s="21" t="s">
        <v>112</v>
      </c>
      <c r="C55" s="34" t="s">
        <v>113</v>
      </c>
      <c r="D55" s="35" t="s">
        <v>1096</v>
      </c>
      <c r="E55" s="23" t="s">
        <v>41</v>
      </c>
      <c r="F55" s="23" t="s">
        <v>42</v>
      </c>
      <c r="G55" s="4">
        <v>0</v>
      </c>
      <c r="H55" s="4">
        <v>760</v>
      </c>
      <c r="I55" s="4" t="s">
        <v>1035</v>
      </c>
    </row>
    <row r="56" spans="2:9" ht="15" hidden="1">
      <c r="B56" s="38"/>
      <c r="C56" s="39"/>
      <c r="D56" s="39"/>
      <c r="E56" s="26"/>
      <c r="F56" s="40"/>
      <c r="G56" s="4">
        <v>0</v>
      </c>
      <c r="H56" s="4">
        <v>0</v>
      </c>
      <c r="I56" s="4">
        <v>0</v>
      </c>
    </row>
    <row r="57" spans="2:9" ht="15" hidden="1">
      <c r="B57" s="21" t="s">
        <v>114</v>
      </c>
      <c r="C57" s="22" t="s">
        <v>115</v>
      </c>
      <c r="D57" s="22" t="s">
        <v>1097</v>
      </c>
      <c r="E57" s="23" t="s">
        <v>116</v>
      </c>
      <c r="F57" s="23" t="s">
        <v>117</v>
      </c>
      <c r="G57" s="4" t="s">
        <v>2080</v>
      </c>
      <c r="H57" s="4">
        <v>6</v>
      </c>
      <c r="I57" s="4" t="s">
        <v>1044</v>
      </c>
    </row>
    <row r="58" spans="2:9" ht="15" hidden="1">
      <c r="B58" s="21" t="s">
        <v>118</v>
      </c>
      <c r="C58" s="22" t="s">
        <v>119</v>
      </c>
      <c r="D58" s="22" t="s">
        <v>1098</v>
      </c>
      <c r="E58" s="23" t="s">
        <v>116</v>
      </c>
      <c r="F58" s="23" t="s">
        <v>120</v>
      </c>
      <c r="G58" s="4" t="s">
        <v>1394</v>
      </c>
      <c r="H58" s="4">
        <v>6</v>
      </c>
      <c r="I58" s="4" t="s">
        <v>1058</v>
      </c>
    </row>
    <row r="59" spans="2:9" ht="15" hidden="1">
      <c r="B59" s="21" t="s">
        <v>121</v>
      </c>
      <c r="C59" s="22" t="s">
        <v>122</v>
      </c>
      <c r="D59" s="22" t="s">
        <v>1099</v>
      </c>
      <c r="E59" s="23" t="s">
        <v>116</v>
      </c>
      <c r="F59" s="23" t="s">
        <v>123</v>
      </c>
      <c r="G59" s="4">
        <v>0</v>
      </c>
      <c r="H59" s="4">
        <v>97</v>
      </c>
      <c r="I59" s="4" t="s">
        <v>1056</v>
      </c>
    </row>
    <row r="60" spans="2:9" ht="15" hidden="1">
      <c r="B60" s="21" t="s">
        <v>124</v>
      </c>
      <c r="C60" s="22" t="s">
        <v>125</v>
      </c>
      <c r="D60" s="22" t="s">
        <v>1100</v>
      </c>
      <c r="E60" s="23" t="s">
        <v>116</v>
      </c>
      <c r="F60" s="23" t="s">
        <v>126</v>
      </c>
      <c r="G60" s="4">
        <v>0</v>
      </c>
      <c r="H60" s="4">
        <v>55</v>
      </c>
      <c r="I60" s="4" t="s">
        <v>1037</v>
      </c>
    </row>
    <row r="61" spans="2:9" ht="15" hidden="1">
      <c r="B61" s="21" t="s">
        <v>127</v>
      </c>
      <c r="C61" s="22" t="s">
        <v>128</v>
      </c>
      <c r="D61" s="22" t="s">
        <v>1101</v>
      </c>
      <c r="E61" s="3" t="s">
        <v>116</v>
      </c>
      <c r="F61" s="23" t="s">
        <v>129</v>
      </c>
      <c r="G61" s="4" t="s">
        <v>1468</v>
      </c>
      <c r="H61" s="4">
        <v>13</v>
      </c>
      <c r="I61" s="4" t="s">
        <v>1044</v>
      </c>
    </row>
    <row r="62" spans="2:9" ht="15" hidden="1">
      <c r="B62" s="21" t="s">
        <v>130</v>
      </c>
      <c r="C62" s="36" t="s">
        <v>131</v>
      </c>
      <c r="D62" s="36" t="s">
        <v>1102</v>
      </c>
      <c r="E62" s="3" t="s">
        <v>116</v>
      </c>
      <c r="F62" s="36" t="s">
        <v>132</v>
      </c>
      <c r="G62" s="4">
        <v>0</v>
      </c>
      <c r="H62" s="4">
        <v>1</v>
      </c>
      <c r="I62" s="4" t="s">
        <v>1059</v>
      </c>
    </row>
    <row r="63" spans="2:9" ht="15.75" hidden="1" thickBot="1">
      <c r="B63" s="21" t="s">
        <v>133</v>
      </c>
      <c r="C63" s="37" t="s">
        <v>134</v>
      </c>
      <c r="D63" s="36" t="s">
        <v>1103</v>
      </c>
      <c r="E63" s="3" t="s">
        <v>116</v>
      </c>
      <c r="F63" s="37" t="s">
        <v>135</v>
      </c>
      <c r="G63" s="4">
        <v>0</v>
      </c>
      <c r="H63" s="4">
        <v>0</v>
      </c>
      <c r="I63" s="4" t="s">
        <v>1044</v>
      </c>
    </row>
    <row r="64" spans="2:9" ht="15" hidden="1">
      <c r="B64" s="28"/>
      <c r="C64" s="29"/>
      <c r="D64" s="29"/>
      <c r="E64" s="26"/>
      <c r="F64" s="26"/>
      <c r="G64" s="4">
        <v>0</v>
      </c>
      <c r="H64" s="4">
        <v>0</v>
      </c>
      <c r="I64" s="4">
        <v>0</v>
      </c>
    </row>
    <row r="65" spans="2:9" ht="15.75" thickBot="1">
      <c r="B65" s="30" t="s">
        <v>136</v>
      </c>
      <c r="C65" s="41" t="s">
        <v>137</v>
      </c>
      <c r="D65" s="41" t="s">
        <v>1104</v>
      </c>
      <c r="E65" s="32" t="s">
        <v>138</v>
      </c>
      <c r="F65" s="32" t="s">
        <v>42</v>
      </c>
      <c r="G65" s="4">
        <v>0</v>
      </c>
      <c r="H65" s="4">
        <v>0</v>
      </c>
      <c r="I65" s="4" t="s">
        <v>1035</v>
      </c>
    </row>
    <row r="66" spans="2:9" ht="15.75" thickBot="1">
      <c r="B66" s="30" t="s">
        <v>139</v>
      </c>
      <c r="C66" s="42" t="s">
        <v>140</v>
      </c>
      <c r="D66" s="43" t="s">
        <v>1105</v>
      </c>
      <c r="E66" s="32" t="s">
        <v>138</v>
      </c>
      <c r="F66" s="32" t="s">
        <v>141</v>
      </c>
      <c r="G66" s="4" t="s">
        <v>1668</v>
      </c>
      <c r="H66" s="4">
        <v>0</v>
      </c>
      <c r="I66" s="4" t="s">
        <v>1035</v>
      </c>
    </row>
    <row r="67" spans="2:9" ht="15">
      <c r="B67" s="30" t="s">
        <v>142</v>
      </c>
      <c r="C67" s="42" t="s">
        <v>143</v>
      </c>
      <c r="D67" s="43" t="s">
        <v>1106</v>
      </c>
      <c r="E67" s="32" t="s">
        <v>138</v>
      </c>
      <c r="F67" s="32" t="s">
        <v>42</v>
      </c>
      <c r="G67" s="4" t="s">
        <v>1668</v>
      </c>
      <c r="H67" s="4">
        <v>0</v>
      </c>
      <c r="I67" s="4" t="s">
        <v>1035</v>
      </c>
    </row>
    <row r="68" spans="2:9" ht="15">
      <c r="B68" s="30" t="s">
        <v>144</v>
      </c>
      <c r="C68" s="41" t="s">
        <v>145</v>
      </c>
      <c r="D68" s="97" t="s">
        <v>1032</v>
      </c>
      <c r="E68" s="32" t="s">
        <v>138</v>
      </c>
      <c r="F68" s="32" t="s">
        <v>42</v>
      </c>
      <c r="G68" s="4">
        <v>0</v>
      </c>
      <c r="H68" s="4">
        <v>0</v>
      </c>
      <c r="I68" s="4" t="s">
        <v>1035</v>
      </c>
    </row>
    <row r="69" spans="2:9" ht="15" hidden="1">
      <c r="B69" s="24"/>
      <c r="C69" s="44"/>
      <c r="D69" s="44"/>
      <c r="E69" s="27"/>
      <c r="F69" s="27"/>
      <c r="G69" s="4">
        <v>0</v>
      </c>
      <c r="H69" s="4">
        <v>0</v>
      </c>
      <c r="I69" s="4">
        <v>0</v>
      </c>
    </row>
    <row r="70" spans="2:9" ht="15" hidden="1">
      <c r="B70" s="21" t="s">
        <v>146</v>
      </c>
      <c r="C70" s="22" t="s">
        <v>147</v>
      </c>
      <c r="D70" s="22" t="s">
        <v>147</v>
      </c>
      <c r="E70" s="23" t="s">
        <v>148</v>
      </c>
      <c r="F70" s="23" t="s">
        <v>36</v>
      </c>
      <c r="G70" s="4">
        <v>0</v>
      </c>
      <c r="H70" s="4">
        <v>238</v>
      </c>
      <c r="I70" s="4" t="s">
        <v>1031</v>
      </c>
    </row>
    <row r="71" spans="2:9" ht="15" hidden="1">
      <c r="B71" s="21" t="s">
        <v>149</v>
      </c>
      <c r="C71" s="22" t="s">
        <v>150</v>
      </c>
      <c r="D71" s="22" t="s">
        <v>1107</v>
      </c>
      <c r="E71" s="23" t="s">
        <v>148</v>
      </c>
      <c r="F71" s="23" t="s">
        <v>36</v>
      </c>
      <c r="G71" s="4" t="s">
        <v>1534</v>
      </c>
      <c r="H71" s="4">
        <v>0</v>
      </c>
      <c r="I71" s="4" t="s">
        <v>1031</v>
      </c>
    </row>
    <row r="72" spans="2:9" ht="15" hidden="1">
      <c r="B72" s="21" t="s">
        <v>151</v>
      </c>
      <c r="C72" s="22" t="s">
        <v>152</v>
      </c>
      <c r="D72" s="22" t="s">
        <v>1108</v>
      </c>
      <c r="E72" s="23" t="s">
        <v>148</v>
      </c>
      <c r="F72" s="23" t="s">
        <v>36</v>
      </c>
      <c r="G72" s="4" t="s">
        <v>1534</v>
      </c>
      <c r="H72" s="4">
        <v>0</v>
      </c>
      <c r="I72" s="4" t="s">
        <v>1031</v>
      </c>
    </row>
    <row r="73" spans="2:9" ht="15" hidden="1">
      <c r="B73" s="21" t="s">
        <v>153</v>
      </c>
      <c r="C73" s="22" t="s">
        <v>154</v>
      </c>
      <c r="D73" s="22" t="s">
        <v>1109</v>
      </c>
      <c r="E73" s="23" t="s">
        <v>148</v>
      </c>
      <c r="F73" s="23" t="s">
        <v>36</v>
      </c>
      <c r="G73" s="4" t="s">
        <v>1534</v>
      </c>
      <c r="H73" s="4">
        <v>0</v>
      </c>
      <c r="I73" s="4" t="s">
        <v>1031</v>
      </c>
    </row>
    <row r="74" spans="2:9" ht="15" hidden="1">
      <c r="B74" s="21" t="s">
        <v>155</v>
      </c>
      <c r="C74" s="22" t="s">
        <v>156</v>
      </c>
      <c r="D74" s="22" t="s">
        <v>156</v>
      </c>
      <c r="E74" s="23" t="s">
        <v>148</v>
      </c>
      <c r="F74" s="23" t="s">
        <v>36</v>
      </c>
      <c r="G74" s="4" t="s">
        <v>1534</v>
      </c>
      <c r="H74" s="4">
        <v>0</v>
      </c>
      <c r="I74" s="4" t="s">
        <v>1031</v>
      </c>
    </row>
    <row r="75" spans="2:9" ht="15" hidden="1">
      <c r="B75" s="21" t="s">
        <v>157</v>
      </c>
      <c r="C75" s="22" t="s">
        <v>158</v>
      </c>
      <c r="D75" s="22" t="s">
        <v>1110</v>
      </c>
      <c r="E75" s="23" t="s">
        <v>148</v>
      </c>
      <c r="F75" s="23" t="s">
        <v>36</v>
      </c>
      <c r="G75" s="4" t="s">
        <v>1534</v>
      </c>
      <c r="H75" s="4">
        <v>131</v>
      </c>
      <c r="I75" s="4" t="s">
        <v>1031</v>
      </c>
    </row>
    <row r="76" spans="2:9" ht="15" hidden="1">
      <c r="B76" s="24"/>
      <c r="C76" s="44"/>
      <c r="D76" s="44"/>
      <c r="E76" s="27"/>
      <c r="F76" s="27"/>
      <c r="G76" s="4">
        <v>0</v>
      </c>
      <c r="H76" s="4">
        <v>0</v>
      </c>
      <c r="I76" s="4">
        <v>0</v>
      </c>
    </row>
    <row r="77" spans="2:9" ht="15" hidden="1">
      <c r="B77" s="30" t="s">
        <v>159</v>
      </c>
      <c r="C77" s="4" t="s">
        <v>160</v>
      </c>
      <c r="D77" s="4" t="s">
        <v>1111</v>
      </c>
      <c r="E77" s="45" t="s">
        <v>161</v>
      </c>
      <c r="F77" s="32" t="s">
        <v>141</v>
      </c>
      <c r="G77" s="4" t="s">
        <v>1469</v>
      </c>
      <c r="H77" s="4">
        <v>75</v>
      </c>
      <c r="I77" s="4" t="s">
        <v>1044</v>
      </c>
    </row>
    <row r="78" spans="2:9" ht="15" hidden="1">
      <c r="B78" s="24"/>
      <c r="C78" s="44"/>
      <c r="D78" s="44"/>
      <c r="E78" s="27"/>
      <c r="F78" s="27"/>
      <c r="G78" s="4">
        <v>0</v>
      </c>
      <c r="H78" s="4">
        <v>0</v>
      </c>
      <c r="I78" s="4">
        <v>0</v>
      </c>
    </row>
    <row r="79" spans="2:9" ht="15" hidden="1">
      <c r="B79" s="36" t="s">
        <v>162</v>
      </c>
      <c r="C79" s="36" t="s">
        <v>163</v>
      </c>
      <c r="D79" s="96" t="s">
        <v>1032</v>
      </c>
      <c r="E79" s="32" t="s">
        <v>164</v>
      </c>
      <c r="F79" s="46" t="s">
        <v>165</v>
      </c>
      <c r="G79" s="4">
        <v>0</v>
      </c>
      <c r="H79" s="4">
        <v>325</v>
      </c>
      <c r="I79" s="4" t="s">
        <v>1032</v>
      </c>
    </row>
    <row r="80" spans="2:9" ht="15.75" hidden="1" thickBot="1">
      <c r="B80" s="37" t="s">
        <v>166</v>
      </c>
      <c r="C80" s="37" t="s">
        <v>167</v>
      </c>
      <c r="D80" s="96" t="s">
        <v>1032</v>
      </c>
      <c r="E80" s="32" t="s">
        <v>164</v>
      </c>
      <c r="F80" s="46" t="s">
        <v>168</v>
      </c>
      <c r="G80" s="4">
        <v>0</v>
      </c>
      <c r="H80" s="4">
        <v>110</v>
      </c>
      <c r="I80" s="4" t="s">
        <v>1032</v>
      </c>
    </row>
    <row r="81" spans="2:9" ht="15" hidden="1">
      <c r="B81" s="24"/>
      <c r="C81" s="25"/>
      <c r="D81" s="25"/>
      <c r="E81" s="27"/>
      <c r="F81" s="27"/>
      <c r="G81" s="4">
        <v>0</v>
      </c>
      <c r="H81" s="4">
        <v>0</v>
      </c>
      <c r="I81" s="4">
        <v>0</v>
      </c>
    </row>
    <row r="82" spans="2:9" ht="15">
      <c r="B82" s="21" t="s">
        <v>169</v>
      </c>
      <c r="C82" s="22" t="s">
        <v>170</v>
      </c>
      <c r="D82" s="22" t="s">
        <v>1112</v>
      </c>
      <c r="E82" s="23" t="s">
        <v>171</v>
      </c>
      <c r="F82" s="23" t="s">
        <v>18</v>
      </c>
      <c r="G82" s="4" t="s">
        <v>1555</v>
      </c>
      <c r="H82" s="4">
        <v>316.6</v>
      </c>
      <c r="I82" s="4" t="s">
        <v>1035</v>
      </c>
    </row>
    <row r="83" spans="2:9" ht="15">
      <c r="B83" s="21" t="s">
        <v>172</v>
      </c>
      <c r="C83" s="22" t="s">
        <v>173</v>
      </c>
      <c r="D83" s="22" t="s">
        <v>1113</v>
      </c>
      <c r="E83" s="23" t="s">
        <v>171</v>
      </c>
      <c r="F83" s="23" t="s">
        <v>18</v>
      </c>
      <c r="G83" s="4" t="s">
        <v>1672</v>
      </c>
      <c r="H83" s="4">
        <v>16</v>
      </c>
      <c r="I83" s="4" t="s">
        <v>1035</v>
      </c>
    </row>
    <row r="84" spans="2:9" ht="15">
      <c r="B84" s="21" t="s">
        <v>174</v>
      </c>
      <c r="C84" s="22" t="s">
        <v>175</v>
      </c>
      <c r="D84" s="22" t="s">
        <v>1114</v>
      </c>
      <c r="E84" s="23" t="s">
        <v>171</v>
      </c>
      <c r="F84" s="23" t="s">
        <v>176</v>
      </c>
      <c r="G84" s="4" t="s">
        <v>1402</v>
      </c>
      <c r="H84" s="4">
        <v>8</v>
      </c>
      <c r="I84" s="4" t="s">
        <v>1035</v>
      </c>
    </row>
    <row r="85" spans="2:9" ht="15">
      <c r="B85" s="21" t="s">
        <v>177</v>
      </c>
      <c r="C85" s="22" t="s">
        <v>178</v>
      </c>
      <c r="D85" s="22" t="s">
        <v>1115</v>
      </c>
      <c r="E85" s="23" t="s">
        <v>171</v>
      </c>
      <c r="F85" s="23" t="s">
        <v>176</v>
      </c>
      <c r="G85" s="4" t="s">
        <v>1402</v>
      </c>
      <c r="H85" s="4">
        <v>0</v>
      </c>
      <c r="I85" s="4" t="s">
        <v>1035</v>
      </c>
    </row>
    <row r="86" spans="2:9" ht="15">
      <c r="B86" s="21" t="s">
        <v>179</v>
      </c>
      <c r="C86" s="22" t="s">
        <v>180</v>
      </c>
      <c r="D86" s="22" t="s">
        <v>1116</v>
      </c>
      <c r="E86" s="23" t="s">
        <v>171</v>
      </c>
      <c r="F86" s="23" t="s">
        <v>181</v>
      </c>
      <c r="G86" s="4" t="s">
        <v>1402</v>
      </c>
      <c r="H86" s="4">
        <v>2</v>
      </c>
      <c r="I86" s="4" t="s">
        <v>1035</v>
      </c>
    </row>
    <row r="87" spans="2:9" ht="15">
      <c r="B87" s="21" t="s">
        <v>182</v>
      </c>
      <c r="C87" s="22" t="s">
        <v>183</v>
      </c>
      <c r="D87" s="22" t="s">
        <v>1117</v>
      </c>
      <c r="E87" s="23" t="s">
        <v>171</v>
      </c>
      <c r="F87" s="23" t="s">
        <v>18</v>
      </c>
      <c r="G87" s="4" t="s">
        <v>1673</v>
      </c>
      <c r="H87" s="4">
        <v>2</v>
      </c>
      <c r="I87" s="4" t="s">
        <v>1035</v>
      </c>
    </row>
    <row r="88" spans="2:9" ht="15">
      <c r="B88" s="21" t="s">
        <v>184</v>
      </c>
      <c r="C88" s="21" t="s">
        <v>185</v>
      </c>
      <c r="D88" s="21" t="s">
        <v>1118</v>
      </c>
      <c r="E88" s="23" t="s">
        <v>171</v>
      </c>
      <c r="F88" s="23" t="s">
        <v>186</v>
      </c>
      <c r="G88" s="4" t="s">
        <v>1674</v>
      </c>
      <c r="H88" s="4">
        <v>22</v>
      </c>
      <c r="I88" s="4" t="s">
        <v>1035</v>
      </c>
    </row>
    <row r="89" spans="2:9" ht="15">
      <c r="B89" s="21" t="s">
        <v>187</v>
      </c>
      <c r="C89" s="47" t="s">
        <v>188</v>
      </c>
      <c r="D89" s="47" t="s">
        <v>1119</v>
      </c>
      <c r="E89" s="23" t="s">
        <v>171</v>
      </c>
      <c r="F89" s="23" t="s">
        <v>186</v>
      </c>
      <c r="G89" s="4" t="s">
        <v>1675</v>
      </c>
      <c r="H89" s="4">
        <v>9.32</v>
      </c>
      <c r="I89" s="4" t="s">
        <v>1035</v>
      </c>
    </row>
    <row r="90" spans="2:9" ht="15">
      <c r="B90" s="21" t="s">
        <v>189</v>
      </c>
      <c r="C90" s="47" t="s">
        <v>190</v>
      </c>
      <c r="D90" s="47" t="s">
        <v>1120</v>
      </c>
      <c r="E90" s="23" t="s">
        <v>171</v>
      </c>
      <c r="F90" s="23" t="s">
        <v>186</v>
      </c>
      <c r="G90" s="4" t="s">
        <v>1402</v>
      </c>
      <c r="H90" s="4">
        <v>0</v>
      </c>
      <c r="I90" s="4" t="s">
        <v>1035</v>
      </c>
    </row>
    <row r="91" spans="2:9" ht="15">
      <c r="B91" s="21" t="s">
        <v>191</v>
      </c>
      <c r="C91" s="47" t="s">
        <v>192</v>
      </c>
      <c r="D91" s="47" t="s">
        <v>1121</v>
      </c>
      <c r="E91" s="23" t="s">
        <v>171</v>
      </c>
      <c r="F91" s="23" t="s">
        <v>186</v>
      </c>
      <c r="G91" s="4" t="s">
        <v>1402</v>
      </c>
      <c r="H91" s="4">
        <v>0</v>
      </c>
      <c r="I91" s="4" t="s">
        <v>1035</v>
      </c>
    </row>
    <row r="92" spans="2:9" ht="15">
      <c r="B92" s="21" t="s">
        <v>193</v>
      </c>
      <c r="C92" s="47" t="s">
        <v>194</v>
      </c>
      <c r="D92" s="47" t="s">
        <v>1119</v>
      </c>
      <c r="E92" s="23" t="s">
        <v>171</v>
      </c>
      <c r="F92" s="23" t="s">
        <v>195</v>
      </c>
      <c r="G92" s="4">
        <v>0</v>
      </c>
      <c r="H92" s="4">
        <v>0</v>
      </c>
      <c r="I92" s="4" t="s">
        <v>1035</v>
      </c>
    </row>
    <row r="93" spans="2:9" ht="15">
      <c r="B93" s="21" t="s">
        <v>196</v>
      </c>
      <c r="C93" s="47" t="s">
        <v>197</v>
      </c>
      <c r="D93" s="47" t="s">
        <v>1122</v>
      </c>
      <c r="E93" s="23" t="s">
        <v>171</v>
      </c>
      <c r="F93" s="23" t="s">
        <v>186</v>
      </c>
      <c r="G93" s="4" t="s">
        <v>1402</v>
      </c>
      <c r="H93" s="4">
        <v>0</v>
      </c>
      <c r="I93" s="4" t="s">
        <v>1035</v>
      </c>
    </row>
    <row r="94" spans="2:9" ht="15" hidden="1">
      <c r="B94" s="28"/>
      <c r="C94" s="29"/>
      <c r="D94" s="29"/>
      <c r="E94" s="26"/>
      <c r="F94" s="26"/>
      <c r="G94" s="4">
        <v>0</v>
      </c>
      <c r="H94" s="4">
        <v>0</v>
      </c>
      <c r="I94" s="4">
        <v>0</v>
      </c>
    </row>
    <row r="95" spans="2:9" ht="15.75" hidden="1" thickBot="1">
      <c r="B95" s="21" t="s">
        <v>198</v>
      </c>
      <c r="C95" s="37" t="s">
        <v>199</v>
      </c>
      <c r="D95" s="36" t="s">
        <v>1123</v>
      </c>
      <c r="E95" s="23" t="s">
        <v>200</v>
      </c>
      <c r="F95" s="23" t="s">
        <v>201</v>
      </c>
      <c r="G95" s="4" t="s">
        <v>1383</v>
      </c>
      <c r="H95" s="4">
        <v>214</v>
      </c>
      <c r="I95" s="4" t="s">
        <v>1050</v>
      </c>
    </row>
    <row r="96" spans="2:9" ht="15" hidden="1">
      <c r="B96" s="28"/>
      <c r="C96" s="29"/>
      <c r="D96" s="29"/>
      <c r="E96" s="26"/>
      <c r="F96" s="26"/>
      <c r="G96" s="4">
        <v>0</v>
      </c>
      <c r="H96" s="4">
        <v>0</v>
      </c>
      <c r="I96" s="4">
        <v>0</v>
      </c>
    </row>
    <row r="97" spans="2:9" ht="15" hidden="1">
      <c r="B97" s="21" t="s">
        <v>202</v>
      </c>
      <c r="C97" s="22" t="s">
        <v>203</v>
      </c>
      <c r="D97" s="22" t="s">
        <v>1124</v>
      </c>
      <c r="E97" s="23" t="s">
        <v>204</v>
      </c>
      <c r="F97" s="23" t="s">
        <v>205</v>
      </c>
      <c r="G97" s="4" t="s">
        <v>1470</v>
      </c>
      <c r="H97" s="4">
        <v>1683</v>
      </c>
      <c r="I97" s="4" t="s">
        <v>1044</v>
      </c>
    </row>
    <row r="98" spans="2:9" ht="15" hidden="1">
      <c r="B98" s="28"/>
      <c r="C98" s="29"/>
      <c r="D98" s="29"/>
      <c r="E98" s="26"/>
      <c r="F98" s="26"/>
      <c r="G98" s="4">
        <v>0</v>
      </c>
      <c r="H98" s="4">
        <v>0</v>
      </c>
      <c r="I98" s="4">
        <v>0</v>
      </c>
    </row>
    <row r="99" spans="2:9" ht="15" hidden="1">
      <c r="B99" s="21" t="s">
        <v>206</v>
      </c>
      <c r="C99" s="22" t="s">
        <v>207</v>
      </c>
      <c r="D99" s="22" t="s">
        <v>1125</v>
      </c>
      <c r="E99" s="23" t="s">
        <v>208</v>
      </c>
      <c r="F99" s="23" t="s">
        <v>209</v>
      </c>
      <c r="G99" s="4" t="s">
        <v>1535</v>
      </c>
      <c r="H99" s="4">
        <v>0</v>
      </c>
      <c r="I99" s="4" t="s">
        <v>1031</v>
      </c>
    </row>
    <row r="100" spans="2:9" ht="15" hidden="1">
      <c r="B100" s="21" t="s">
        <v>210</v>
      </c>
      <c r="C100" s="22" t="s">
        <v>211</v>
      </c>
      <c r="D100" s="22" t="s">
        <v>1126</v>
      </c>
      <c r="E100" s="23" t="s">
        <v>208</v>
      </c>
      <c r="F100" s="23" t="s">
        <v>209</v>
      </c>
      <c r="G100" s="4" t="s">
        <v>1535</v>
      </c>
      <c r="H100" s="4">
        <v>63</v>
      </c>
      <c r="I100" s="4" t="s">
        <v>1031</v>
      </c>
    </row>
    <row r="101" spans="2:9" ht="15" hidden="1">
      <c r="B101" s="21" t="s">
        <v>212</v>
      </c>
      <c r="C101" s="22" t="s">
        <v>213</v>
      </c>
      <c r="D101" s="22" t="s">
        <v>1127</v>
      </c>
      <c r="E101" s="23" t="s">
        <v>208</v>
      </c>
      <c r="F101" s="23" t="s">
        <v>214</v>
      </c>
      <c r="G101" s="4">
        <v>0</v>
      </c>
      <c r="H101" s="4">
        <v>0</v>
      </c>
      <c r="I101" s="4" t="s">
        <v>1031</v>
      </c>
    </row>
    <row r="102" spans="2:9" ht="15" hidden="1">
      <c r="B102" s="28"/>
      <c r="C102" s="29"/>
      <c r="D102" s="29"/>
      <c r="E102" s="26"/>
      <c r="F102" s="26"/>
      <c r="G102" s="4">
        <v>0</v>
      </c>
      <c r="H102" s="4">
        <v>0</v>
      </c>
      <c r="I102" s="4">
        <v>0</v>
      </c>
    </row>
    <row r="103" spans="2:9" ht="15" hidden="1">
      <c r="B103" s="21" t="s">
        <v>215</v>
      </c>
      <c r="C103" s="22" t="s">
        <v>216</v>
      </c>
      <c r="D103" s="22" t="s">
        <v>1128</v>
      </c>
      <c r="E103" s="23" t="s">
        <v>217</v>
      </c>
      <c r="F103" s="23" t="s">
        <v>218</v>
      </c>
      <c r="G103" s="4" t="s">
        <v>1392</v>
      </c>
      <c r="H103" s="4">
        <v>125</v>
      </c>
      <c r="I103" s="4" t="s">
        <v>1042</v>
      </c>
    </row>
    <row r="104" spans="2:9" ht="15" hidden="1">
      <c r="B104" s="28"/>
      <c r="C104" s="28"/>
      <c r="D104" s="28"/>
      <c r="E104" s="26"/>
      <c r="F104" s="26"/>
      <c r="G104" s="4">
        <v>0</v>
      </c>
      <c r="H104" s="4">
        <v>0</v>
      </c>
      <c r="I104" s="4">
        <v>0</v>
      </c>
    </row>
    <row r="105" spans="2:9" ht="15" hidden="1">
      <c r="B105" s="21" t="s">
        <v>219</v>
      </c>
      <c r="C105" s="22" t="s">
        <v>220</v>
      </c>
      <c r="D105" s="22" t="s">
        <v>220</v>
      </c>
      <c r="E105" s="23" t="s">
        <v>221</v>
      </c>
      <c r="F105" s="23" t="s">
        <v>222</v>
      </c>
      <c r="G105" s="4" t="s">
        <v>1403</v>
      </c>
      <c r="H105" s="4">
        <v>1380</v>
      </c>
      <c r="I105" s="4" t="s">
        <v>1033</v>
      </c>
    </row>
    <row r="106" spans="2:9" ht="15" hidden="1">
      <c r="B106" s="21" t="s">
        <v>223</v>
      </c>
      <c r="C106" s="22" t="s">
        <v>224</v>
      </c>
      <c r="D106" s="22" t="s">
        <v>1129</v>
      </c>
      <c r="E106" s="23" t="s">
        <v>221</v>
      </c>
      <c r="F106" s="23" t="s">
        <v>222</v>
      </c>
      <c r="G106" s="4" t="s">
        <v>1403</v>
      </c>
      <c r="H106" s="4">
        <v>540</v>
      </c>
      <c r="I106" s="4" t="s">
        <v>1033</v>
      </c>
    </row>
    <row r="107" spans="2:9" ht="15" hidden="1">
      <c r="B107" s="28"/>
      <c r="C107" s="29"/>
      <c r="D107" s="29"/>
      <c r="E107" s="26"/>
      <c r="F107" s="26"/>
      <c r="G107" s="4">
        <v>0</v>
      </c>
      <c r="H107" s="4">
        <v>0</v>
      </c>
      <c r="I107" s="4">
        <v>0</v>
      </c>
    </row>
    <row r="108" spans="2:9" ht="15">
      <c r="B108" s="21" t="s">
        <v>225</v>
      </c>
      <c r="C108" s="22" t="s">
        <v>226</v>
      </c>
      <c r="D108" s="22" t="s">
        <v>1130</v>
      </c>
      <c r="E108" s="23" t="s">
        <v>227</v>
      </c>
      <c r="F108" s="23" t="s">
        <v>104</v>
      </c>
      <c r="G108" s="4">
        <v>0</v>
      </c>
      <c r="H108" s="4">
        <v>275</v>
      </c>
      <c r="I108" s="4" t="s">
        <v>1035</v>
      </c>
    </row>
    <row r="109" spans="2:9" ht="15">
      <c r="B109" s="21" t="s">
        <v>228</v>
      </c>
      <c r="C109" s="48" t="s">
        <v>229</v>
      </c>
      <c r="D109" s="49" t="s">
        <v>1131</v>
      </c>
      <c r="E109" s="23" t="s">
        <v>227</v>
      </c>
      <c r="F109" s="23" t="s">
        <v>230</v>
      </c>
      <c r="G109" s="4">
        <v>0</v>
      </c>
      <c r="H109" s="4">
        <v>150</v>
      </c>
      <c r="I109" s="4" t="s">
        <v>1035</v>
      </c>
    </row>
    <row r="110" spans="2:9" ht="15" hidden="1">
      <c r="B110" s="28"/>
      <c r="C110" s="29"/>
      <c r="D110" s="29"/>
      <c r="E110" s="26"/>
      <c r="F110" s="26"/>
      <c r="G110" s="4">
        <v>0</v>
      </c>
      <c r="H110" s="4">
        <v>0</v>
      </c>
      <c r="I110" s="4">
        <v>0</v>
      </c>
    </row>
    <row r="111" spans="2:9" ht="15" hidden="1">
      <c r="B111" s="30" t="s">
        <v>231</v>
      </c>
      <c r="C111" s="31" t="s">
        <v>232</v>
      </c>
      <c r="D111" s="31" t="s">
        <v>1132</v>
      </c>
      <c r="E111" s="23" t="s">
        <v>233</v>
      </c>
      <c r="F111" s="32" t="s">
        <v>234</v>
      </c>
      <c r="G111" s="4">
        <v>0</v>
      </c>
      <c r="H111" s="4">
        <v>12</v>
      </c>
      <c r="I111" s="4" t="s">
        <v>1059</v>
      </c>
    </row>
    <row r="112" spans="2:9" ht="15" hidden="1">
      <c r="B112" s="38"/>
      <c r="C112" s="39"/>
      <c r="D112" s="39"/>
      <c r="E112" s="40"/>
      <c r="F112" s="26"/>
      <c r="G112" s="4">
        <v>0</v>
      </c>
      <c r="H112" s="4">
        <v>0</v>
      </c>
      <c r="I112" s="4">
        <v>0</v>
      </c>
    </row>
    <row r="113" spans="2:9" ht="15.75" thickBot="1">
      <c r="B113" s="37" t="s">
        <v>235</v>
      </c>
      <c r="C113" s="33" t="s">
        <v>236</v>
      </c>
      <c r="D113" s="33" t="s">
        <v>1105</v>
      </c>
      <c r="E113" s="50" t="s">
        <v>237</v>
      </c>
      <c r="F113" s="23" t="s">
        <v>141</v>
      </c>
      <c r="G113" s="4">
        <v>0</v>
      </c>
      <c r="H113" s="4">
        <v>20</v>
      </c>
      <c r="I113" s="4" t="s">
        <v>1035</v>
      </c>
    </row>
    <row r="114" spans="2:9" ht="15" hidden="1">
      <c r="B114" s="38"/>
      <c r="C114" s="39"/>
      <c r="D114" s="39"/>
      <c r="E114" s="40"/>
      <c r="F114" s="26"/>
      <c r="G114" s="4">
        <v>0</v>
      </c>
      <c r="H114" s="4">
        <v>0</v>
      </c>
      <c r="I114" s="4">
        <v>0</v>
      </c>
    </row>
    <row r="115" spans="2:9" ht="15" hidden="1">
      <c r="B115" s="51" t="s">
        <v>238</v>
      </c>
      <c r="C115" s="52" t="s">
        <v>239</v>
      </c>
      <c r="D115" s="52" t="s">
        <v>1133</v>
      </c>
      <c r="E115" s="53" t="s">
        <v>240</v>
      </c>
      <c r="F115" s="32" t="s">
        <v>241</v>
      </c>
      <c r="G115" s="4">
        <v>0</v>
      </c>
      <c r="H115" s="4">
        <v>727</v>
      </c>
      <c r="I115" s="4" t="s">
        <v>1030</v>
      </c>
    </row>
    <row r="116" spans="2:9" ht="15" hidden="1">
      <c r="B116" s="51" t="s">
        <v>242</v>
      </c>
      <c r="C116" s="52" t="s">
        <v>243</v>
      </c>
      <c r="D116" s="52" t="s">
        <v>1134</v>
      </c>
      <c r="E116" s="53" t="s">
        <v>240</v>
      </c>
      <c r="F116" s="32" t="s">
        <v>241</v>
      </c>
      <c r="G116" s="4">
        <v>0</v>
      </c>
      <c r="H116" s="4">
        <v>21</v>
      </c>
      <c r="I116" s="4" t="s">
        <v>1030</v>
      </c>
    </row>
    <row r="117" spans="2:9" ht="15" hidden="1">
      <c r="B117" s="51" t="s">
        <v>244</v>
      </c>
      <c r="C117" s="52" t="s">
        <v>245</v>
      </c>
      <c r="D117" s="52" t="s">
        <v>1137</v>
      </c>
      <c r="E117" s="53" t="s">
        <v>240</v>
      </c>
      <c r="F117" s="32" t="s">
        <v>246</v>
      </c>
      <c r="G117" s="4" t="s">
        <v>1360</v>
      </c>
      <c r="H117" s="4">
        <v>5712</v>
      </c>
      <c r="I117" s="4" t="s">
        <v>1030</v>
      </c>
    </row>
    <row r="118" spans="2:9" ht="26.25" hidden="1">
      <c r="B118" s="51" t="s">
        <v>247</v>
      </c>
      <c r="C118" s="54" t="s">
        <v>248</v>
      </c>
      <c r="D118" s="54" t="s">
        <v>1135</v>
      </c>
      <c r="E118" s="53" t="s">
        <v>240</v>
      </c>
      <c r="F118" s="32" t="s">
        <v>42</v>
      </c>
      <c r="G118" s="4" t="s">
        <v>1361</v>
      </c>
      <c r="H118" s="4">
        <v>445</v>
      </c>
      <c r="I118" s="4" t="s">
        <v>1030</v>
      </c>
    </row>
    <row r="119" spans="2:9" ht="15" hidden="1">
      <c r="B119" s="51" t="s">
        <v>250</v>
      </c>
      <c r="C119" s="4" t="s">
        <v>251</v>
      </c>
      <c r="D119" s="4" t="s">
        <v>1138</v>
      </c>
      <c r="E119" s="53" t="s">
        <v>240</v>
      </c>
      <c r="F119" s="32" t="s">
        <v>252</v>
      </c>
      <c r="G119" s="4">
        <v>0</v>
      </c>
      <c r="H119" s="4">
        <v>0</v>
      </c>
      <c r="I119" s="4" t="s">
        <v>1030</v>
      </c>
    </row>
    <row r="120" spans="2:9" ht="15" hidden="1">
      <c r="B120" s="24"/>
      <c r="C120" s="55"/>
      <c r="D120" s="55"/>
      <c r="E120" s="26"/>
      <c r="F120" s="27"/>
      <c r="G120" s="4">
        <v>0</v>
      </c>
      <c r="H120" s="4">
        <v>0</v>
      </c>
      <c r="I120" s="4">
        <v>0</v>
      </c>
    </row>
    <row r="121" spans="2:9" ht="15" hidden="1">
      <c r="B121" s="30" t="s">
        <v>253</v>
      </c>
      <c r="C121" s="31" t="s">
        <v>254</v>
      </c>
      <c r="D121" s="31" t="s">
        <v>1139</v>
      </c>
      <c r="E121" s="23" t="s">
        <v>255</v>
      </c>
      <c r="F121" s="32" t="s">
        <v>256</v>
      </c>
      <c r="G121" s="4" t="s">
        <v>1535</v>
      </c>
      <c r="H121" s="4">
        <v>3</v>
      </c>
      <c r="I121" s="4" t="s">
        <v>1031</v>
      </c>
    </row>
    <row r="122" spans="2:9" ht="15" hidden="1">
      <c r="B122" s="30" t="s">
        <v>257</v>
      </c>
      <c r="C122" s="56" t="s">
        <v>258</v>
      </c>
      <c r="D122" s="56" t="s">
        <v>1140</v>
      </c>
      <c r="E122" s="23" t="s">
        <v>255</v>
      </c>
      <c r="F122" s="32" t="s">
        <v>259</v>
      </c>
      <c r="G122" s="4" t="s">
        <v>1516</v>
      </c>
      <c r="H122" s="4">
        <v>609</v>
      </c>
      <c r="I122" s="4" t="s">
        <v>1029</v>
      </c>
    </row>
    <row r="123" spans="2:9" ht="15" hidden="1">
      <c r="B123" s="30" t="s">
        <v>260</v>
      </c>
      <c r="C123" s="31" t="s">
        <v>261</v>
      </c>
      <c r="D123" s="31" t="s">
        <v>1141</v>
      </c>
      <c r="E123" s="23" t="s">
        <v>255</v>
      </c>
      <c r="F123" s="32" t="s">
        <v>262</v>
      </c>
      <c r="G123" s="4" t="s">
        <v>1471</v>
      </c>
      <c r="H123" s="4">
        <v>15</v>
      </c>
      <c r="I123" s="4" t="s">
        <v>1044</v>
      </c>
    </row>
    <row r="124" spans="2:9" ht="15" hidden="1">
      <c r="B124" s="30" t="s">
        <v>263</v>
      </c>
      <c r="C124" s="30" t="s">
        <v>264</v>
      </c>
      <c r="D124" s="30" t="s">
        <v>1143</v>
      </c>
      <c r="E124" s="32" t="s">
        <v>255</v>
      </c>
      <c r="F124" s="32" t="s">
        <v>265</v>
      </c>
      <c r="G124" s="4" t="s">
        <v>1546</v>
      </c>
      <c r="H124" s="4">
        <v>0</v>
      </c>
      <c r="I124" s="4" t="s">
        <v>1054</v>
      </c>
    </row>
    <row r="125" spans="2:9" ht="15" hidden="1">
      <c r="B125" s="30" t="s">
        <v>266</v>
      </c>
      <c r="C125" s="30" t="s">
        <v>267</v>
      </c>
      <c r="D125" s="30" t="s">
        <v>1142</v>
      </c>
      <c r="E125" s="32" t="s">
        <v>255</v>
      </c>
      <c r="F125" s="32" t="s">
        <v>268</v>
      </c>
      <c r="G125" s="4">
        <v>0</v>
      </c>
      <c r="H125" s="4">
        <v>27</v>
      </c>
      <c r="I125" s="4" t="s">
        <v>1054</v>
      </c>
    </row>
    <row r="126" spans="2:9" ht="15" hidden="1">
      <c r="B126" s="30" t="s">
        <v>269</v>
      </c>
      <c r="C126" s="30" t="s">
        <v>270</v>
      </c>
      <c r="D126" s="30" t="s">
        <v>1144</v>
      </c>
      <c r="E126" s="32" t="s">
        <v>255</v>
      </c>
      <c r="F126" s="32" t="s">
        <v>271</v>
      </c>
      <c r="G126" s="4">
        <v>0</v>
      </c>
      <c r="H126" s="4">
        <v>31</v>
      </c>
      <c r="I126" s="4" t="s">
        <v>1056</v>
      </c>
    </row>
    <row r="127" spans="2:9" ht="15" hidden="1">
      <c r="B127" s="30" t="s">
        <v>272</v>
      </c>
      <c r="C127" s="30" t="s">
        <v>273</v>
      </c>
      <c r="D127" s="30" t="s">
        <v>1145</v>
      </c>
      <c r="E127" s="32" t="s">
        <v>255</v>
      </c>
      <c r="F127" s="32" t="s">
        <v>271</v>
      </c>
      <c r="G127" s="4">
        <v>0</v>
      </c>
      <c r="H127" s="4">
        <v>0</v>
      </c>
      <c r="I127" s="4" t="s">
        <v>1056</v>
      </c>
    </row>
    <row r="128" spans="2:9" ht="15" hidden="1">
      <c r="B128" s="104" t="s">
        <v>274</v>
      </c>
      <c r="C128" s="104" t="s">
        <v>275</v>
      </c>
      <c r="D128" s="105" t="s">
        <v>1032</v>
      </c>
      <c r="E128" s="106" t="s">
        <v>255</v>
      </c>
      <c r="F128" s="106" t="s">
        <v>276</v>
      </c>
      <c r="G128" s="107">
        <v>0</v>
      </c>
      <c r="H128" s="107">
        <v>0</v>
      </c>
      <c r="I128" s="107" t="s">
        <v>1032</v>
      </c>
    </row>
    <row r="129" spans="2:9" ht="15" hidden="1">
      <c r="B129" s="104" t="s">
        <v>277</v>
      </c>
      <c r="C129" s="104" t="s">
        <v>278</v>
      </c>
      <c r="D129" s="105" t="s">
        <v>1032</v>
      </c>
      <c r="E129" s="106" t="s">
        <v>255</v>
      </c>
      <c r="F129" s="106" t="s">
        <v>279</v>
      </c>
      <c r="G129" s="107">
        <v>0</v>
      </c>
      <c r="H129" s="107">
        <v>0</v>
      </c>
      <c r="I129" s="107" t="s">
        <v>1032</v>
      </c>
    </row>
    <row r="130" spans="2:9" ht="15" hidden="1">
      <c r="B130" s="24"/>
      <c r="C130" s="25"/>
      <c r="D130" s="25"/>
      <c r="E130" s="26"/>
      <c r="F130" s="27"/>
      <c r="G130" s="4">
        <v>0</v>
      </c>
      <c r="H130" s="4">
        <v>0</v>
      </c>
      <c r="I130" s="4">
        <v>0</v>
      </c>
    </row>
    <row r="131" spans="2:9" ht="15" hidden="1">
      <c r="B131" s="30" t="s">
        <v>280</v>
      </c>
      <c r="C131" s="30" t="s">
        <v>281</v>
      </c>
      <c r="D131" s="87" t="s">
        <v>1153</v>
      </c>
      <c r="E131" s="32" t="s">
        <v>282</v>
      </c>
      <c r="F131" s="32" t="s">
        <v>283</v>
      </c>
      <c r="G131" s="4">
        <v>0</v>
      </c>
      <c r="H131" s="4">
        <v>632.5600000000001</v>
      </c>
      <c r="I131" s="4" t="s">
        <v>1048</v>
      </c>
    </row>
    <row r="132" spans="2:9" ht="15" hidden="1">
      <c r="B132" s="30" t="s">
        <v>284</v>
      </c>
      <c r="C132" s="30" t="s">
        <v>285</v>
      </c>
      <c r="D132" s="30" t="s">
        <v>1154</v>
      </c>
      <c r="E132" s="32" t="s">
        <v>282</v>
      </c>
      <c r="F132" s="23" t="s">
        <v>286</v>
      </c>
      <c r="G132" s="4">
        <v>0</v>
      </c>
      <c r="H132" s="4">
        <v>1686.86</v>
      </c>
      <c r="I132" s="4" t="s">
        <v>1048</v>
      </c>
    </row>
    <row r="133" spans="2:9" ht="15" hidden="1">
      <c r="B133" s="30" t="s">
        <v>287</v>
      </c>
      <c r="C133" s="30" t="s">
        <v>288</v>
      </c>
      <c r="D133" s="30" t="s">
        <v>1155</v>
      </c>
      <c r="E133" s="32" t="s">
        <v>282</v>
      </c>
      <c r="F133" s="23" t="s">
        <v>286</v>
      </c>
      <c r="G133" s="4">
        <v>0</v>
      </c>
      <c r="H133" s="4">
        <v>3894.50</v>
      </c>
      <c r="I133" s="4" t="s">
        <v>1048</v>
      </c>
    </row>
    <row r="134" spans="2:9" ht="15" hidden="1">
      <c r="B134" s="30" t="s">
        <v>289</v>
      </c>
      <c r="C134" s="30" t="s">
        <v>290</v>
      </c>
      <c r="D134" s="30" t="s">
        <v>1156</v>
      </c>
      <c r="E134" s="32" t="s">
        <v>282</v>
      </c>
      <c r="F134" s="23" t="s">
        <v>286</v>
      </c>
      <c r="G134" s="4">
        <v>0</v>
      </c>
      <c r="H134" s="4">
        <v>0</v>
      </c>
      <c r="I134" s="4" t="s">
        <v>1048</v>
      </c>
    </row>
    <row r="135" spans="2:9" ht="15" hidden="1">
      <c r="B135" s="57"/>
      <c r="C135" s="58"/>
      <c r="D135" s="58"/>
      <c r="E135" s="59"/>
      <c r="F135" s="27"/>
      <c r="G135" s="4">
        <v>0</v>
      </c>
      <c r="H135" s="4">
        <v>0</v>
      </c>
      <c r="I135" s="4">
        <v>0</v>
      </c>
    </row>
    <row r="136" spans="2:9" ht="15" hidden="1">
      <c r="B136" s="36" t="s">
        <v>291</v>
      </c>
      <c r="C136" s="36" t="s">
        <v>292</v>
      </c>
      <c r="D136" s="36" t="s">
        <v>1157</v>
      </c>
      <c r="E136" s="60" t="s">
        <v>293</v>
      </c>
      <c r="F136" s="32" t="s">
        <v>36</v>
      </c>
      <c r="G136" s="4">
        <v>0</v>
      </c>
      <c r="H136" s="4">
        <v>4</v>
      </c>
      <c r="I136" s="4" t="s">
        <v>1058</v>
      </c>
    </row>
    <row r="137" spans="2:9" ht="15" hidden="1">
      <c r="B137" s="24"/>
      <c r="C137" s="25"/>
      <c r="D137" s="25"/>
      <c r="E137" s="26"/>
      <c r="F137" s="27"/>
      <c r="G137" s="4">
        <v>0</v>
      </c>
      <c r="H137" s="4">
        <v>0</v>
      </c>
      <c r="I137" s="4">
        <v>0</v>
      </c>
    </row>
    <row r="138" spans="2:9" ht="15" hidden="1">
      <c r="B138" s="36" t="s">
        <v>294</v>
      </c>
      <c r="C138" s="36" t="s">
        <v>295</v>
      </c>
      <c r="D138" s="36" t="s">
        <v>1158</v>
      </c>
      <c r="E138" s="61" t="s">
        <v>296</v>
      </c>
      <c r="F138" s="32" t="s">
        <v>297</v>
      </c>
      <c r="G138" s="4">
        <v>0</v>
      </c>
      <c r="H138" s="4">
        <v>4</v>
      </c>
      <c r="I138" s="4" t="s">
        <v>1034</v>
      </c>
    </row>
    <row r="139" spans="2:9" ht="15" hidden="1">
      <c r="B139" s="24"/>
      <c r="C139" s="25"/>
      <c r="D139" s="25"/>
      <c r="E139" s="26"/>
      <c r="F139" s="27"/>
      <c r="G139" s="4">
        <v>0</v>
      </c>
      <c r="H139" s="4">
        <v>0</v>
      </c>
      <c r="I139" s="4">
        <v>0</v>
      </c>
    </row>
    <row r="140" spans="2:9" ht="15" hidden="1">
      <c r="B140" s="36" t="s">
        <v>298</v>
      </c>
      <c r="C140" s="36" t="s">
        <v>299</v>
      </c>
      <c r="D140" s="36" t="s">
        <v>1159</v>
      </c>
      <c r="E140" s="61" t="s">
        <v>300</v>
      </c>
      <c r="F140" s="36" t="s">
        <v>301</v>
      </c>
      <c r="G140" s="4" t="s">
        <v>1395</v>
      </c>
      <c r="H140" s="4">
        <v>11</v>
      </c>
      <c r="I140" s="4" t="s">
        <v>1058</v>
      </c>
    </row>
    <row r="141" spans="2:9" ht="15.75" hidden="1" thickBot="1">
      <c r="B141" s="37" t="s">
        <v>302</v>
      </c>
      <c r="C141" s="37" t="s">
        <v>303</v>
      </c>
      <c r="D141" s="36" t="s">
        <v>1160</v>
      </c>
      <c r="E141" s="61" t="s">
        <v>300</v>
      </c>
      <c r="F141" s="36" t="s">
        <v>301</v>
      </c>
      <c r="G141" s="4" t="s">
        <v>1395</v>
      </c>
      <c r="H141" s="4">
        <v>55</v>
      </c>
      <c r="I141" s="4" t="s">
        <v>1058</v>
      </c>
    </row>
    <row r="142" spans="2:9" ht="15" hidden="1">
      <c r="B142" s="24"/>
      <c r="C142" s="25"/>
      <c r="D142" s="25"/>
      <c r="E142" s="26"/>
      <c r="F142" s="27"/>
      <c r="G142" s="4">
        <v>0</v>
      </c>
      <c r="H142" s="4">
        <v>0</v>
      </c>
      <c r="I142" s="4">
        <v>0</v>
      </c>
    </row>
    <row r="143" spans="2:9" ht="15" hidden="1">
      <c r="B143" s="21" t="s">
        <v>304</v>
      </c>
      <c r="C143" s="22" t="s">
        <v>305</v>
      </c>
      <c r="D143" s="22" t="s">
        <v>1161</v>
      </c>
      <c r="E143" s="23" t="s">
        <v>306</v>
      </c>
      <c r="F143" s="23" t="s">
        <v>286</v>
      </c>
      <c r="G143" s="4" t="s">
        <v>1362</v>
      </c>
      <c r="H143" s="4">
        <v>100</v>
      </c>
      <c r="I143" s="4" t="s">
        <v>1043</v>
      </c>
    </row>
    <row r="144" spans="2:9" ht="15" hidden="1">
      <c r="B144" s="21" t="s">
        <v>307</v>
      </c>
      <c r="C144" s="22" t="s">
        <v>308</v>
      </c>
      <c r="D144" s="22" t="s">
        <v>1162</v>
      </c>
      <c r="E144" s="23" t="s">
        <v>306</v>
      </c>
      <c r="F144" s="23" t="s">
        <v>309</v>
      </c>
      <c r="G144" s="4" t="s">
        <v>1360</v>
      </c>
      <c r="H144" s="4">
        <v>146</v>
      </c>
      <c r="I144" s="4" t="s">
        <v>1030</v>
      </c>
    </row>
    <row r="145" spans="2:9" ht="15" hidden="1">
      <c r="B145" s="21" t="s">
        <v>310</v>
      </c>
      <c r="C145" s="22" t="s">
        <v>311</v>
      </c>
      <c r="D145" s="22" t="s">
        <v>1163</v>
      </c>
      <c r="E145" s="23" t="s">
        <v>306</v>
      </c>
      <c r="F145" s="23" t="s">
        <v>312</v>
      </c>
      <c r="G145" s="4" t="s">
        <v>1362</v>
      </c>
      <c r="H145" s="4">
        <v>382.63</v>
      </c>
      <c r="I145" s="4" t="s">
        <v>1043</v>
      </c>
    </row>
    <row r="146" spans="2:9" ht="15" hidden="1">
      <c r="B146" s="21" t="s">
        <v>313</v>
      </c>
      <c r="C146" s="22" t="s">
        <v>314</v>
      </c>
      <c r="D146" s="22" t="s">
        <v>1164</v>
      </c>
      <c r="E146" s="23" t="s">
        <v>306</v>
      </c>
      <c r="F146" s="23" t="s">
        <v>205</v>
      </c>
      <c r="G146" s="4" t="s">
        <v>1362</v>
      </c>
      <c r="H146" s="4">
        <v>2272</v>
      </c>
      <c r="I146" s="4" t="s">
        <v>1043</v>
      </c>
    </row>
    <row r="147" spans="2:9" ht="15" hidden="1">
      <c r="B147" s="21" t="s">
        <v>315</v>
      </c>
      <c r="C147" s="22" t="s">
        <v>316</v>
      </c>
      <c r="D147" s="22" t="s">
        <v>1165</v>
      </c>
      <c r="E147" s="23" t="s">
        <v>306</v>
      </c>
      <c r="F147" s="23" t="s">
        <v>317</v>
      </c>
      <c r="G147" s="4">
        <v>0</v>
      </c>
      <c r="H147" s="4">
        <v>271</v>
      </c>
      <c r="I147" s="4" t="s">
        <v>1043</v>
      </c>
    </row>
    <row r="148" spans="2:9" ht="15" hidden="1">
      <c r="B148" s="21" t="s">
        <v>318</v>
      </c>
      <c r="C148" s="22" t="s">
        <v>319</v>
      </c>
      <c r="D148" s="22" t="s">
        <v>1166</v>
      </c>
      <c r="E148" s="23" t="s">
        <v>306</v>
      </c>
      <c r="F148" s="23" t="s">
        <v>320</v>
      </c>
      <c r="G148" s="4" t="s">
        <v>1362</v>
      </c>
      <c r="H148" s="4">
        <v>501</v>
      </c>
      <c r="I148" s="4" t="s">
        <v>1043</v>
      </c>
    </row>
    <row r="149" spans="2:9" ht="15" hidden="1">
      <c r="B149" s="21" t="s">
        <v>321</v>
      </c>
      <c r="C149" s="4" t="s">
        <v>322</v>
      </c>
      <c r="D149" s="4" t="s">
        <v>1167</v>
      </c>
      <c r="E149" s="23" t="s">
        <v>306</v>
      </c>
      <c r="F149" s="23" t="s">
        <v>323</v>
      </c>
      <c r="G149" s="4" t="s">
        <v>1362</v>
      </c>
      <c r="H149" s="4">
        <v>297</v>
      </c>
      <c r="I149" s="4" t="s">
        <v>1043</v>
      </c>
    </row>
    <row r="150" spans="2:9" ht="15" hidden="1">
      <c r="B150" s="21" t="s">
        <v>324</v>
      </c>
      <c r="C150" s="4" t="s">
        <v>325</v>
      </c>
      <c r="D150" s="4" t="s">
        <v>1166</v>
      </c>
      <c r="E150" s="23" t="s">
        <v>306</v>
      </c>
      <c r="F150" s="23" t="s">
        <v>326</v>
      </c>
      <c r="G150" s="4">
        <v>0</v>
      </c>
      <c r="H150" s="4">
        <v>0</v>
      </c>
      <c r="I150" s="4" t="s">
        <v>1043</v>
      </c>
    </row>
    <row r="151" spans="2:9" ht="15" hidden="1">
      <c r="B151" s="21" t="s">
        <v>327</v>
      </c>
      <c r="C151" s="4" t="s">
        <v>328</v>
      </c>
      <c r="D151" s="4" t="s">
        <v>1168</v>
      </c>
      <c r="E151" s="23" t="s">
        <v>306</v>
      </c>
      <c r="F151" s="23" t="s">
        <v>329</v>
      </c>
      <c r="G151" s="4" t="s">
        <v>1362</v>
      </c>
      <c r="H151" s="4">
        <v>118.63</v>
      </c>
      <c r="I151" s="4" t="s">
        <v>1043</v>
      </c>
    </row>
    <row r="152" spans="2:9" ht="15" hidden="1">
      <c r="B152" s="21" t="s">
        <v>330</v>
      </c>
      <c r="C152" s="12" t="s">
        <v>331</v>
      </c>
      <c r="D152" s="62" t="s">
        <v>1136</v>
      </c>
      <c r="E152" s="23" t="s">
        <v>306</v>
      </c>
      <c r="F152" s="13" t="s">
        <v>332</v>
      </c>
      <c r="G152" s="4">
        <v>0</v>
      </c>
      <c r="H152" s="4">
        <v>240</v>
      </c>
      <c r="I152" s="4" t="s">
        <v>1045</v>
      </c>
    </row>
    <row r="153" spans="2:9" ht="15" hidden="1">
      <c r="B153" s="28"/>
      <c r="C153" s="29"/>
      <c r="D153" s="29"/>
      <c r="E153" s="26"/>
      <c r="F153" s="26"/>
      <c r="G153" s="4">
        <v>0</v>
      </c>
      <c r="H153" s="4">
        <v>0</v>
      </c>
      <c r="I153" s="4">
        <v>0</v>
      </c>
    </row>
    <row r="154" spans="2:9" ht="15" hidden="1">
      <c r="B154" s="21" t="s">
        <v>333</v>
      </c>
      <c r="C154" s="47" t="s">
        <v>334</v>
      </c>
      <c r="D154" s="47" t="s">
        <v>1169</v>
      </c>
      <c r="E154" s="23" t="s">
        <v>335</v>
      </c>
      <c r="F154" s="23" t="s">
        <v>336</v>
      </c>
      <c r="G154" s="4" t="s">
        <v>1384</v>
      </c>
      <c r="H154" s="4">
        <v>6218</v>
      </c>
      <c r="I154" s="4" t="s">
        <v>1052</v>
      </c>
    </row>
    <row r="155" spans="2:9" ht="15" hidden="1">
      <c r="B155" s="21" t="s">
        <v>337</v>
      </c>
      <c r="C155" s="47" t="s">
        <v>338</v>
      </c>
      <c r="D155" s="99" t="s">
        <v>1032</v>
      </c>
      <c r="E155" s="23" t="s">
        <v>335</v>
      </c>
      <c r="F155" s="23" t="s">
        <v>339</v>
      </c>
      <c r="G155" s="4">
        <v>0</v>
      </c>
      <c r="H155" s="4">
        <v>0</v>
      </c>
      <c r="I155" s="4" t="s">
        <v>1032</v>
      </c>
    </row>
    <row r="156" spans="2:9" ht="15" hidden="1">
      <c r="B156" s="28"/>
      <c r="C156" s="29"/>
      <c r="D156" s="29"/>
      <c r="E156" s="26"/>
      <c r="F156" s="26"/>
      <c r="G156" s="4">
        <v>0</v>
      </c>
      <c r="H156" s="4">
        <v>0</v>
      </c>
      <c r="I156" s="4">
        <v>0</v>
      </c>
    </row>
    <row r="157" spans="2:9" ht="15" hidden="1">
      <c r="B157" s="21" t="s">
        <v>340</v>
      </c>
      <c r="C157" s="21" t="s">
        <v>341</v>
      </c>
      <c r="D157" s="21" t="s">
        <v>1170</v>
      </c>
      <c r="E157" s="23" t="s">
        <v>342</v>
      </c>
      <c r="F157" s="23" t="s">
        <v>343</v>
      </c>
      <c r="G157" s="4">
        <v>0</v>
      </c>
      <c r="H157" s="4">
        <v>75</v>
      </c>
      <c r="I157" s="4" t="s">
        <v>1044</v>
      </c>
    </row>
    <row r="158" spans="2:9" ht="15" hidden="1">
      <c r="B158" s="21" t="s">
        <v>344</v>
      </c>
      <c r="C158" s="21" t="s">
        <v>345</v>
      </c>
      <c r="D158" s="21" t="s">
        <v>1171</v>
      </c>
      <c r="E158" s="23" t="s">
        <v>342</v>
      </c>
      <c r="F158" s="23" t="s">
        <v>346</v>
      </c>
      <c r="G158" s="4" t="s">
        <v>1468</v>
      </c>
      <c r="H158" s="4">
        <v>20</v>
      </c>
      <c r="I158" s="4" t="s">
        <v>1044</v>
      </c>
    </row>
    <row r="159" spans="2:9" ht="15" hidden="1">
      <c r="B159" s="21" t="s">
        <v>347</v>
      </c>
      <c r="C159" s="21" t="s">
        <v>348</v>
      </c>
      <c r="D159" s="21" t="s">
        <v>1172</v>
      </c>
      <c r="E159" s="23" t="s">
        <v>342</v>
      </c>
      <c r="F159" s="23" t="s">
        <v>349</v>
      </c>
      <c r="G159" s="4">
        <v>0</v>
      </c>
      <c r="H159" s="4">
        <v>18</v>
      </c>
      <c r="I159" s="4" t="s">
        <v>1044</v>
      </c>
    </row>
    <row r="160" spans="2:9" ht="15" hidden="1">
      <c r="B160" s="44"/>
      <c r="C160" s="63"/>
      <c r="D160" s="63"/>
      <c r="E160" s="26"/>
      <c r="F160" s="26"/>
      <c r="G160" s="4">
        <v>0</v>
      </c>
      <c r="H160" s="4">
        <v>0</v>
      </c>
      <c r="I160" s="4">
        <v>0</v>
      </c>
    </row>
    <row r="161" spans="2:9" ht="15" hidden="1">
      <c r="B161" s="41" t="s">
        <v>350</v>
      </c>
      <c r="C161" s="64" t="s">
        <v>351</v>
      </c>
      <c r="D161" s="64" t="s">
        <v>1173</v>
      </c>
      <c r="E161" s="23" t="s">
        <v>352</v>
      </c>
      <c r="F161" s="23" t="s">
        <v>117</v>
      </c>
      <c r="G161" s="4">
        <v>0</v>
      </c>
      <c r="H161" s="4">
        <v>3938</v>
      </c>
      <c r="I161" s="4" t="s">
        <v>1049</v>
      </c>
    </row>
    <row r="162" spans="2:9" ht="15" hidden="1">
      <c r="B162" s="44"/>
      <c r="C162" s="63"/>
      <c r="D162" s="63"/>
      <c r="E162" s="26"/>
      <c r="F162" s="26"/>
      <c r="G162" s="4">
        <v>0</v>
      </c>
      <c r="H162" s="4">
        <v>0</v>
      </c>
      <c r="I162" s="4">
        <v>0</v>
      </c>
    </row>
    <row r="163" spans="2:9" ht="15" hidden="1">
      <c r="B163" s="41" t="s">
        <v>353</v>
      </c>
      <c r="C163" s="64" t="s">
        <v>354</v>
      </c>
      <c r="D163" s="64" t="s">
        <v>1173</v>
      </c>
      <c r="E163" s="23" t="s">
        <v>355</v>
      </c>
      <c r="F163" s="23" t="s">
        <v>45</v>
      </c>
      <c r="G163" s="4">
        <v>0</v>
      </c>
      <c r="H163" s="4">
        <v>320</v>
      </c>
      <c r="I163" s="4" t="s">
        <v>1049</v>
      </c>
    </row>
    <row r="164" spans="2:9" ht="15" hidden="1">
      <c r="B164" s="41" t="s">
        <v>356</v>
      </c>
      <c r="C164" s="64" t="s">
        <v>357</v>
      </c>
      <c r="D164" s="64" t="s">
        <v>1174</v>
      </c>
      <c r="E164" s="23" t="s">
        <v>355</v>
      </c>
      <c r="F164" s="23" t="s">
        <v>358</v>
      </c>
      <c r="G164" s="4">
        <v>0</v>
      </c>
      <c r="H164" s="4">
        <v>275</v>
      </c>
      <c r="I164" s="4" t="s">
        <v>1049</v>
      </c>
    </row>
    <row r="165" spans="2:9" ht="15" hidden="1">
      <c r="B165" s="44"/>
      <c r="C165" s="63"/>
      <c r="D165" s="63"/>
      <c r="E165" s="26"/>
      <c r="F165" s="26"/>
      <c r="G165" s="4">
        <v>0</v>
      </c>
      <c r="H165" s="4">
        <v>0</v>
      </c>
      <c r="I165" s="4">
        <v>0</v>
      </c>
    </row>
    <row r="166" spans="2:9" ht="15">
      <c r="B166" s="21" t="s">
        <v>359</v>
      </c>
      <c r="C166" s="22" t="s">
        <v>360</v>
      </c>
      <c r="D166" s="22" t="s">
        <v>1175</v>
      </c>
      <c r="E166" s="23" t="s">
        <v>361</v>
      </c>
      <c r="F166" s="23" t="s">
        <v>117</v>
      </c>
      <c r="G166" s="4" t="s">
        <v>1676</v>
      </c>
      <c r="H166" s="4">
        <v>1536</v>
      </c>
      <c r="I166" s="4" t="s">
        <v>1035</v>
      </c>
    </row>
    <row r="167" spans="2:9" ht="15" hidden="1">
      <c r="B167" s="28"/>
      <c r="C167" s="29"/>
      <c r="D167" s="29"/>
      <c r="E167" s="26"/>
      <c r="F167" s="26"/>
      <c r="G167" s="4">
        <v>0</v>
      </c>
      <c r="H167" s="4">
        <v>0</v>
      </c>
      <c r="I167" s="4">
        <v>0</v>
      </c>
    </row>
    <row r="168" spans="2:9" ht="15" hidden="1">
      <c r="B168" s="41" t="s">
        <v>362</v>
      </c>
      <c r="C168" s="64" t="s">
        <v>363</v>
      </c>
      <c r="D168" s="64" t="s">
        <v>1176</v>
      </c>
      <c r="E168" s="23" t="s">
        <v>364</v>
      </c>
      <c r="F168" s="23" t="s">
        <v>42</v>
      </c>
      <c r="G168" s="4" t="s">
        <v>1403</v>
      </c>
      <c r="H168" s="4">
        <v>2232.50</v>
      </c>
      <c r="I168" s="4" t="s">
        <v>1053</v>
      </c>
    </row>
    <row r="169" spans="2:9" ht="15" hidden="1">
      <c r="B169" s="41" t="s">
        <v>365</v>
      </c>
      <c r="C169" s="64" t="s">
        <v>366</v>
      </c>
      <c r="D169" s="64" t="s">
        <v>1177</v>
      </c>
      <c r="E169" s="23" t="s">
        <v>364</v>
      </c>
      <c r="F169" s="23" t="s">
        <v>42</v>
      </c>
      <c r="G169" s="4" t="s">
        <v>1551</v>
      </c>
      <c r="H169" s="4">
        <v>9141.60</v>
      </c>
      <c r="I169" s="4" t="s">
        <v>1053</v>
      </c>
    </row>
    <row r="170" spans="2:9" ht="15" hidden="1">
      <c r="B170" s="41" t="s">
        <v>367</v>
      </c>
      <c r="C170" s="64" t="s">
        <v>368</v>
      </c>
      <c r="D170" s="64" t="s">
        <v>1357</v>
      </c>
      <c r="E170" s="23" t="s">
        <v>364</v>
      </c>
      <c r="F170" s="23" t="s">
        <v>42</v>
      </c>
      <c r="G170" s="4" t="s">
        <v>1552</v>
      </c>
      <c r="H170" s="4">
        <v>2072.25</v>
      </c>
      <c r="I170" s="4" t="s">
        <v>1053</v>
      </c>
    </row>
    <row r="171" spans="2:9" ht="15" hidden="1">
      <c r="B171" s="41" t="s">
        <v>369</v>
      </c>
      <c r="C171" s="64" t="s">
        <v>370</v>
      </c>
      <c r="D171" s="64" t="s">
        <v>1178</v>
      </c>
      <c r="E171" s="23" t="s">
        <v>364</v>
      </c>
      <c r="F171" s="23" t="s">
        <v>42</v>
      </c>
      <c r="G171" s="4" t="s">
        <v>1553</v>
      </c>
      <c r="H171" s="4">
        <v>647.3500000000003</v>
      </c>
      <c r="I171" s="4" t="s">
        <v>1053</v>
      </c>
    </row>
    <row r="172" spans="2:9" ht="15" hidden="1">
      <c r="B172" s="108" t="s">
        <v>371</v>
      </c>
      <c r="C172" s="109" t="s">
        <v>372</v>
      </c>
      <c r="D172" s="109" t="s">
        <v>1179</v>
      </c>
      <c r="E172" s="110" t="s">
        <v>364</v>
      </c>
      <c r="F172" s="110" t="s">
        <v>249</v>
      </c>
      <c r="G172" s="107">
        <v>0</v>
      </c>
      <c r="H172" s="107">
        <v>0</v>
      </c>
      <c r="I172" s="107" t="s">
        <v>1053</v>
      </c>
    </row>
    <row r="173" spans="2:9" ht="15" hidden="1">
      <c r="B173" s="108" t="s">
        <v>373</v>
      </c>
      <c r="C173" s="109" t="s">
        <v>374</v>
      </c>
      <c r="D173" s="109" t="s">
        <v>1180</v>
      </c>
      <c r="E173" s="110" t="s">
        <v>364</v>
      </c>
      <c r="F173" s="110" t="s">
        <v>42</v>
      </c>
      <c r="G173" s="107">
        <v>0</v>
      </c>
      <c r="H173" s="107">
        <v>0</v>
      </c>
      <c r="I173" s="107" t="s">
        <v>1053</v>
      </c>
    </row>
    <row r="174" spans="2:9" ht="15" hidden="1">
      <c r="B174" s="108" t="s">
        <v>375</v>
      </c>
      <c r="C174" s="109" t="s">
        <v>376</v>
      </c>
      <c r="D174" s="109" t="s">
        <v>1181</v>
      </c>
      <c r="E174" s="110" t="s">
        <v>364</v>
      </c>
      <c r="F174" s="110" t="s">
        <v>249</v>
      </c>
      <c r="G174" s="107">
        <v>0</v>
      </c>
      <c r="H174" s="107">
        <v>0</v>
      </c>
      <c r="I174" s="107" t="s">
        <v>1053</v>
      </c>
    </row>
    <row r="175" spans="2:9" ht="15" hidden="1">
      <c r="B175" s="108" t="s">
        <v>377</v>
      </c>
      <c r="C175" s="109" t="s">
        <v>378</v>
      </c>
      <c r="D175" s="109" t="s">
        <v>1182</v>
      </c>
      <c r="E175" s="110" t="s">
        <v>364</v>
      </c>
      <c r="F175" s="110" t="s">
        <v>42</v>
      </c>
      <c r="G175" s="107">
        <v>0</v>
      </c>
      <c r="H175" s="107">
        <v>0</v>
      </c>
      <c r="I175" s="107" t="s">
        <v>1053</v>
      </c>
    </row>
    <row r="176" spans="2:9" ht="15" hidden="1">
      <c r="B176" s="41" t="s">
        <v>379</v>
      </c>
      <c r="C176" s="64" t="s">
        <v>380</v>
      </c>
      <c r="D176" s="64" t="s">
        <v>1183</v>
      </c>
      <c r="E176" s="23" t="s">
        <v>364</v>
      </c>
      <c r="F176" s="23" t="s">
        <v>249</v>
      </c>
      <c r="G176" s="4" t="s">
        <v>1554</v>
      </c>
      <c r="H176" s="4">
        <v>2502</v>
      </c>
      <c r="I176" s="4" t="s">
        <v>1053</v>
      </c>
    </row>
    <row r="177" spans="2:9" ht="15" hidden="1">
      <c r="B177" s="41" t="s">
        <v>381</v>
      </c>
      <c r="C177" s="64" t="s">
        <v>382</v>
      </c>
      <c r="D177" s="64" t="s">
        <v>1184</v>
      </c>
      <c r="E177" s="23" t="s">
        <v>364</v>
      </c>
      <c r="F177" s="23" t="s">
        <v>249</v>
      </c>
      <c r="G177" s="4" t="s">
        <v>1403</v>
      </c>
      <c r="H177" s="4">
        <v>2762.60</v>
      </c>
      <c r="I177" s="4" t="s">
        <v>1053</v>
      </c>
    </row>
    <row r="178" spans="2:9" ht="15" hidden="1">
      <c r="B178" s="108" t="s">
        <v>383</v>
      </c>
      <c r="C178" s="109" t="s">
        <v>384</v>
      </c>
      <c r="D178" s="109" t="s">
        <v>1185</v>
      </c>
      <c r="E178" s="110" t="s">
        <v>364</v>
      </c>
      <c r="F178" s="110" t="s">
        <v>249</v>
      </c>
      <c r="G178" s="107">
        <v>0</v>
      </c>
      <c r="H178" s="107">
        <v>0</v>
      </c>
      <c r="I178" s="107" t="s">
        <v>1053</v>
      </c>
    </row>
    <row r="179" spans="2:9" ht="15" hidden="1">
      <c r="B179" s="108" t="s">
        <v>385</v>
      </c>
      <c r="C179" s="109" t="s">
        <v>386</v>
      </c>
      <c r="D179" s="109" t="s">
        <v>1188</v>
      </c>
      <c r="E179" s="110" t="s">
        <v>364</v>
      </c>
      <c r="F179" s="110" t="s">
        <v>249</v>
      </c>
      <c r="G179" s="107">
        <v>0</v>
      </c>
      <c r="H179" s="107">
        <v>0</v>
      </c>
      <c r="I179" s="107" t="s">
        <v>1053</v>
      </c>
    </row>
    <row r="180" spans="2:9" ht="15" hidden="1">
      <c r="B180" s="108" t="s">
        <v>387</v>
      </c>
      <c r="C180" s="109" t="s">
        <v>388</v>
      </c>
      <c r="D180" s="109" t="s">
        <v>1186</v>
      </c>
      <c r="E180" s="110" t="s">
        <v>364</v>
      </c>
      <c r="F180" s="110" t="s">
        <v>249</v>
      </c>
      <c r="G180" s="107">
        <v>0</v>
      </c>
      <c r="H180" s="107">
        <v>0</v>
      </c>
      <c r="I180" s="107" t="s">
        <v>1053</v>
      </c>
    </row>
    <row r="181" spans="2:9" ht="15" hidden="1">
      <c r="B181" s="41" t="s">
        <v>389</v>
      </c>
      <c r="C181" s="64" t="s">
        <v>390</v>
      </c>
      <c r="D181" s="64" t="s">
        <v>1187</v>
      </c>
      <c r="E181" s="23" t="s">
        <v>364</v>
      </c>
      <c r="F181" s="23" t="s">
        <v>249</v>
      </c>
      <c r="G181" s="4" t="s">
        <v>1554</v>
      </c>
      <c r="H181" s="4">
        <v>236</v>
      </c>
      <c r="I181" s="4" t="s">
        <v>1053</v>
      </c>
    </row>
    <row r="182" spans="2:9" ht="15" hidden="1">
      <c r="B182" s="108" t="s">
        <v>391</v>
      </c>
      <c r="C182" s="109" t="s">
        <v>392</v>
      </c>
      <c r="D182" s="109" t="s">
        <v>1189</v>
      </c>
      <c r="E182" s="110" t="s">
        <v>364</v>
      </c>
      <c r="F182" s="110" t="s">
        <v>249</v>
      </c>
      <c r="G182" s="107">
        <v>0</v>
      </c>
      <c r="H182" s="107">
        <v>0</v>
      </c>
      <c r="I182" s="107" t="s">
        <v>1053</v>
      </c>
    </row>
    <row r="183" spans="2:9" ht="15" hidden="1">
      <c r="B183" s="41" t="s">
        <v>393</v>
      </c>
      <c r="C183" s="64" t="s">
        <v>394</v>
      </c>
      <c r="D183" s="64" t="s">
        <v>1190</v>
      </c>
      <c r="E183" s="23" t="s">
        <v>364</v>
      </c>
      <c r="F183" s="23" t="s">
        <v>249</v>
      </c>
      <c r="G183" s="4" t="s">
        <v>1403</v>
      </c>
      <c r="H183" s="4">
        <v>20707</v>
      </c>
      <c r="I183" s="4" t="s">
        <v>1053</v>
      </c>
    </row>
    <row r="184" spans="2:9" ht="15" hidden="1">
      <c r="B184" s="41" t="s">
        <v>395</v>
      </c>
      <c r="C184" s="64" t="s">
        <v>396</v>
      </c>
      <c r="D184" s="64" t="s">
        <v>1191</v>
      </c>
      <c r="E184" s="23" t="s">
        <v>364</v>
      </c>
      <c r="F184" s="23" t="s">
        <v>249</v>
      </c>
      <c r="G184" s="4" t="s">
        <v>1555</v>
      </c>
      <c r="H184" s="4">
        <v>4493.50</v>
      </c>
      <c r="I184" s="4" t="s">
        <v>1053</v>
      </c>
    </row>
    <row r="185" spans="2:9" ht="15" hidden="1">
      <c r="B185" s="41" t="s">
        <v>397</v>
      </c>
      <c r="C185" s="64" t="s">
        <v>398</v>
      </c>
      <c r="D185" s="64" t="s">
        <v>1192</v>
      </c>
      <c r="E185" s="23" t="s">
        <v>364</v>
      </c>
      <c r="F185" s="23" t="s">
        <v>249</v>
      </c>
      <c r="G185" s="4" t="s">
        <v>1556</v>
      </c>
      <c r="H185" s="4">
        <v>205</v>
      </c>
      <c r="I185" s="4" t="s">
        <v>1053</v>
      </c>
    </row>
    <row r="186" spans="2:9" ht="15" hidden="1">
      <c r="B186" s="41" t="s">
        <v>399</v>
      </c>
      <c r="C186" s="64" t="s">
        <v>400</v>
      </c>
      <c r="D186" s="64" t="s">
        <v>1193</v>
      </c>
      <c r="E186" s="23" t="s">
        <v>364</v>
      </c>
      <c r="F186" s="23" t="s">
        <v>249</v>
      </c>
      <c r="G186" s="4" t="s">
        <v>1551</v>
      </c>
      <c r="H186" s="4">
        <v>2473</v>
      </c>
      <c r="I186" s="4" t="s">
        <v>1053</v>
      </c>
    </row>
    <row r="187" spans="2:9" ht="15" hidden="1">
      <c r="B187" s="41" t="s">
        <v>401</v>
      </c>
      <c r="C187" s="64" t="s">
        <v>402</v>
      </c>
      <c r="D187" s="64" t="s">
        <v>1194</v>
      </c>
      <c r="E187" s="23" t="s">
        <v>364</v>
      </c>
      <c r="F187" s="23" t="s">
        <v>249</v>
      </c>
      <c r="G187" s="4" t="s">
        <v>1551</v>
      </c>
      <c r="H187" s="4">
        <v>12488.50</v>
      </c>
      <c r="I187" s="4" t="s">
        <v>1053</v>
      </c>
    </row>
    <row r="188" spans="2:9" ht="15" hidden="1">
      <c r="B188" s="41" t="s">
        <v>403</v>
      </c>
      <c r="C188" s="64" t="s">
        <v>404</v>
      </c>
      <c r="D188" s="64" t="s">
        <v>1195</v>
      </c>
      <c r="E188" s="23" t="s">
        <v>364</v>
      </c>
      <c r="F188" s="23" t="s">
        <v>249</v>
      </c>
      <c r="G188" s="4" t="s">
        <v>1557</v>
      </c>
      <c r="H188" s="4">
        <v>137</v>
      </c>
      <c r="I188" s="4" t="s">
        <v>1053</v>
      </c>
    </row>
    <row r="189" spans="2:9" ht="15" hidden="1">
      <c r="B189" s="30" t="s">
        <v>405</v>
      </c>
      <c r="C189" s="31" t="s">
        <v>406</v>
      </c>
      <c r="D189" s="31" t="s">
        <v>1196</v>
      </c>
      <c r="E189" s="23" t="s">
        <v>364</v>
      </c>
      <c r="F189" s="23" t="s">
        <v>249</v>
      </c>
      <c r="G189" s="4" t="s">
        <v>1402</v>
      </c>
      <c r="H189" s="4">
        <v>34.749999999999986</v>
      </c>
      <c r="I189" s="4" t="s">
        <v>1053</v>
      </c>
    </row>
    <row r="190" spans="2:9" ht="15" hidden="1">
      <c r="B190" s="30" t="s">
        <v>407</v>
      </c>
      <c r="C190" s="31" t="s">
        <v>408</v>
      </c>
      <c r="D190" s="31" t="s">
        <v>1197</v>
      </c>
      <c r="E190" s="23" t="s">
        <v>364</v>
      </c>
      <c r="F190" s="23" t="s">
        <v>249</v>
      </c>
      <c r="G190" s="4" t="s">
        <v>1544</v>
      </c>
      <c r="H190" s="4">
        <v>334.50</v>
      </c>
      <c r="I190" s="4" t="s">
        <v>1053</v>
      </c>
    </row>
    <row r="191" spans="2:9" ht="15" hidden="1">
      <c r="B191" s="30" t="s">
        <v>409</v>
      </c>
      <c r="C191" s="31" t="s">
        <v>410</v>
      </c>
      <c r="D191" s="31" t="s">
        <v>1198</v>
      </c>
      <c r="E191" s="23" t="s">
        <v>364</v>
      </c>
      <c r="F191" s="23" t="s">
        <v>249</v>
      </c>
      <c r="G191" s="4" t="s">
        <v>1557</v>
      </c>
      <c r="H191" s="4">
        <v>517.10</v>
      </c>
      <c r="I191" s="4" t="s">
        <v>1053</v>
      </c>
    </row>
    <row r="192" spans="2:9" ht="15" hidden="1">
      <c r="B192" s="104" t="s">
        <v>411</v>
      </c>
      <c r="C192" s="111" t="s">
        <v>412</v>
      </c>
      <c r="D192" s="111" t="s">
        <v>1199</v>
      </c>
      <c r="E192" s="110" t="s">
        <v>364</v>
      </c>
      <c r="F192" s="110" t="s">
        <v>249</v>
      </c>
      <c r="G192" s="107">
        <v>0</v>
      </c>
      <c r="H192" s="107">
        <v>0</v>
      </c>
      <c r="I192" s="107" t="s">
        <v>1053</v>
      </c>
    </row>
    <row r="193" spans="2:9" ht="15" hidden="1">
      <c r="B193" s="104" t="s">
        <v>413</v>
      </c>
      <c r="C193" s="111" t="s">
        <v>414</v>
      </c>
      <c r="D193" s="112" t="s">
        <v>1032</v>
      </c>
      <c r="E193" s="110" t="s">
        <v>364</v>
      </c>
      <c r="F193" s="110" t="s">
        <v>249</v>
      </c>
      <c r="G193" s="107">
        <v>0</v>
      </c>
      <c r="H193" s="107">
        <v>0</v>
      </c>
      <c r="I193" s="107" t="s">
        <v>1053</v>
      </c>
    </row>
    <row r="194" spans="2:9" ht="15" hidden="1">
      <c r="B194" s="30" t="s">
        <v>415</v>
      </c>
      <c r="C194" s="31" t="s">
        <v>416</v>
      </c>
      <c r="D194" s="31" t="s">
        <v>1200</v>
      </c>
      <c r="E194" s="23" t="s">
        <v>364</v>
      </c>
      <c r="F194" s="23" t="s">
        <v>249</v>
      </c>
      <c r="G194" s="4" t="s">
        <v>1558</v>
      </c>
      <c r="H194" s="4">
        <v>222.80</v>
      </c>
      <c r="I194" s="4" t="s">
        <v>1053</v>
      </c>
    </row>
    <row r="195" spans="2:9" ht="15" hidden="1">
      <c r="B195" s="104" t="s">
        <v>417</v>
      </c>
      <c r="C195" s="111" t="s">
        <v>418</v>
      </c>
      <c r="D195" s="111" t="s">
        <v>1201</v>
      </c>
      <c r="E195" s="110" t="s">
        <v>364</v>
      </c>
      <c r="F195" s="110" t="s">
        <v>249</v>
      </c>
      <c r="G195" s="107">
        <v>0</v>
      </c>
      <c r="H195" s="107">
        <v>0</v>
      </c>
      <c r="I195" s="107" t="s">
        <v>1053</v>
      </c>
    </row>
    <row r="196" spans="2:9" ht="15" hidden="1">
      <c r="B196" s="30" t="s">
        <v>419</v>
      </c>
      <c r="C196" s="31" t="s">
        <v>420</v>
      </c>
      <c r="D196" s="31" t="s">
        <v>1202</v>
      </c>
      <c r="E196" s="23" t="s">
        <v>364</v>
      </c>
      <c r="F196" s="23" t="s">
        <v>249</v>
      </c>
      <c r="G196" s="4" t="s">
        <v>1559</v>
      </c>
      <c r="H196" s="4">
        <v>775.55</v>
      </c>
      <c r="I196" s="4" t="s">
        <v>1053</v>
      </c>
    </row>
    <row r="197" spans="2:9" ht="15" hidden="1">
      <c r="B197" s="104" t="s">
        <v>421</v>
      </c>
      <c r="C197" s="111" t="s">
        <v>422</v>
      </c>
      <c r="D197" s="112" t="s">
        <v>1032</v>
      </c>
      <c r="E197" s="110" t="s">
        <v>364</v>
      </c>
      <c r="F197" s="110" t="s">
        <v>249</v>
      </c>
      <c r="G197" s="107">
        <v>0</v>
      </c>
      <c r="H197" s="107">
        <v>0</v>
      </c>
      <c r="I197" s="107" t="s">
        <v>1053</v>
      </c>
    </row>
    <row r="198" spans="2:9" ht="15" hidden="1">
      <c r="B198" s="104" t="s">
        <v>423</v>
      </c>
      <c r="C198" s="111" t="s">
        <v>424</v>
      </c>
      <c r="D198" s="111" t="s">
        <v>1206</v>
      </c>
      <c r="E198" s="110" t="s">
        <v>364</v>
      </c>
      <c r="F198" s="110" t="s">
        <v>249</v>
      </c>
      <c r="G198" s="107">
        <v>0</v>
      </c>
      <c r="H198" s="107">
        <v>0</v>
      </c>
      <c r="I198" s="107" t="s">
        <v>1053</v>
      </c>
    </row>
    <row r="199" spans="2:9" ht="15" hidden="1">
      <c r="B199" s="30" t="s">
        <v>425</v>
      </c>
      <c r="C199" s="31" t="s">
        <v>426</v>
      </c>
      <c r="D199" s="31" t="s">
        <v>1203</v>
      </c>
      <c r="E199" s="23" t="s">
        <v>364</v>
      </c>
      <c r="F199" s="23" t="s">
        <v>249</v>
      </c>
      <c r="G199" s="4" t="s">
        <v>1558</v>
      </c>
      <c r="H199" s="4">
        <v>277</v>
      </c>
      <c r="I199" s="4" t="s">
        <v>1053</v>
      </c>
    </row>
    <row r="200" spans="2:9" ht="15" hidden="1">
      <c r="B200" s="104" t="s">
        <v>427</v>
      </c>
      <c r="C200" s="111" t="s">
        <v>428</v>
      </c>
      <c r="D200" s="111" t="s">
        <v>1204</v>
      </c>
      <c r="E200" s="110" t="s">
        <v>364</v>
      </c>
      <c r="F200" s="110" t="s">
        <v>249</v>
      </c>
      <c r="G200" s="107">
        <v>0</v>
      </c>
      <c r="H200" s="107">
        <v>0</v>
      </c>
      <c r="I200" s="107" t="s">
        <v>1053</v>
      </c>
    </row>
    <row r="201" spans="2:9" ht="15" hidden="1">
      <c r="B201" s="104" t="s">
        <v>429</v>
      </c>
      <c r="C201" s="111" t="s">
        <v>430</v>
      </c>
      <c r="D201" s="111" t="s">
        <v>1205</v>
      </c>
      <c r="E201" s="110" t="s">
        <v>364</v>
      </c>
      <c r="F201" s="110" t="s">
        <v>249</v>
      </c>
      <c r="G201" s="107">
        <v>0</v>
      </c>
      <c r="H201" s="107">
        <v>0</v>
      </c>
      <c r="I201" s="107" t="s">
        <v>1053</v>
      </c>
    </row>
    <row r="202" spans="2:9" ht="15" hidden="1">
      <c r="B202" s="30" t="s">
        <v>431</v>
      </c>
      <c r="C202" s="31" t="s">
        <v>432</v>
      </c>
      <c r="D202" s="31" t="s">
        <v>1207</v>
      </c>
      <c r="E202" s="23" t="s">
        <v>364</v>
      </c>
      <c r="F202" s="23" t="s">
        <v>249</v>
      </c>
      <c r="G202" s="4" t="s">
        <v>1552</v>
      </c>
      <c r="H202" s="4">
        <v>371</v>
      </c>
      <c r="I202" s="4" t="s">
        <v>1053</v>
      </c>
    </row>
    <row r="203" spans="2:9" ht="15" hidden="1">
      <c r="B203" s="104" t="s">
        <v>433</v>
      </c>
      <c r="C203" s="111" t="s">
        <v>434</v>
      </c>
      <c r="D203" s="111" t="s">
        <v>1208</v>
      </c>
      <c r="E203" s="110" t="s">
        <v>364</v>
      </c>
      <c r="F203" s="110" t="s">
        <v>249</v>
      </c>
      <c r="G203" s="107">
        <v>0</v>
      </c>
      <c r="H203" s="107">
        <v>0</v>
      </c>
      <c r="I203" s="107" t="s">
        <v>1053</v>
      </c>
    </row>
    <row r="204" spans="2:9" ht="15" hidden="1">
      <c r="B204" s="30" t="s">
        <v>435</v>
      </c>
      <c r="C204" s="31" t="s">
        <v>436</v>
      </c>
      <c r="D204" s="100" t="s">
        <v>1032</v>
      </c>
      <c r="E204" s="23" t="s">
        <v>364</v>
      </c>
      <c r="F204" s="23" t="s">
        <v>249</v>
      </c>
      <c r="G204" s="4">
        <v>0</v>
      </c>
      <c r="H204" s="4">
        <v>319</v>
      </c>
      <c r="I204" s="4" t="s">
        <v>1053</v>
      </c>
    </row>
    <row r="205" spans="2:9" ht="15" hidden="1">
      <c r="B205" s="104" t="s">
        <v>437</v>
      </c>
      <c r="C205" s="111" t="s">
        <v>438</v>
      </c>
      <c r="D205" s="112" t="s">
        <v>1032</v>
      </c>
      <c r="E205" s="110" t="s">
        <v>364</v>
      </c>
      <c r="F205" s="110" t="s">
        <v>249</v>
      </c>
      <c r="G205" s="107">
        <v>0</v>
      </c>
      <c r="H205" s="107">
        <v>0</v>
      </c>
      <c r="I205" s="107" t="s">
        <v>1053</v>
      </c>
    </row>
    <row r="206" spans="2:9" ht="15" hidden="1">
      <c r="B206" s="104" t="s">
        <v>439</v>
      </c>
      <c r="C206" s="111" t="s">
        <v>440</v>
      </c>
      <c r="D206" s="112" t="s">
        <v>1032</v>
      </c>
      <c r="E206" s="110" t="s">
        <v>364</v>
      </c>
      <c r="F206" s="110" t="s">
        <v>249</v>
      </c>
      <c r="G206" s="107">
        <v>0</v>
      </c>
      <c r="H206" s="107">
        <v>0</v>
      </c>
      <c r="I206" s="107" t="s">
        <v>1053</v>
      </c>
    </row>
    <row r="207" spans="2:9" ht="15" hidden="1">
      <c r="B207" s="30" t="s">
        <v>441</v>
      </c>
      <c r="C207" s="31" t="s">
        <v>442</v>
      </c>
      <c r="D207" s="31" t="s">
        <v>1209</v>
      </c>
      <c r="E207" s="23" t="s">
        <v>364</v>
      </c>
      <c r="F207" s="23" t="s">
        <v>141</v>
      </c>
      <c r="G207" s="4">
        <v>0</v>
      </c>
      <c r="H207" s="4">
        <v>109.34999999999997</v>
      </c>
      <c r="I207" s="4" t="s">
        <v>1053</v>
      </c>
    </row>
    <row r="208" spans="2:9" ht="15" hidden="1">
      <c r="B208" s="104" t="s">
        <v>443</v>
      </c>
      <c r="C208" s="111" t="s">
        <v>444</v>
      </c>
      <c r="D208" s="112" t="s">
        <v>1032</v>
      </c>
      <c r="E208" s="110" t="s">
        <v>364</v>
      </c>
      <c r="F208" s="110" t="s">
        <v>332</v>
      </c>
      <c r="G208" s="107">
        <v>0</v>
      </c>
      <c r="H208" s="107">
        <v>0</v>
      </c>
      <c r="I208" s="107" t="s">
        <v>1053</v>
      </c>
    </row>
    <row r="209" spans="2:9" ht="15" hidden="1">
      <c r="B209" s="30" t="s">
        <v>445</v>
      </c>
      <c r="C209" s="31" t="s">
        <v>446</v>
      </c>
      <c r="D209" s="31" t="s">
        <v>1210</v>
      </c>
      <c r="E209" s="23" t="s">
        <v>364</v>
      </c>
      <c r="F209" s="23" t="s">
        <v>332</v>
      </c>
      <c r="G209" s="4" t="s">
        <v>1553</v>
      </c>
      <c r="H209" s="4">
        <v>226</v>
      </c>
      <c r="I209" s="4" t="s">
        <v>1053</v>
      </c>
    </row>
    <row r="210" spans="2:9" ht="15" hidden="1">
      <c r="B210" s="30" t="s">
        <v>447</v>
      </c>
      <c r="C210" s="31" t="s">
        <v>448</v>
      </c>
      <c r="D210" s="31" t="s">
        <v>1211</v>
      </c>
      <c r="E210" s="23" t="s">
        <v>364</v>
      </c>
      <c r="F210" s="23" t="s">
        <v>332</v>
      </c>
      <c r="G210" s="4" t="s">
        <v>1560</v>
      </c>
      <c r="H210" s="4">
        <v>2738.50</v>
      </c>
      <c r="I210" s="4" t="s">
        <v>1053</v>
      </c>
    </row>
    <row r="211" spans="2:9" ht="15" hidden="1">
      <c r="B211" s="104" t="s">
        <v>449</v>
      </c>
      <c r="C211" s="111" t="s">
        <v>450</v>
      </c>
      <c r="D211" s="111" t="s">
        <v>1212</v>
      </c>
      <c r="E211" s="110" t="s">
        <v>364</v>
      </c>
      <c r="F211" s="110" t="s">
        <v>332</v>
      </c>
      <c r="G211" s="107">
        <v>0</v>
      </c>
      <c r="H211" s="107">
        <v>0</v>
      </c>
      <c r="I211" s="107" t="s">
        <v>1053</v>
      </c>
    </row>
    <row r="212" spans="2:9" ht="15" hidden="1">
      <c r="B212" s="104" t="s">
        <v>451</v>
      </c>
      <c r="C212" s="111" t="s">
        <v>452</v>
      </c>
      <c r="D212" s="111" t="s">
        <v>1213</v>
      </c>
      <c r="E212" s="110" t="s">
        <v>364</v>
      </c>
      <c r="F212" s="110" t="s">
        <v>332</v>
      </c>
      <c r="G212" s="107">
        <v>0</v>
      </c>
      <c r="H212" s="107">
        <v>0</v>
      </c>
      <c r="I212" s="107" t="s">
        <v>1053</v>
      </c>
    </row>
    <row r="213" spans="2:9" ht="15" hidden="1">
      <c r="B213" s="30" t="s">
        <v>453</v>
      </c>
      <c r="C213" s="31" t="s">
        <v>454</v>
      </c>
      <c r="D213" s="31" t="s">
        <v>1216</v>
      </c>
      <c r="E213" s="23" t="s">
        <v>364</v>
      </c>
      <c r="F213" s="23" t="s">
        <v>332</v>
      </c>
      <c r="G213" s="4">
        <v>0</v>
      </c>
      <c r="H213" s="4">
        <v>1395</v>
      </c>
      <c r="I213" s="4" t="s">
        <v>1053</v>
      </c>
    </row>
    <row r="214" spans="2:9" ht="15" hidden="1">
      <c r="B214" s="30" t="s">
        <v>455</v>
      </c>
      <c r="C214" s="31" t="s">
        <v>456</v>
      </c>
      <c r="D214" s="31" t="s">
        <v>1217</v>
      </c>
      <c r="E214" s="23" t="s">
        <v>364</v>
      </c>
      <c r="F214" s="23" t="s">
        <v>332</v>
      </c>
      <c r="G214" s="4" t="s">
        <v>1559</v>
      </c>
      <c r="H214" s="4">
        <v>347.40</v>
      </c>
      <c r="I214" s="4" t="s">
        <v>1053</v>
      </c>
    </row>
    <row r="215" spans="2:9" ht="15" hidden="1">
      <c r="B215" s="30" t="s">
        <v>457</v>
      </c>
      <c r="C215" s="65" t="s">
        <v>458</v>
      </c>
      <c r="D215" s="65" t="s">
        <v>1218</v>
      </c>
      <c r="E215" s="23" t="s">
        <v>364</v>
      </c>
      <c r="F215" s="23" t="s">
        <v>459</v>
      </c>
      <c r="G215" s="4" t="s">
        <v>1561</v>
      </c>
      <c r="H215" s="4">
        <v>3526.75</v>
      </c>
      <c r="I215" s="4" t="s">
        <v>1053</v>
      </c>
    </row>
    <row r="216" spans="2:9" ht="15" hidden="1">
      <c r="B216" s="30" t="s">
        <v>460</v>
      </c>
      <c r="C216" s="65" t="s">
        <v>461</v>
      </c>
      <c r="D216" s="65" t="s">
        <v>1219</v>
      </c>
      <c r="E216" s="23" t="s">
        <v>364</v>
      </c>
      <c r="F216" s="23" t="s">
        <v>462</v>
      </c>
      <c r="G216" s="4" t="s">
        <v>1403</v>
      </c>
      <c r="H216" s="4">
        <v>18064.50</v>
      </c>
      <c r="I216" s="4" t="s">
        <v>1053</v>
      </c>
    </row>
    <row r="217" spans="2:9" ht="15" hidden="1">
      <c r="B217" s="30" t="s">
        <v>463</v>
      </c>
      <c r="C217" s="65" t="s">
        <v>464</v>
      </c>
      <c r="D217" s="65" t="s">
        <v>1220</v>
      </c>
      <c r="E217" s="23" t="s">
        <v>364</v>
      </c>
      <c r="F217" s="23" t="s">
        <v>332</v>
      </c>
      <c r="G217" s="4">
        <v>0</v>
      </c>
      <c r="H217" s="4">
        <v>2606</v>
      </c>
      <c r="I217" s="4" t="s">
        <v>1053</v>
      </c>
    </row>
    <row r="218" spans="2:9" ht="15" hidden="1">
      <c r="B218" s="30" t="s">
        <v>465</v>
      </c>
      <c r="C218" s="65" t="s">
        <v>466</v>
      </c>
      <c r="D218" s="65" t="s">
        <v>1221</v>
      </c>
      <c r="E218" s="23" t="s">
        <v>364</v>
      </c>
      <c r="F218" s="23" t="s">
        <v>462</v>
      </c>
      <c r="G218" s="4" t="s">
        <v>1553</v>
      </c>
      <c r="H218" s="4">
        <v>32</v>
      </c>
      <c r="I218" s="4" t="s">
        <v>1053</v>
      </c>
    </row>
    <row r="219" spans="2:9" ht="15" hidden="1">
      <c r="B219" s="24"/>
      <c r="C219" s="25"/>
      <c r="D219" s="25"/>
      <c r="E219" s="26"/>
      <c r="F219" s="27"/>
      <c r="G219" s="4">
        <v>0</v>
      </c>
      <c r="H219" s="4">
        <v>0</v>
      </c>
      <c r="I219" s="4">
        <v>0</v>
      </c>
    </row>
    <row r="220" spans="2:9" ht="15" hidden="1">
      <c r="B220" s="30" t="s">
        <v>467</v>
      </c>
      <c r="C220" s="31" t="s">
        <v>468</v>
      </c>
      <c r="D220" s="31" t="s">
        <v>1222</v>
      </c>
      <c r="E220" s="23" t="s">
        <v>469</v>
      </c>
      <c r="F220" s="23" t="s">
        <v>332</v>
      </c>
      <c r="G220" s="4" t="s">
        <v>1385</v>
      </c>
      <c r="H220" s="4">
        <v>51525</v>
      </c>
      <c r="I220" s="4" t="s">
        <v>1048</v>
      </c>
    </row>
    <row r="221" spans="2:9" ht="15" hidden="1">
      <c r="B221" s="30" t="s">
        <v>470</v>
      </c>
      <c r="C221" s="31" t="s">
        <v>471</v>
      </c>
      <c r="D221" s="31" t="s">
        <v>1223</v>
      </c>
      <c r="E221" s="23" t="s">
        <v>469</v>
      </c>
      <c r="F221" s="23" t="s">
        <v>332</v>
      </c>
      <c r="G221" s="4">
        <v>0</v>
      </c>
      <c r="H221" s="4">
        <v>9209.60</v>
      </c>
      <c r="I221" s="4" t="s">
        <v>1048</v>
      </c>
    </row>
    <row r="222" spans="2:9" ht="15" hidden="1">
      <c r="B222" s="30" t="s">
        <v>472</v>
      </c>
      <c r="C222" s="31" t="s">
        <v>473</v>
      </c>
      <c r="D222" s="31" t="s">
        <v>1224</v>
      </c>
      <c r="E222" s="23" t="s">
        <v>469</v>
      </c>
      <c r="F222" s="23" t="s">
        <v>332</v>
      </c>
      <c r="G222" s="4" t="s">
        <v>1385</v>
      </c>
      <c r="H222" s="4">
        <v>6313.71</v>
      </c>
      <c r="I222" s="4" t="s">
        <v>1048</v>
      </c>
    </row>
    <row r="223" spans="2:9" ht="15" hidden="1">
      <c r="B223" s="30" t="s">
        <v>474</v>
      </c>
      <c r="C223" s="31" t="s">
        <v>475</v>
      </c>
      <c r="D223" s="31" t="s">
        <v>1225</v>
      </c>
      <c r="E223" s="23" t="s">
        <v>469</v>
      </c>
      <c r="F223" s="23" t="s">
        <v>332</v>
      </c>
      <c r="G223" s="4" t="s">
        <v>1385</v>
      </c>
      <c r="H223" s="4">
        <v>2673.89</v>
      </c>
      <c r="I223" s="4" t="s">
        <v>1048</v>
      </c>
    </row>
    <row r="224" spans="2:9" ht="15" hidden="1">
      <c r="B224" s="30" t="s">
        <v>476</v>
      </c>
      <c r="C224" s="31" t="s">
        <v>477</v>
      </c>
      <c r="D224" s="31" t="s">
        <v>1226</v>
      </c>
      <c r="E224" s="23" t="s">
        <v>469</v>
      </c>
      <c r="F224" s="23" t="s">
        <v>332</v>
      </c>
      <c r="G224" s="4">
        <v>0</v>
      </c>
      <c r="H224" s="4">
        <v>3730</v>
      </c>
      <c r="I224" s="4" t="s">
        <v>1046</v>
      </c>
    </row>
    <row r="225" spans="2:9" ht="15" hidden="1">
      <c r="B225" s="24"/>
      <c r="C225" s="25"/>
      <c r="D225" s="25"/>
      <c r="E225" s="26"/>
      <c r="F225" s="27"/>
      <c r="G225" s="4">
        <v>0</v>
      </c>
      <c r="H225" s="4">
        <v>0</v>
      </c>
      <c r="I225" s="4">
        <v>0</v>
      </c>
    </row>
    <row r="226" spans="2:9" ht="15" hidden="1">
      <c r="B226" s="66" t="s">
        <v>478</v>
      </c>
      <c r="C226" s="67" t="s">
        <v>479</v>
      </c>
      <c r="D226" s="67" t="s">
        <v>1028</v>
      </c>
      <c r="E226" s="68" t="s">
        <v>480</v>
      </c>
      <c r="F226" s="32" t="s">
        <v>481</v>
      </c>
      <c r="G226" s="4">
        <v>0</v>
      </c>
      <c r="H226" s="4">
        <v>190</v>
      </c>
      <c r="I226" s="4" t="s">
        <v>1028</v>
      </c>
    </row>
    <row r="227" spans="2:9" ht="15" hidden="1">
      <c r="B227" s="24"/>
      <c r="C227" s="25"/>
      <c r="D227" s="25"/>
      <c r="E227" s="26"/>
      <c r="F227" s="27"/>
      <c r="G227" s="4">
        <v>0</v>
      </c>
      <c r="H227" s="4">
        <v>0</v>
      </c>
      <c r="I227" s="4">
        <v>0</v>
      </c>
    </row>
    <row r="228" spans="2:9" ht="15" hidden="1">
      <c r="B228" s="113" t="s">
        <v>482</v>
      </c>
      <c r="C228" s="114" t="s">
        <v>483</v>
      </c>
      <c r="D228" s="115" t="s">
        <v>1032</v>
      </c>
      <c r="E228" s="110" t="s">
        <v>484</v>
      </c>
      <c r="F228" s="110" t="s">
        <v>485</v>
      </c>
      <c r="G228" s="107">
        <v>0</v>
      </c>
      <c r="H228" s="107">
        <v>0</v>
      </c>
      <c r="I228" s="107" t="s">
        <v>1032</v>
      </c>
    </row>
    <row r="229" spans="2:9" ht="15.75" hidden="1" thickBot="1">
      <c r="B229" s="21" t="s">
        <v>486</v>
      </c>
      <c r="C229" s="37" t="s">
        <v>487</v>
      </c>
      <c r="D229" s="36" t="s">
        <v>1028</v>
      </c>
      <c r="E229" s="23" t="s">
        <v>484</v>
      </c>
      <c r="F229" s="23" t="s">
        <v>488</v>
      </c>
      <c r="G229" s="4">
        <v>0</v>
      </c>
      <c r="H229" s="4">
        <v>24</v>
      </c>
      <c r="I229" s="4" t="s">
        <v>1028</v>
      </c>
    </row>
    <row r="230" spans="2:9" ht="15" hidden="1">
      <c r="B230" s="28"/>
      <c r="C230" s="29"/>
      <c r="D230" s="29"/>
      <c r="E230" s="26"/>
      <c r="F230" s="26"/>
      <c r="G230" s="4">
        <v>0</v>
      </c>
      <c r="H230" s="4">
        <v>0</v>
      </c>
      <c r="I230" s="4">
        <v>0</v>
      </c>
    </row>
    <row r="231" spans="2:9" ht="15" hidden="1">
      <c r="B231" s="66" t="s">
        <v>489</v>
      </c>
      <c r="C231" s="67" t="s">
        <v>490</v>
      </c>
      <c r="D231" s="67" t="s">
        <v>1028</v>
      </c>
      <c r="E231" s="68" t="s">
        <v>491</v>
      </c>
      <c r="F231" s="68" t="s">
        <v>492</v>
      </c>
      <c r="G231" s="4" t="s">
        <v>1472</v>
      </c>
      <c r="H231" s="4">
        <v>2020</v>
      </c>
      <c r="I231" s="4" t="s">
        <v>1044</v>
      </c>
    </row>
    <row r="232" spans="2:9" ht="15" hidden="1">
      <c r="B232" s="28"/>
      <c r="C232" s="29"/>
      <c r="D232" s="29"/>
      <c r="E232" s="26"/>
      <c r="F232" s="26"/>
      <c r="G232" s="4">
        <v>0</v>
      </c>
      <c r="H232" s="4">
        <v>0</v>
      </c>
      <c r="I232" s="4">
        <v>0</v>
      </c>
    </row>
    <row r="233" spans="2:9" ht="15" hidden="1">
      <c r="B233" s="113" t="s">
        <v>493</v>
      </c>
      <c r="C233" s="114" t="s">
        <v>1358</v>
      </c>
      <c r="D233" s="114" t="s">
        <v>1032</v>
      </c>
      <c r="E233" s="110" t="s">
        <v>494</v>
      </c>
      <c r="F233" s="110" t="s">
        <v>495</v>
      </c>
      <c r="G233" s="107">
        <v>0</v>
      </c>
      <c r="H233" s="107">
        <v>0</v>
      </c>
      <c r="I233" s="107" t="s">
        <v>1032</v>
      </c>
    </row>
    <row r="234" spans="2:9" ht="38.25" hidden="1">
      <c r="B234" s="21" t="s">
        <v>496</v>
      </c>
      <c r="C234" s="22" t="s">
        <v>497</v>
      </c>
      <c r="D234" s="22" t="s">
        <v>497</v>
      </c>
      <c r="E234" s="22" t="s">
        <v>497</v>
      </c>
      <c r="F234" s="22" t="s">
        <v>497</v>
      </c>
      <c r="G234" s="4" t="s">
        <v>1396</v>
      </c>
      <c r="H234" s="4">
        <v>159</v>
      </c>
      <c r="I234" s="4" t="s">
        <v>1058</v>
      </c>
    </row>
    <row r="235" spans="2:9" ht="15" hidden="1">
      <c r="B235" s="113" t="s">
        <v>498</v>
      </c>
      <c r="C235" s="114" t="s">
        <v>499</v>
      </c>
      <c r="D235" s="115" t="s">
        <v>1032</v>
      </c>
      <c r="E235" s="110" t="s">
        <v>494</v>
      </c>
      <c r="F235" s="110" t="s">
        <v>500</v>
      </c>
      <c r="G235" s="107">
        <v>0</v>
      </c>
      <c r="H235" s="107">
        <v>0</v>
      </c>
      <c r="I235" s="107" t="s">
        <v>1032</v>
      </c>
    </row>
    <row r="236" spans="2:9" ht="15" hidden="1">
      <c r="B236" s="21" t="s">
        <v>501</v>
      </c>
      <c r="C236" s="22" t="s">
        <v>502</v>
      </c>
      <c r="D236" s="22" t="s">
        <v>1227</v>
      </c>
      <c r="E236" s="23" t="s">
        <v>494</v>
      </c>
      <c r="F236" s="23" t="s">
        <v>503</v>
      </c>
      <c r="G236" s="4">
        <v>0</v>
      </c>
      <c r="H236" s="4">
        <v>2</v>
      </c>
      <c r="I236" s="4" t="s">
        <v>1058</v>
      </c>
    </row>
    <row r="237" spans="2:9" ht="15" hidden="1">
      <c r="B237" s="44"/>
      <c r="C237" s="44"/>
      <c r="D237" s="44"/>
      <c r="E237" s="26"/>
      <c r="F237" s="27"/>
      <c r="G237" s="4">
        <v>0</v>
      </c>
      <c r="H237" s="4">
        <v>0</v>
      </c>
      <c r="I237" s="4">
        <v>0</v>
      </c>
    </row>
    <row r="238" spans="2:9" ht="15.75" hidden="1" thickBot="1">
      <c r="B238" s="37" t="s">
        <v>504</v>
      </c>
      <c r="C238" s="37" t="s">
        <v>505</v>
      </c>
      <c r="D238" s="36" t="s">
        <v>1164</v>
      </c>
      <c r="E238" s="22" t="s">
        <v>506</v>
      </c>
      <c r="F238" s="46" t="s">
        <v>336</v>
      </c>
      <c r="G238" s="4">
        <v>0</v>
      </c>
      <c r="H238" s="4">
        <v>756</v>
      </c>
      <c r="I238" s="4" t="s">
        <v>1043</v>
      </c>
    </row>
    <row r="239" spans="2:9" ht="15" hidden="1">
      <c r="B239" s="69"/>
      <c r="C239" s="69"/>
      <c r="D239" s="69"/>
      <c r="E239" s="26"/>
      <c r="F239" s="70"/>
      <c r="G239" s="4">
        <v>0</v>
      </c>
      <c r="H239" s="4">
        <v>0</v>
      </c>
      <c r="I239" s="4">
        <v>0</v>
      </c>
    </row>
    <row r="240" spans="2:9" ht="15" hidden="1">
      <c r="B240" s="36" t="s">
        <v>507</v>
      </c>
      <c r="C240" s="36" t="s">
        <v>508</v>
      </c>
      <c r="D240" s="36" t="s">
        <v>1228</v>
      </c>
      <c r="E240" s="23" t="s">
        <v>509</v>
      </c>
      <c r="F240" s="46" t="s">
        <v>510</v>
      </c>
      <c r="G240" s="4">
        <v>0</v>
      </c>
      <c r="H240" s="4">
        <v>165</v>
      </c>
      <c r="I240" s="4" t="s">
        <v>1044</v>
      </c>
    </row>
    <row r="241" spans="2:9" ht="15" hidden="1">
      <c r="B241" s="69"/>
      <c r="C241" s="69"/>
      <c r="D241" s="69"/>
      <c r="E241" s="26"/>
      <c r="F241" s="70"/>
      <c r="G241" s="4">
        <v>0</v>
      </c>
      <c r="H241" s="4">
        <v>0</v>
      </c>
      <c r="I241" s="4">
        <v>0</v>
      </c>
    </row>
    <row r="242" spans="2:9" ht="15" hidden="1">
      <c r="B242" s="21" t="s">
        <v>511</v>
      </c>
      <c r="C242" s="22" t="s">
        <v>512</v>
      </c>
      <c r="D242" s="22" t="s">
        <v>1229</v>
      </c>
      <c r="E242" s="23" t="s">
        <v>513</v>
      </c>
      <c r="F242" s="23" t="s">
        <v>21</v>
      </c>
      <c r="G242" s="4" t="s">
        <v>1392</v>
      </c>
      <c r="H242" s="4">
        <v>240</v>
      </c>
      <c r="I242" s="4" t="s">
        <v>1059</v>
      </c>
    </row>
    <row r="243" spans="2:9" ht="15" hidden="1">
      <c r="B243" s="21" t="s">
        <v>514</v>
      </c>
      <c r="C243" s="22" t="s">
        <v>515</v>
      </c>
      <c r="D243" s="22" t="s">
        <v>896</v>
      </c>
      <c r="E243" s="23" t="s">
        <v>513</v>
      </c>
      <c r="F243" s="23" t="s">
        <v>21</v>
      </c>
      <c r="G243" s="4" t="s">
        <v>1392</v>
      </c>
      <c r="H243" s="4">
        <v>83</v>
      </c>
      <c r="I243" s="4" t="s">
        <v>1059</v>
      </c>
    </row>
    <row r="244" spans="2:9" ht="15" hidden="1">
      <c r="B244" s="44"/>
      <c r="C244" s="44"/>
      <c r="D244" s="44"/>
      <c r="E244" s="26"/>
      <c r="F244" s="27"/>
      <c r="G244" s="4">
        <v>0</v>
      </c>
      <c r="H244" s="4">
        <v>0</v>
      </c>
      <c r="I244" s="4">
        <v>0</v>
      </c>
    </row>
    <row r="245" spans="2:9" ht="15" hidden="1">
      <c r="B245" s="21" t="s">
        <v>516</v>
      </c>
      <c r="C245" s="22" t="s">
        <v>517</v>
      </c>
      <c r="D245" s="22" t="s">
        <v>1230</v>
      </c>
      <c r="E245" s="23" t="s">
        <v>518</v>
      </c>
      <c r="F245" s="23" t="s">
        <v>519</v>
      </c>
      <c r="G245" s="4" t="s">
        <v>1515</v>
      </c>
      <c r="H245" s="4">
        <v>5670</v>
      </c>
      <c r="I245" s="4" t="s">
        <v>1029</v>
      </c>
    </row>
    <row r="246" spans="2:9" ht="15" hidden="1">
      <c r="B246" s="113" t="s">
        <v>520</v>
      </c>
      <c r="C246" s="114" t="s">
        <v>521</v>
      </c>
      <c r="D246" s="115" t="s">
        <v>1032</v>
      </c>
      <c r="E246" s="110" t="s">
        <v>518</v>
      </c>
      <c r="F246" s="110" t="s">
        <v>522</v>
      </c>
      <c r="G246" s="107" t="s">
        <v>1386</v>
      </c>
      <c r="H246" s="107">
        <v>0</v>
      </c>
      <c r="I246" s="107" t="s">
        <v>1032</v>
      </c>
    </row>
    <row r="247" spans="2:9" ht="15" hidden="1">
      <c r="B247" s="44"/>
      <c r="C247" s="44"/>
      <c r="D247" s="44"/>
      <c r="E247" s="26"/>
      <c r="F247" s="27"/>
      <c r="G247" s="4">
        <v>0</v>
      </c>
      <c r="H247" s="4">
        <v>0</v>
      </c>
      <c r="I247" s="4">
        <v>0</v>
      </c>
    </row>
    <row r="248" spans="2:9" ht="15" hidden="1">
      <c r="B248" s="21" t="s">
        <v>523</v>
      </c>
      <c r="C248" s="67" t="s">
        <v>524</v>
      </c>
      <c r="D248" s="67" t="s">
        <v>1231</v>
      </c>
      <c r="E248" s="68" t="s">
        <v>525</v>
      </c>
      <c r="F248" s="32" t="s">
        <v>283</v>
      </c>
      <c r="G248" s="4" t="s">
        <v>1397</v>
      </c>
      <c r="H248" s="4">
        <v>720</v>
      </c>
      <c r="I248" s="4" t="s">
        <v>1058</v>
      </c>
    </row>
    <row r="249" spans="2:9" ht="15" hidden="1">
      <c r="B249" s="21" t="s">
        <v>526</v>
      </c>
      <c r="C249" s="67" t="s">
        <v>527</v>
      </c>
      <c r="D249" s="67" t="s">
        <v>1232</v>
      </c>
      <c r="E249" s="68" t="s">
        <v>525</v>
      </c>
      <c r="F249" s="32" t="s">
        <v>283</v>
      </c>
      <c r="G249" s="4">
        <v>0</v>
      </c>
      <c r="H249" s="4">
        <v>1056</v>
      </c>
      <c r="I249" s="4" t="s">
        <v>1037</v>
      </c>
    </row>
    <row r="250" spans="2:9" ht="15">
      <c r="B250" s="21" t="s">
        <v>528</v>
      </c>
      <c r="C250" s="4" t="s">
        <v>529</v>
      </c>
      <c r="D250" s="4" t="s">
        <v>1234</v>
      </c>
      <c r="E250" s="68" t="s">
        <v>525</v>
      </c>
      <c r="F250" s="23" t="s">
        <v>230</v>
      </c>
      <c r="G250" s="4" t="s">
        <v>1677</v>
      </c>
      <c r="H250" s="4">
        <v>750</v>
      </c>
      <c r="I250" s="4" t="s">
        <v>1035</v>
      </c>
    </row>
    <row r="251" spans="2:9" ht="15" hidden="1">
      <c r="B251" s="44"/>
      <c r="C251" s="44"/>
      <c r="D251" s="44"/>
      <c r="E251" s="26"/>
      <c r="F251" s="27"/>
      <c r="G251" s="4">
        <v>0</v>
      </c>
      <c r="H251" s="4">
        <v>0</v>
      </c>
      <c r="I251" s="4">
        <v>0</v>
      </c>
    </row>
    <row r="252" spans="2:9" ht="15" hidden="1">
      <c r="B252" s="21" t="s">
        <v>530</v>
      </c>
      <c r="C252" s="22" t="s">
        <v>531</v>
      </c>
      <c r="D252" s="22" t="s">
        <v>1235</v>
      </c>
      <c r="E252" s="23" t="s">
        <v>532</v>
      </c>
      <c r="F252" s="23" t="s">
        <v>141</v>
      </c>
      <c r="G252" s="4">
        <v>0</v>
      </c>
      <c r="H252" s="4">
        <v>8</v>
      </c>
      <c r="I252" s="4" t="s">
        <v>1038</v>
      </c>
    </row>
    <row r="253" spans="2:9" ht="15" hidden="1">
      <c r="B253" s="21" t="s">
        <v>533</v>
      </c>
      <c r="C253" s="22" t="s">
        <v>534</v>
      </c>
      <c r="D253" s="22" t="s">
        <v>1236</v>
      </c>
      <c r="E253" s="23" t="s">
        <v>532</v>
      </c>
      <c r="F253" s="23" t="s">
        <v>535</v>
      </c>
      <c r="G253" s="4" t="s">
        <v>1393</v>
      </c>
      <c r="H253" s="4">
        <v>21</v>
      </c>
      <c r="I253" s="4" t="s">
        <v>1038</v>
      </c>
    </row>
    <row r="254" spans="2:9" ht="15" hidden="1">
      <c r="B254" s="21" t="s">
        <v>536</v>
      </c>
      <c r="C254" s="22" t="s">
        <v>537</v>
      </c>
      <c r="D254" s="22" t="s">
        <v>1237</v>
      </c>
      <c r="E254" s="23" t="s">
        <v>532</v>
      </c>
      <c r="F254" s="23" t="s">
        <v>535</v>
      </c>
      <c r="G254" s="4" t="s">
        <v>1393</v>
      </c>
      <c r="H254" s="4">
        <v>29</v>
      </c>
      <c r="I254" s="4" t="s">
        <v>1038</v>
      </c>
    </row>
    <row r="255" spans="2:9" ht="15" hidden="1">
      <c r="B255" s="21" t="s">
        <v>538</v>
      </c>
      <c r="C255" s="22" t="s">
        <v>539</v>
      </c>
      <c r="D255" s="22" t="s">
        <v>1238</v>
      </c>
      <c r="E255" s="23" t="s">
        <v>532</v>
      </c>
      <c r="F255" s="23" t="s">
        <v>141</v>
      </c>
      <c r="G255" s="4">
        <v>0</v>
      </c>
      <c r="H255" s="4">
        <v>1</v>
      </c>
      <c r="I255" s="4" t="s">
        <v>1038</v>
      </c>
    </row>
    <row r="256" spans="2:9" ht="15" hidden="1">
      <c r="B256" s="44"/>
      <c r="C256" s="44"/>
      <c r="D256" s="44"/>
      <c r="E256" s="26"/>
      <c r="F256" s="27"/>
      <c r="G256" s="4">
        <v>0</v>
      </c>
      <c r="H256" s="4">
        <v>0</v>
      </c>
      <c r="I256" s="4">
        <v>0</v>
      </c>
    </row>
    <row r="257" spans="2:9" ht="15" hidden="1">
      <c r="B257" s="21" t="s">
        <v>540</v>
      </c>
      <c r="C257" s="22" t="s">
        <v>541</v>
      </c>
      <c r="D257" s="22" t="s">
        <v>1244</v>
      </c>
      <c r="E257" s="23" t="s">
        <v>542</v>
      </c>
      <c r="F257" s="23" t="s">
        <v>543</v>
      </c>
      <c r="G257" s="4" t="s">
        <v>1536</v>
      </c>
      <c r="H257" s="4">
        <v>216</v>
      </c>
      <c r="I257" s="4" t="s">
        <v>1036</v>
      </c>
    </row>
    <row r="258" spans="2:9" ht="15" hidden="1">
      <c r="B258" s="21" t="s">
        <v>544</v>
      </c>
      <c r="C258" s="4" t="s">
        <v>545</v>
      </c>
      <c r="D258" s="4" t="s">
        <v>1239</v>
      </c>
      <c r="E258" s="23" t="s">
        <v>542</v>
      </c>
      <c r="F258" s="23" t="s">
        <v>546</v>
      </c>
      <c r="G258" s="4" t="s">
        <v>1535</v>
      </c>
      <c r="H258" s="4">
        <v>504</v>
      </c>
      <c r="I258" s="4" t="s">
        <v>1031</v>
      </c>
    </row>
    <row r="259" spans="2:9" ht="15" hidden="1">
      <c r="B259" s="21" t="s">
        <v>547</v>
      </c>
      <c r="C259" s="67" t="s">
        <v>548</v>
      </c>
      <c r="D259" s="67" t="s">
        <v>1240</v>
      </c>
      <c r="E259" s="23" t="s">
        <v>542</v>
      </c>
      <c r="F259" s="23" t="s">
        <v>546</v>
      </c>
      <c r="G259" s="4">
        <v>0</v>
      </c>
      <c r="H259" s="4">
        <v>441</v>
      </c>
      <c r="I259" s="4" t="s">
        <v>1031</v>
      </c>
    </row>
    <row r="260" spans="2:9" ht="15" hidden="1">
      <c r="B260" s="113" t="s">
        <v>549</v>
      </c>
      <c r="C260" s="114" t="s">
        <v>550</v>
      </c>
      <c r="D260" s="114" t="s">
        <v>1241</v>
      </c>
      <c r="E260" s="110" t="s">
        <v>542</v>
      </c>
      <c r="F260" s="110" t="s">
        <v>551</v>
      </c>
      <c r="G260" s="107">
        <v>0</v>
      </c>
      <c r="H260" s="107">
        <v>0</v>
      </c>
      <c r="I260" s="107" t="s">
        <v>1036</v>
      </c>
    </row>
    <row r="261" spans="2:9" ht="15" hidden="1">
      <c r="B261" s="21" t="s">
        <v>552</v>
      </c>
      <c r="C261" s="22" t="s">
        <v>553</v>
      </c>
      <c r="D261" s="22" t="s">
        <v>1243</v>
      </c>
      <c r="E261" s="23" t="s">
        <v>542</v>
      </c>
      <c r="F261" s="23" t="s">
        <v>554</v>
      </c>
      <c r="G261" s="4" t="s">
        <v>1401</v>
      </c>
      <c r="H261" s="4">
        <v>1560</v>
      </c>
      <c r="I261" s="4" t="s">
        <v>1033</v>
      </c>
    </row>
    <row r="262" spans="2:9" ht="15" hidden="1">
      <c r="B262" s="21" t="s">
        <v>555</v>
      </c>
      <c r="C262" s="22" t="s">
        <v>556</v>
      </c>
      <c r="D262" s="22" t="s">
        <v>1242</v>
      </c>
      <c r="E262" s="23" t="s">
        <v>542</v>
      </c>
      <c r="F262" s="23" t="s">
        <v>557</v>
      </c>
      <c r="G262" s="4" t="s">
        <v>1547</v>
      </c>
      <c r="H262" s="4">
        <v>120</v>
      </c>
      <c r="I262" s="4" t="s">
        <v>1054</v>
      </c>
    </row>
    <row r="263" spans="2:9" ht="15" hidden="1">
      <c r="B263" s="21" t="s">
        <v>558</v>
      </c>
      <c r="C263" s="22" t="s">
        <v>559</v>
      </c>
      <c r="D263" s="22" t="s">
        <v>1233</v>
      </c>
      <c r="E263" s="23" t="s">
        <v>542</v>
      </c>
      <c r="F263" s="23" t="s">
        <v>560</v>
      </c>
      <c r="G263" s="4" t="s">
        <v>1401</v>
      </c>
      <c r="H263" s="4">
        <v>608.90</v>
      </c>
      <c r="I263" s="4" t="s">
        <v>1033</v>
      </c>
    </row>
    <row r="264" spans="2:9" ht="15" hidden="1">
      <c r="B264" s="21" t="s">
        <v>561</v>
      </c>
      <c r="C264" s="22" t="s">
        <v>562</v>
      </c>
      <c r="D264" s="22" t="s">
        <v>1245</v>
      </c>
      <c r="E264" s="23" t="s">
        <v>542</v>
      </c>
      <c r="F264" s="23" t="s">
        <v>563</v>
      </c>
      <c r="G264" s="4">
        <v>0</v>
      </c>
      <c r="H264" s="4">
        <v>13</v>
      </c>
      <c r="I264" s="4" t="s">
        <v>1036</v>
      </c>
    </row>
    <row r="265" spans="2:9" ht="15" hidden="1">
      <c r="B265" s="28"/>
      <c r="C265" s="29"/>
      <c r="D265" s="29"/>
      <c r="E265" s="26"/>
      <c r="F265" s="26"/>
      <c r="G265" s="4">
        <v>0</v>
      </c>
      <c r="H265" s="4">
        <v>0</v>
      </c>
      <c r="I265" s="4">
        <v>0</v>
      </c>
    </row>
    <row r="266" spans="2:9" ht="15" hidden="1">
      <c r="B266" s="108" t="s">
        <v>564</v>
      </c>
      <c r="C266" s="108" t="s">
        <v>1359</v>
      </c>
      <c r="D266" s="108" t="s">
        <v>1246</v>
      </c>
      <c r="E266" s="106" t="s">
        <v>565</v>
      </c>
      <c r="F266" s="106" t="s">
        <v>205</v>
      </c>
      <c r="G266" s="107" t="s">
        <v>1393</v>
      </c>
      <c r="H266" s="107">
        <v>0</v>
      </c>
      <c r="I266" s="107" t="s">
        <v>1033</v>
      </c>
    </row>
    <row r="267" spans="2:9" ht="15" hidden="1">
      <c r="B267" s="44"/>
      <c r="C267" s="44"/>
      <c r="D267" s="44"/>
      <c r="E267" s="26"/>
      <c r="F267" s="27"/>
      <c r="G267" s="4">
        <v>0</v>
      </c>
      <c r="H267" s="4">
        <v>0</v>
      </c>
      <c r="I267" s="4">
        <v>0</v>
      </c>
    </row>
    <row r="268" spans="2:9" ht="15" hidden="1">
      <c r="B268" s="30" t="s">
        <v>566</v>
      </c>
      <c r="C268" s="36" t="s">
        <v>567</v>
      </c>
      <c r="D268" s="36" t="s">
        <v>1248</v>
      </c>
      <c r="E268" s="71" t="s">
        <v>568</v>
      </c>
      <c r="F268" s="32" t="s">
        <v>569</v>
      </c>
      <c r="G268" s="4">
        <v>0</v>
      </c>
      <c r="H268" s="4">
        <v>82</v>
      </c>
      <c r="I268" s="4" t="s">
        <v>1049</v>
      </c>
    </row>
    <row r="269" spans="2:9" ht="15" hidden="1">
      <c r="B269" s="30" t="s">
        <v>570</v>
      </c>
      <c r="C269" s="36" t="s">
        <v>571</v>
      </c>
      <c r="D269" s="36" t="s">
        <v>1247</v>
      </c>
      <c r="E269" s="71" t="s">
        <v>568</v>
      </c>
      <c r="F269" s="32" t="s">
        <v>569</v>
      </c>
      <c r="G269" s="4">
        <v>0</v>
      </c>
      <c r="H269" s="4">
        <v>1448</v>
      </c>
      <c r="I269" s="4" t="s">
        <v>1049</v>
      </c>
    </row>
    <row r="270" spans="2:9" ht="15" hidden="1">
      <c r="B270" s="30" t="s">
        <v>572</v>
      </c>
      <c r="C270" s="36" t="s">
        <v>573</v>
      </c>
      <c r="D270" s="36" t="s">
        <v>1249</v>
      </c>
      <c r="E270" s="71" t="s">
        <v>568</v>
      </c>
      <c r="F270" s="32" t="s">
        <v>201</v>
      </c>
      <c r="G270" s="4" t="s">
        <v>1385</v>
      </c>
      <c r="H270" s="4">
        <v>1777</v>
      </c>
      <c r="I270" s="4" t="s">
        <v>1049</v>
      </c>
    </row>
    <row r="271" spans="2:9" ht="15" hidden="1">
      <c r="B271" s="30" t="s">
        <v>574</v>
      </c>
      <c r="C271" s="36" t="s">
        <v>575</v>
      </c>
      <c r="D271" s="36" t="s">
        <v>1250</v>
      </c>
      <c r="E271" s="71" t="s">
        <v>568</v>
      </c>
      <c r="F271" s="32" t="s">
        <v>201</v>
      </c>
      <c r="G271" s="4" t="s">
        <v>1386</v>
      </c>
      <c r="H271" s="4">
        <v>175</v>
      </c>
      <c r="I271" s="4" t="s">
        <v>1047</v>
      </c>
    </row>
    <row r="272" spans="2:9" ht="15" hidden="1">
      <c r="B272" s="104" t="s">
        <v>576</v>
      </c>
      <c r="C272" s="116" t="s">
        <v>577</v>
      </c>
      <c r="D272" s="117" t="s">
        <v>1032</v>
      </c>
      <c r="E272" s="118" t="s">
        <v>568</v>
      </c>
      <c r="F272" s="106" t="s">
        <v>201</v>
      </c>
      <c r="G272" s="107">
        <v>0</v>
      </c>
      <c r="H272" s="107">
        <v>0</v>
      </c>
      <c r="I272" s="107" t="s">
        <v>1052</v>
      </c>
    </row>
    <row r="273" spans="2:9" ht="15" hidden="1">
      <c r="B273" s="104" t="s">
        <v>578</v>
      </c>
      <c r="C273" s="116" t="s">
        <v>579</v>
      </c>
      <c r="D273" s="117" t="s">
        <v>1032</v>
      </c>
      <c r="E273" s="118" t="s">
        <v>568</v>
      </c>
      <c r="F273" s="106" t="s">
        <v>201</v>
      </c>
      <c r="G273" s="107">
        <v>0</v>
      </c>
      <c r="H273" s="107">
        <v>0</v>
      </c>
      <c r="I273" s="107" t="s">
        <v>1052</v>
      </c>
    </row>
    <row r="274" spans="2:9" ht="15" hidden="1">
      <c r="B274" s="30" t="s">
        <v>580</v>
      </c>
      <c r="C274" s="36" t="s">
        <v>581</v>
      </c>
      <c r="D274" s="36" t="s">
        <v>1251</v>
      </c>
      <c r="E274" s="71" t="s">
        <v>568</v>
      </c>
      <c r="F274" s="32" t="s">
        <v>201</v>
      </c>
      <c r="G274" s="4" t="s">
        <v>1386</v>
      </c>
      <c r="H274" s="4">
        <v>269</v>
      </c>
      <c r="I274" s="4" t="s">
        <v>1047</v>
      </c>
    </row>
    <row r="275" spans="2:9" ht="15" hidden="1">
      <c r="B275" s="30" t="s">
        <v>582</v>
      </c>
      <c r="C275" s="36" t="s">
        <v>583</v>
      </c>
      <c r="D275" s="36" t="s">
        <v>1252</v>
      </c>
      <c r="E275" s="71" t="s">
        <v>568</v>
      </c>
      <c r="F275" s="32" t="s">
        <v>201</v>
      </c>
      <c r="G275" s="4" t="s">
        <v>1384</v>
      </c>
      <c r="H275" s="4">
        <v>241</v>
      </c>
      <c r="I275" s="4" t="s">
        <v>1052</v>
      </c>
    </row>
    <row r="276" spans="2:9" ht="15.75" hidden="1" thickBot="1">
      <c r="B276" s="30" t="s">
        <v>584</v>
      </c>
      <c r="C276" s="37" t="s">
        <v>585</v>
      </c>
      <c r="D276" s="36" t="s">
        <v>1253</v>
      </c>
      <c r="E276" s="71" t="s">
        <v>568</v>
      </c>
      <c r="F276" s="32" t="s">
        <v>201</v>
      </c>
      <c r="G276" s="4" t="s">
        <v>1384</v>
      </c>
      <c r="H276" s="4">
        <v>330</v>
      </c>
      <c r="I276" s="4" t="s">
        <v>1052</v>
      </c>
    </row>
    <row r="277" spans="2:9" ht="15" hidden="1">
      <c r="B277" s="24"/>
      <c r="C277" s="63"/>
      <c r="D277" s="63"/>
      <c r="E277" s="26"/>
      <c r="F277" s="27"/>
      <c r="G277" s="4">
        <v>0</v>
      </c>
      <c r="H277" s="4">
        <v>0</v>
      </c>
      <c r="I277" s="4">
        <v>0</v>
      </c>
    </row>
    <row r="278" spans="2:9" ht="15" hidden="1">
      <c r="B278" s="30" t="s">
        <v>586</v>
      </c>
      <c r="C278" s="64" t="s">
        <v>587</v>
      </c>
      <c r="D278" s="64" t="s">
        <v>1254</v>
      </c>
      <c r="E278" s="23" t="s">
        <v>588</v>
      </c>
      <c r="F278" s="32" t="s">
        <v>589</v>
      </c>
      <c r="G278" s="4" t="s">
        <v>1398</v>
      </c>
      <c r="H278" s="4">
        <v>2</v>
      </c>
      <c r="I278" s="4" t="s">
        <v>1059</v>
      </c>
    </row>
    <row r="279" spans="2:9" ht="15" hidden="1">
      <c r="B279" s="24"/>
      <c r="C279" s="63"/>
      <c r="D279" s="63"/>
      <c r="E279" s="26"/>
      <c r="F279" s="27"/>
      <c r="G279" s="4">
        <v>0</v>
      </c>
      <c r="H279" s="4">
        <v>0</v>
      </c>
      <c r="I279" s="4">
        <v>0</v>
      </c>
    </row>
    <row r="280" spans="2:9" ht="15" hidden="1">
      <c r="B280" s="41" t="s">
        <v>590</v>
      </c>
      <c r="C280" s="41" t="s">
        <v>591</v>
      </c>
      <c r="D280" s="41" t="s">
        <v>1255</v>
      </c>
      <c r="E280" s="23" t="s">
        <v>592</v>
      </c>
      <c r="F280" s="32" t="s">
        <v>256</v>
      </c>
      <c r="G280" s="4">
        <v>0</v>
      </c>
      <c r="H280" s="4">
        <v>63</v>
      </c>
      <c r="I280" s="4" t="s">
        <v>1054</v>
      </c>
    </row>
    <row r="281" spans="2:9" ht="15" hidden="1">
      <c r="B281" s="41" t="s">
        <v>593</v>
      </c>
      <c r="C281" s="41" t="s">
        <v>594</v>
      </c>
      <c r="D281" s="41" t="s">
        <v>1256</v>
      </c>
      <c r="E281" s="23" t="s">
        <v>592</v>
      </c>
      <c r="F281" s="32" t="s">
        <v>230</v>
      </c>
      <c r="G281" s="4">
        <v>0</v>
      </c>
      <c r="H281" s="4">
        <v>50</v>
      </c>
      <c r="I281" s="4" t="s">
        <v>1032</v>
      </c>
    </row>
    <row r="282" spans="2:9" ht="15" hidden="1">
      <c r="B282" s="108" t="s">
        <v>595</v>
      </c>
      <c r="C282" s="108" t="s">
        <v>596</v>
      </c>
      <c r="D282" s="108" t="s">
        <v>1126</v>
      </c>
      <c r="E282" s="110" t="s">
        <v>592</v>
      </c>
      <c r="F282" s="106" t="s">
        <v>256</v>
      </c>
      <c r="G282" s="107">
        <v>0</v>
      </c>
      <c r="H282" s="107">
        <v>0</v>
      </c>
      <c r="I282" s="107" t="s">
        <v>1054</v>
      </c>
    </row>
    <row r="283" spans="2:9" ht="15" hidden="1">
      <c r="B283" s="28"/>
      <c r="C283" s="29"/>
      <c r="D283" s="29"/>
      <c r="E283" s="26"/>
      <c r="F283" s="26"/>
      <c r="G283" s="4">
        <v>0</v>
      </c>
      <c r="H283" s="4">
        <v>0</v>
      </c>
      <c r="I283" s="4">
        <v>0</v>
      </c>
    </row>
    <row r="284" spans="2:9" ht="15" hidden="1">
      <c r="B284" s="21" t="s">
        <v>597</v>
      </c>
      <c r="C284" s="22" t="s">
        <v>598</v>
      </c>
      <c r="D284" s="22" t="s">
        <v>1257</v>
      </c>
      <c r="E284" s="23" t="s">
        <v>599</v>
      </c>
      <c r="F284" s="23" t="s">
        <v>600</v>
      </c>
      <c r="G284" s="4">
        <v>0</v>
      </c>
      <c r="H284" s="4">
        <v>2</v>
      </c>
      <c r="I284" s="4" t="s">
        <v>1029</v>
      </c>
    </row>
    <row r="285" spans="2:9" ht="15" hidden="1">
      <c r="B285" s="113" t="s">
        <v>601</v>
      </c>
      <c r="C285" s="114" t="s">
        <v>602</v>
      </c>
      <c r="D285" s="115" t="s">
        <v>1032</v>
      </c>
      <c r="E285" s="110" t="s">
        <v>599</v>
      </c>
      <c r="F285" s="110" t="s">
        <v>603</v>
      </c>
      <c r="G285" s="107">
        <v>0</v>
      </c>
      <c r="H285" s="107">
        <v>0</v>
      </c>
      <c r="I285" s="107" t="s">
        <v>1044</v>
      </c>
    </row>
    <row r="286" spans="2:9" ht="15" hidden="1">
      <c r="B286" s="21" t="s">
        <v>604</v>
      </c>
      <c r="C286" s="22" t="s">
        <v>605</v>
      </c>
      <c r="D286" s="22" t="s">
        <v>1258</v>
      </c>
      <c r="E286" s="23" t="s">
        <v>599</v>
      </c>
      <c r="F286" s="23" t="s">
        <v>606</v>
      </c>
      <c r="G286" s="4" t="s">
        <v>1548</v>
      </c>
      <c r="H286" s="4">
        <v>75</v>
      </c>
      <c r="I286" s="4" t="s">
        <v>1054</v>
      </c>
    </row>
    <row r="287" spans="2:9" ht="15" hidden="1">
      <c r="B287" s="73"/>
      <c r="C287" s="29"/>
      <c r="D287" s="29"/>
      <c r="E287" s="74"/>
      <c r="F287" s="74"/>
      <c r="G287" s="4">
        <v>0</v>
      </c>
      <c r="H287" s="4">
        <v>0</v>
      </c>
      <c r="I287" s="4">
        <v>0</v>
      </c>
    </row>
    <row r="288" spans="2:9" ht="15" hidden="1">
      <c r="B288" s="75" t="s">
        <v>607</v>
      </c>
      <c r="C288" s="76" t="s">
        <v>608</v>
      </c>
      <c r="D288" s="76" t="s">
        <v>1259</v>
      </c>
      <c r="E288" s="61" t="s">
        <v>609</v>
      </c>
      <c r="F288" s="61" t="s">
        <v>610</v>
      </c>
      <c r="G288" s="4">
        <v>0</v>
      </c>
      <c r="H288" s="4">
        <v>40</v>
      </c>
      <c r="I288" s="4" t="s">
        <v>1039</v>
      </c>
    </row>
    <row r="289" spans="2:9" ht="15" hidden="1">
      <c r="B289" s="73"/>
      <c r="C289" s="29"/>
      <c r="D289" s="29"/>
      <c r="E289" s="74"/>
      <c r="F289" s="74"/>
      <c r="G289" s="4">
        <v>0</v>
      </c>
      <c r="H289" s="4">
        <v>0</v>
      </c>
      <c r="I289" s="4">
        <v>0</v>
      </c>
    </row>
    <row r="290" spans="2:9" ht="15">
      <c r="B290" s="113" t="s">
        <v>611</v>
      </c>
      <c r="C290" s="114" t="s">
        <v>612</v>
      </c>
      <c r="D290" s="114" t="s">
        <v>1260</v>
      </c>
      <c r="E290" s="110" t="s">
        <v>613</v>
      </c>
      <c r="F290" s="110" t="s">
        <v>614</v>
      </c>
      <c r="G290" s="107" t="s">
        <v>2079</v>
      </c>
      <c r="H290" s="107">
        <v>0</v>
      </c>
      <c r="I290" s="107" t="s">
        <v>1035</v>
      </c>
    </row>
    <row r="291" spans="2:9" ht="15" hidden="1">
      <c r="B291" s="73"/>
      <c r="C291" s="29"/>
      <c r="D291" s="29"/>
      <c r="E291" s="74"/>
      <c r="F291" s="74"/>
      <c r="G291" s="4">
        <v>0</v>
      </c>
      <c r="H291" s="4">
        <v>0</v>
      </c>
      <c r="I291" s="4">
        <v>0</v>
      </c>
    </row>
    <row r="292" spans="2:9" ht="15" hidden="1">
      <c r="B292" s="113" t="s">
        <v>615</v>
      </c>
      <c r="C292" s="114" t="s">
        <v>616</v>
      </c>
      <c r="D292" s="115" t="s">
        <v>1032</v>
      </c>
      <c r="E292" s="110" t="s">
        <v>617</v>
      </c>
      <c r="F292" s="106" t="s">
        <v>618</v>
      </c>
      <c r="G292" s="107">
        <v>0</v>
      </c>
      <c r="H292" s="107">
        <v>0</v>
      </c>
      <c r="I292" s="107" t="s">
        <v>1044</v>
      </c>
    </row>
    <row r="293" spans="2:9" ht="15" hidden="1">
      <c r="B293" s="21" t="s">
        <v>619</v>
      </c>
      <c r="C293" s="22" t="s">
        <v>620</v>
      </c>
      <c r="D293" s="22" t="s">
        <v>1261</v>
      </c>
      <c r="E293" s="23" t="s">
        <v>617</v>
      </c>
      <c r="F293" s="32" t="s">
        <v>621</v>
      </c>
      <c r="G293" s="4">
        <v>0</v>
      </c>
      <c r="H293" s="4">
        <v>160</v>
      </c>
      <c r="I293" s="4" t="s">
        <v>1044</v>
      </c>
    </row>
    <row r="294" spans="2:9" ht="15" hidden="1">
      <c r="B294" s="21" t="s">
        <v>622</v>
      </c>
      <c r="C294" s="22" t="s">
        <v>623</v>
      </c>
      <c r="D294" s="22" t="s">
        <v>1262</v>
      </c>
      <c r="E294" s="23" t="s">
        <v>617</v>
      </c>
      <c r="F294" s="32" t="s">
        <v>624</v>
      </c>
      <c r="G294" s="4" t="s">
        <v>1393</v>
      </c>
      <c r="H294" s="4">
        <v>70</v>
      </c>
      <c r="I294" s="4" t="s">
        <v>1038</v>
      </c>
    </row>
    <row r="295" spans="2:9" ht="15" hidden="1">
      <c r="B295" s="21" t="s">
        <v>625</v>
      </c>
      <c r="C295" s="47" t="s">
        <v>626</v>
      </c>
      <c r="D295" s="47" t="s">
        <v>1263</v>
      </c>
      <c r="E295" s="23" t="s">
        <v>617</v>
      </c>
      <c r="F295" s="32" t="s">
        <v>589</v>
      </c>
      <c r="G295" s="4">
        <v>0</v>
      </c>
      <c r="H295" s="4">
        <v>0</v>
      </c>
      <c r="I295" s="4" t="s">
        <v>1059</v>
      </c>
    </row>
    <row r="296" spans="2:9" ht="15" hidden="1">
      <c r="B296" s="21" t="s">
        <v>627</v>
      </c>
      <c r="C296" s="47" t="s">
        <v>628</v>
      </c>
      <c r="D296" s="47" t="s">
        <v>1262</v>
      </c>
      <c r="E296" s="23" t="s">
        <v>617</v>
      </c>
      <c r="F296" s="23" t="s">
        <v>629</v>
      </c>
      <c r="G296" s="4">
        <v>0</v>
      </c>
      <c r="H296" s="4">
        <v>0</v>
      </c>
      <c r="I296" s="4" t="s">
        <v>1038</v>
      </c>
    </row>
    <row r="297" spans="2:9" ht="15" hidden="1">
      <c r="B297" s="21" t="s">
        <v>630</v>
      </c>
      <c r="C297" s="47" t="s">
        <v>631</v>
      </c>
      <c r="D297" s="47" t="s">
        <v>1264</v>
      </c>
      <c r="E297" s="23" t="s">
        <v>617</v>
      </c>
      <c r="F297" s="23" t="s">
        <v>632</v>
      </c>
      <c r="G297" s="4">
        <v>0</v>
      </c>
      <c r="H297" s="4">
        <v>0</v>
      </c>
      <c r="I297" s="4" t="s">
        <v>1059</v>
      </c>
    </row>
    <row r="298" spans="2:9" ht="15" hidden="1">
      <c r="B298" s="21" t="s">
        <v>633</v>
      </c>
      <c r="C298" s="47" t="s">
        <v>634</v>
      </c>
      <c r="D298" s="47" t="s">
        <v>1265</v>
      </c>
      <c r="E298" s="23" t="s">
        <v>617</v>
      </c>
      <c r="F298" s="23" t="s">
        <v>635</v>
      </c>
      <c r="G298" s="4" t="s">
        <v>1392</v>
      </c>
      <c r="H298" s="4">
        <v>0</v>
      </c>
      <c r="I298" s="4" t="s">
        <v>1059</v>
      </c>
    </row>
    <row r="299" spans="2:9" ht="15" hidden="1">
      <c r="B299" s="21" t="s">
        <v>636</v>
      </c>
      <c r="C299" s="47" t="s">
        <v>637</v>
      </c>
      <c r="D299" s="47" t="s">
        <v>1266</v>
      </c>
      <c r="E299" s="23" t="s">
        <v>617</v>
      </c>
      <c r="F299" s="23" t="s">
        <v>635</v>
      </c>
      <c r="G299" s="4" t="s">
        <v>1392</v>
      </c>
      <c r="H299" s="4">
        <v>1</v>
      </c>
      <c r="I299" s="4" t="s">
        <v>1059</v>
      </c>
    </row>
    <row r="300" spans="2:9" ht="15" hidden="1">
      <c r="B300" s="21" t="s">
        <v>638</v>
      </c>
      <c r="C300" s="21" t="s">
        <v>639</v>
      </c>
      <c r="D300" s="21" t="s">
        <v>1264</v>
      </c>
      <c r="E300" s="23" t="s">
        <v>617</v>
      </c>
      <c r="F300" s="23" t="s">
        <v>283</v>
      </c>
      <c r="G300" s="4">
        <v>0</v>
      </c>
      <c r="H300" s="4">
        <v>0</v>
      </c>
      <c r="I300" s="4" t="s">
        <v>1059</v>
      </c>
    </row>
    <row r="301" spans="2:9" ht="15" hidden="1">
      <c r="B301" s="21" t="s">
        <v>640</v>
      </c>
      <c r="C301" s="12" t="s">
        <v>641</v>
      </c>
      <c r="D301" s="62" t="s">
        <v>1267</v>
      </c>
      <c r="E301" s="23" t="s">
        <v>617</v>
      </c>
      <c r="F301" s="23" t="s">
        <v>332</v>
      </c>
      <c r="G301" s="4">
        <v>0</v>
      </c>
      <c r="H301" s="4">
        <v>0</v>
      </c>
      <c r="I301" s="4" t="s">
        <v>1059</v>
      </c>
    </row>
    <row r="302" spans="2:9" ht="15" hidden="1">
      <c r="B302" s="21" t="s">
        <v>642</v>
      </c>
      <c r="C302" s="12" t="s">
        <v>643</v>
      </c>
      <c r="D302" s="62" t="s">
        <v>1268</v>
      </c>
      <c r="E302" s="23" t="s">
        <v>617</v>
      </c>
      <c r="F302" s="23" t="s">
        <v>230</v>
      </c>
      <c r="G302" s="4">
        <v>0</v>
      </c>
      <c r="H302" s="4">
        <v>373</v>
      </c>
      <c r="I302" s="4" t="s">
        <v>1031</v>
      </c>
    </row>
    <row r="303" spans="2:9" ht="15" hidden="1">
      <c r="B303" s="21" t="s">
        <v>644</v>
      </c>
      <c r="C303" s="12" t="s">
        <v>645</v>
      </c>
      <c r="D303" s="62" t="s">
        <v>1265</v>
      </c>
      <c r="E303" s="23" t="s">
        <v>617</v>
      </c>
      <c r="F303" s="23" t="s">
        <v>646</v>
      </c>
      <c r="G303" s="4">
        <v>0</v>
      </c>
      <c r="H303" s="4">
        <v>5</v>
      </c>
      <c r="I303" s="4" t="s">
        <v>1059</v>
      </c>
    </row>
    <row r="304" spans="2:9" ht="15" hidden="1">
      <c r="B304" s="28"/>
      <c r="C304" s="29"/>
      <c r="D304" s="29"/>
      <c r="E304" s="26"/>
      <c r="F304" s="27"/>
      <c r="G304" s="4">
        <v>0</v>
      </c>
      <c r="H304" s="4">
        <v>0</v>
      </c>
      <c r="I304" s="4">
        <v>0</v>
      </c>
    </row>
    <row r="305" spans="2:9" ht="15" hidden="1">
      <c r="B305" s="113" t="s">
        <v>647</v>
      </c>
      <c r="C305" s="114" t="s">
        <v>648</v>
      </c>
      <c r="D305" s="114" t="s">
        <v>1093</v>
      </c>
      <c r="E305" s="110" t="s">
        <v>649</v>
      </c>
      <c r="F305" s="110" t="s">
        <v>650</v>
      </c>
      <c r="G305" s="107" t="s">
        <v>1535</v>
      </c>
      <c r="H305" s="107">
        <v>0</v>
      </c>
      <c r="I305" s="107" t="s">
        <v>1032</v>
      </c>
    </row>
    <row r="306" spans="2:9" ht="15" hidden="1">
      <c r="B306" s="28"/>
      <c r="C306" s="29"/>
      <c r="D306" s="29"/>
      <c r="E306" s="26"/>
      <c r="F306" s="26"/>
      <c r="G306" s="4">
        <v>0</v>
      </c>
      <c r="H306" s="4">
        <v>0</v>
      </c>
      <c r="I306" s="4">
        <v>0</v>
      </c>
    </row>
    <row r="307" spans="2:9" ht="15" hidden="1">
      <c r="B307" s="21" t="s">
        <v>651</v>
      </c>
      <c r="C307" s="21" t="s">
        <v>652</v>
      </c>
      <c r="D307" s="21" t="s">
        <v>1097</v>
      </c>
      <c r="E307" s="21" t="s">
        <v>653</v>
      </c>
      <c r="F307" s="23" t="s">
        <v>654</v>
      </c>
      <c r="G307" s="4">
        <v>0</v>
      </c>
      <c r="H307" s="4">
        <v>38</v>
      </c>
      <c r="I307" s="4" t="s">
        <v>1044</v>
      </c>
    </row>
    <row r="308" spans="2:9" ht="15" hidden="1">
      <c r="B308" s="21" t="s">
        <v>655</v>
      </c>
      <c r="C308" s="21" t="s">
        <v>656</v>
      </c>
      <c r="D308" s="21" t="s">
        <v>1103</v>
      </c>
      <c r="E308" s="21" t="s">
        <v>653</v>
      </c>
      <c r="F308" s="23" t="s">
        <v>657</v>
      </c>
      <c r="G308" s="4">
        <v>0</v>
      </c>
      <c r="H308" s="4">
        <v>13</v>
      </c>
      <c r="I308" s="4" t="s">
        <v>1044</v>
      </c>
    </row>
    <row r="309" spans="2:9" ht="15" hidden="1">
      <c r="B309" s="28"/>
      <c r="C309" s="29"/>
      <c r="D309" s="29"/>
      <c r="E309" s="26"/>
      <c r="F309" s="26"/>
      <c r="G309" s="4">
        <v>0</v>
      </c>
      <c r="H309" s="4">
        <v>0</v>
      </c>
      <c r="I309" s="4">
        <v>0</v>
      </c>
    </row>
    <row r="310" spans="2:9" ht="15" hidden="1">
      <c r="B310" s="41" t="s">
        <v>658</v>
      </c>
      <c r="C310" s="41" t="s">
        <v>659</v>
      </c>
      <c r="D310" s="41" t="s">
        <v>1269</v>
      </c>
      <c r="E310" s="23" t="s">
        <v>660</v>
      </c>
      <c r="F310" s="23" t="s">
        <v>661</v>
      </c>
      <c r="G310" s="4">
        <v>0</v>
      </c>
      <c r="H310" s="4">
        <v>130</v>
      </c>
      <c r="I310" s="4" t="s">
        <v>1044</v>
      </c>
    </row>
    <row r="311" spans="2:9" ht="15" hidden="1">
      <c r="B311" s="41" t="s">
        <v>662</v>
      </c>
      <c r="C311" s="16" t="s">
        <v>663</v>
      </c>
      <c r="D311" s="17" t="s">
        <v>1270</v>
      </c>
      <c r="E311" s="23" t="s">
        <v>660</v>
      </c>
      <c r="F311" s="46" t="s">
        <v>664</v>
      </c>
      <c r="G311" s="4" t="s">
        <v>1468</v>
      </c>
      <c r="H311" s="4">
        <v>180</v>
      </c>
      <c r="I311" s="4" t="s">
        <v>1044</v>
      </c>
    </row>
    <row r="312" spans="2:9" ht="15" hidden="1">
      <c r="B312" s="41" t="s">
        <v>665</v>
      </c>
      <c r="C312" s="16" t="s">
        <v>666</v>
      </c>
      <c r="D312" s="17" t="s">
        <v>1271</v>
      </c>
      <c r="E312" s="23" t="s">
        <v>660</v>
      </c>
      <c r="F312" s="46" t="s">
        <v>664</v>
      </c>
      <c r="G312" s="4">
        <v>0</v>
      </c>
      <c r="H312" s="4">
        <v>139</v>
      </c>
      <c r="I312" s="4" t="s">
        <v>1044</v>
      </c>
    </row>
    <row r="313" spans="2:9" ht="15" hidden="1">
      <c r="B313" s="77"/>
      <c r="C313" s="77"/>
      <c r="D313" s="77"/>
      <c r="E313" s="78"/>
      <c r="F313" s="78"/>
      <c r="G313" s="4">
        <v>0</v>
      </c>
      <c r="H313" s="4">
        <v>0</v>
      </c>
      <c r="I313" s="4">
        <v>0</v>
      </c>
    </row>
    <row r="314" spans="2:9" ht="15" hidden="1">
      <c r="B314" s="1" t="s">
        <v>667</v>
      </c>
      <c r="C314" s="41" t="s">
        <v>668</v>
      </c>
      <c r="D314" s="41" t="s">
        <v>1272</v>
      </c>
      <c r="E314" s="3" t="s">
        <v>669</v>
      </c>
      <c r="F314" s="3" t="s">
        <v>670</v>
      </c>
      <c r="G314" s="4" t="s">
        <v>1361</v>
      </c>
      <c r="H314" s="4">
        <v>89</v>
      </c>
      <c r="I314" s="4" t="s">
        <v>1037</v>
      </c>
    </row>
    <row r="315" spans="2:9" ht="15" hidden="1">
      <c r="B315" s="44"/>
      <c r="C315" s="44"/>
      <c r="D315" s="44"/>
      <c r="E315" s="26"/>
      <c r="F315" s="26"/>
      <c r="G315" s="4">
        <v>0</v>
      </c>
      <c r="H315" s="4">
        <v>0</v>
      </c>
      <c r="I315" s="4">
        <v>0</v>
      </c>
    </row>
    <row r="316" spans="2:9" ht="15" hidden="1">
      <c r="B316" s="108" t="s">
        <v>671</v>
      </c>
      <c r="C316" s="108" t="s">
        <v>672</v>
      </c>
      <c r="D316" s="108" t="s">
        <v>1273</v>
      </c>
      <c r="E316" s="110" t="s">
        <v>673</v>
      </c>
      <c r="F316" s="110" t="s">
        <v>36</v>
      </c>
      <c r="G316" s="107">
        <v>0</v>
      </c>
      <c r="H316" s="107">
        <v>0</v>
      </c>
      <c r="I316" s="107" t="s">
        <v>1038</v>
      </c>
    </row>
    <row r="317" spans="2:9" ht="15" hidden="1">
      <c r="B317" s="44"/>
      <c r="C317" s="44"/>
      <c r="D317" s="44"/>
      <c r="E317" s="26"/>
      <c r="F317" s="26"/>
      <c r="G317" s="4">
        <v>0</v>
      </c>
      <c r="H317" s="4">
        <v>0</v>
      </c>
      <c r="I317" s="4">
        <v>0</v>
      </c>
    </row>
    <row r="318" spans="2:9" ht="15" hidden="1">
      <c r="B318" s="41" t="s">
        <v>674</v>
      </c>
      <c r="C318" s="41" t="s">
        <v>675</v>
      </c>
      <c r="D318" s="97" t="s">
        <v>1032</v>
      </c>
      <c r="E318" s="45" t="s">
        <v>676</v>
      </c>
      <c r="F318" s="45" t="s">
        <v>141</v>
      </c>
      <c r="G318" s="4" t="s">
        <v>2078</v>
      </c>
      <c r="H318" s="4">
        <v>111</v>
      </c>
      <c r="I318" s="4" t="s">
        <v>1051</v>
      </c>
    </row>
    <row r="319" spans="2:9" ht="15" hidden="1">
      <c r="B319" s="41" t="s">
        <v>677</v>
      </c>
      <c r="C319" s="41" t="s">
        <v>678</v>
      </c>
      <c r="D319" s="41" t="s">
        <v>1275</v>
      </c>
      <c r="E319" s="45" t="s">
        <v>676</v>
      </c>
      <c r="F319" s="45" t="s">
        <v>141</v>
      </c>
      <c r="G319" s="4">
        <v>0</v>
      </c>
      <c r="H319" s="4">
        <v>115.20</v>
      </c>
      <c r="I319" s="4" t="s">
        <v>1051</v>
      </c>
    </row>
    <row r="320" spans="2:9" ht="15" hidden="1">
      <c r="B320" s="41" t="s">
        <v>679</v>
      </c>
      <c r="C320" s="41" t="s">
        <v>680</v>
      </c>
      <c r="D320" s="41" t="s">
        <v>1274</v>
      </c>
      <c r="E320" s="45" t="s">
        <v>676</v>
      </c>
      <c r="F320" s="45" t="s">
        <v>141</v>
      </c>
      <c r="G320" s="4">
        <v>0</v>
      </c>
      <c r="H320" s="4">
        <v>38</v>
      </c>
      <c r="I320" s="4" t="s">
        <v>1051</v>
      </c>
    </row>
    <row r="321" spans="2:9" ht="15" hidden="1">
      <c r="B321" s="41" t="s">
        <v>681</v>
      </c>
      <c r="C321" s="41" t="s">
        <v>682</v>
      </c>
      <c r="D321" s="41" t="s">
        <v>1276</v>
      </c>
      <c r="E321" s="45" t="s">
        <v>676</v>
      </c>
      <c r="F321" s="45" t="s">
        <v>500</v>
      </c>
      <c r="G321" s="4" t="s">
        <v>1387</v>
      </c>
      <c r="H321" s="4">
        <v>532</v>
      </c>
      <c r="I321" s="4" t="s">
        <v>1051</v>
      </c>
    </row>
    <row r="322" spans="2:9" ht="15" hidden="1">
      <c r="B322" s="44"/>
      <c r="C322" s="44"/>
      <c r="D322" s="44"/>
      <c r="E322" s="26"/>
      <c r="F322" s="26"/>
      <c r="G322" s="4">
        <v>0</v>
      </c>
      <c r="H322" s="4">
        <v>0</v>
      </c>
      <c r="I322" s="4">
        <v>0</v>
      </c>
    </row>
    <row r="323" spans="2:9" ht="15" hidden="1">
      <c r="B323" s="41" t="s">
        <v>683</v>
      </c>
      <c r="C323" s="41" t="s">
        <v>684</v>
      </c>
      <c r="D323" s="41" t="s">
        <v>1277</v>
      </c>
      <c r="E323" s="23" t="s">
        <v>685</v>
      </c>
      <c r="F323" s="23" t="s">
        <v>614</v>
      </c>
      <c r="G323" s="4">
        <v>0</v>
      </c>
      <c r="H323" s="4">
        <v>140</v>
      </c>
      <c r="I323" s="4" t="s">
        <v>1050</v>
      </c>
    </row>
    <row r="324" spans="2:9" ht="15" hidden="1">
      <c r="B324" s="44"/>
      <c r="C324" s="44"/>
      <c r="D324" s="44"/>
      <c r="E324" s="26"/>
      <c r="F324" s="26"/>
      <c r="G324" s="4">
        <v>0</v>
      </c>
      <c r="H324" s="4">
        <v>0</v>
      </c>
      <c r="I324" s="4">
        <v>0</v>
      </c>
    </row>
    <row r="325" spans="2:9" ht="15" hidden="1">
      <c r="B325" s="108" t="s">
        <v>686</v>
      </c>
      <c r="C325" s="108" t="s">
        <v>687</v>
      </c>
      <c r="D325" s="119" t="s">
        <v>1032</v>
      </c>
      <c r="E325" s="110" t="s">
        <v>688</v>
      </c>
      <c r="F325" s="110" t="s">
        <v>689</v>
      </c>
      <c r="G325" s="107">
        <v>0</v>
      </c>
      <c r="H325" s="107">
        <v>0</v>
      </c>
      <c r="I325" s="107" t="s">
        <v>1032</v>
      </c>
    </row>
    <row r="326" spans="2:9" ht="15" hidden="1">
      <c r="B326" s="44"/>
      <c r="C326" s="44"/>
      <c r="D326" s="44"/>
      <c r="E326" s="26"/>
      <c r="F326" s="26"/>
      <c r="G326" s="4">
        <v>0</v>
      </c>
      <c r="H326" s="4">
        <v>0</v>
      </c>
      <c r="I326" s="4">
        <v>0</v>
      </c>
    </row>
    <row r="327" spans="2:9" ht="15" hidden="1">
      <c r="B327" s="21" t="s">
        <v>690</v>
      </c>
      <c r="C327" s="22" t="s">
        <v>691</v>
      </c>
      <c r="D327" s="98" t="s">
        <v>1032</v>
      </c>
      <c r="E327" s="23" t="s">
        <v>692</v>
      </c>
      <c r="F327" s="23" t="s">
        <v>693</v>
      </c>
      <c r="G327" s="4">
        <v>0</v>
      </c>
      <c r="H327" s="4">
        <v>0</v>
      </c>
      <c r="I327" s="4" t="s">
        <v>1032</v>
      </c>
    </row>
    <row r="328" spans="2:9" ht="15" hidden="1">
      <c r="B328" s="21" t="s">
        <v>694</v>
      </c>
      <c r="C328" s="22" t="s">
        <v>695</v>
      </c>
      <c r="D328" s="98" t="s">
        <v>1032</v>
      </c>
      <c r="E328" s="23" t="s">
        <v>692</v>
      </c>
      <c r="F328" s="23" t="s">
        <v>693</v>
      </c>
      <c r="G328" s="4">
        <v>0</v>
      </c>
      <c r="H328" s="4">
        <v>100</v>
      </c>
      <c r="I328" s="4" t="s">
        <v>1032</v>
      </c>
    </row>
    <row r="329" spans="2:9" ht="15" hidden="1">
      <c r="B329" s="21" t="s">
        <v>696</v>
      </c>
      <c r="C329" s="79" t="s">
        <v>697</v>
      </c>
      <c r="D329" s="33" t="s">
        <v>1028</v>
      </c>
      <c r="E329" s="23" t="s">
        <v>692</v>
      </c>
      <c r="F329" s="13" t="s">
        <v>698</v>
      </c>
      <c r="G329" s="4">
        <v>0</v>
      </c>
      <c r="H329" s="4">
        <v>110</v>
      </c>
      <c r="I329" s="4" t="s">
        <v>1028</v>
      </c>
    </row>
    <row r="330" spans="2:9" ht="15" hidden="1">
      <c r="B330" s="28"/>
      <c r="C330" s="28"/>
      <c r="D330" s="28"/>
      <c r="E330" s="26"/>
      <c r="F330" s="26"/>
      <c r="G330" s="4">
        <v>0</v>
      </c>
      <c r="H330" s="4">
        <v>0</v>
      </c>
      <c r="I330" s="4">
        <v>0</v>
      </c>
    </row>
    <row r="331" spans="2:9" ht="15" hidden="1">
      <c r="B331" s="41" t="s">
        <v>699</v>
      </c>
      <c r="C331" s="76" t="s">
        <v>700</v>
      </c>
      <c r="D331" s="80" t="s">
        <v>1061</v>
      </c>
      <c r="E331" s="23" t="s">
        <v>701</v>
      </c>
      <c r="F331" s="61" t="s">
        <v>702</v>
      </c>
      <c r="G331" s="4">
        <v>0</v>
      </c>
      <c r="H331" s="4">
        <v>140</v>
      </c>
      <c r="I331" s="4" t="s">
        <v>1029</v>
      </c>
    </row>
    <row r="332" spans="2:9" ht="15" hidden="1">
      <c r="B332" s="41" t="s">
        <v>703</v>
      </c>
      <c r="C332" s="41" t="s">
        <v>704</v>
      </c>
      <c r="D332" s="41" t="s">
        <v>1278</v>
      </c>
      <c r="E332" s="23" t="s">
        <v>701</v>
      </c>
      <c r="F332" s="23" t="s">
        <v>705</v>
      </c>
      <c r="G332" s="4">
        <v>0</v>
      </c>
      <c r="H332" s="4">
        <v>89</v>
      </c>
      <c r="I332" s="4" t="s">
        <v>1044</v>
      </c>
    </row>
    <row r="333" spans="2:9" ht="15" hidden="1">
      <c r="B333" s="21" t="s">
        <v>706</v>
      </c>
      <c r="C333" s="22" t="s">
        <v>707</v>
      </c>
      <c r="D333" s="22" t="s">
        <v>1279</v>
      </c>
      <c r="E333" s="23" t="s">
        <v>701</v>
      </c>
      <c r="F333" s="23" t="s">
        <v>708</v>
      </c>
      <c r="G333" s="4" t="s">
        <v>1399</v>
      </c>
      <c r="H333" s="4">
        <v>13</v>
      </c>
      <c r="I333" s="4" t="s">
        <v>1058</v>
      </c>
    </row>
    <row r="334" spans="2:9" ht="15" hidden="1">
      <c r="B334" s="21" t="s">
        <v>709</v>
      </c>
      <c r="C334" s="22" t="s">
        <v>710</v>
      </c>
      <c r="D334" s="22" t="s">
        <v>1280</v>
      </c>
      <c r="E334" s="23" t="s">
        <v>701</v>
      </c>
      <c r="F334" s="23" t="s">
        <v>195</v>
      </c>
      <c r="G334" s="4">
        <v>0</v>
      </c>
      <c r="H334" s="4">
        <v>3</v>
      </c>
      <c r="I334" s="4" t="s">
        <v>1044</v>
      </c>
    </row>
    <row r="335" spans="2:9" ht="15" hidden="1">
      <c r="B335" s="30" t="s">
        <v>711</v>
      </c>
      <c r="C335" s="41" t="s">
        <v>712</v>
      </c>
      <c r="D335" s="41" t="s">
        <v>1149</v>
      </c>
      <c r="E335" s="23" t="s">
        <v>701</v>
      </c>
      <c r="F335" s="32" t="s">
        <v>713</v>
      </c>
      <c r="G335" s="4">
        <v>0</v>
      </c>
      <c r="H335" s="4">
        <v>0</v>
      </c>
      <c r="I335" s="4" t="s">
        <v>1042</v>
      </c>
    </row>
    <row r="336" spans="2:9" ht="15" hidden="1">
      <c r="B336" s="30" t="s">
        <v>714</v>
      </c>
      <c r="C336" s="75" t="s">
        <v>715</v>
      </c>
      <c r="D336" s="102" t="s">
        <v>1032</v>
      </c>
      <c r="E336" s="23" t="s">
        <v>701</v>
      </c>
      <c r="F336" s="61" t="s">
        <v>716</v>
      </c>
      <c r="G336" s="4">
        <v>0</v>
      </c>
      <c r="H336" s="4">
        <v>0</v>
      </c>
      <c r="I336" s="4" t="s">
        <v>1032</v>
      </c>
    </row>
    <row r="337" spans="2:9" ht="15" hidden="1">
      <c r="B337" s="30" t="s">
        <v>717</v>
      </c>
      <c r="C337" s="75" t="s">
        <v>718</v>
      </c>
      <c r="D337" s="102" t="s">
        <v>1032</v>
      </c>
      <c r="E337" s="23" t="s">
        <v>701</v>
      </c>
      <c r="F337" s="61" t="s">
        <v>716</v>
      </c>
      <c r="G337" s="4">
        <v>0</v>
      </c>
      <c r="H337" s="4">
        <v>0</v>
      </c>
      <c r="I337" s="4" t="s">
        <v>1032</v>
      </c>
    </row>
    <row r="338" spans="2:9" ht="15" hidden="1">
      <c r="B338" s="30" t="s">
        <v>719</v>
      </c>
      <c r="C338" s="75" t="s">
        <v>720</v>
      </c>
      <c r="D338" s="81" t="s">
        <v>1281</v>
      </c>
      <c r="E338" s="23" t="s">
        <v>701</v>
      </c>
      <c r="F338" s="61" t="s">
        <v>721</v>
      </c>
      <c r="G338" s="4">
        <v>0</v>
      </c>
      <c r="H338" s="4">
        <v>0</v>
      </c>
      <c r="I338" s="4" t="s">
        <v>1058</v>
      </c>
    </row>
    <row r="339" spans="2:9" ht="15" hidden="1">
      <c r="B339" s="28"/>
      <c r="C339" s="29"/>
      <c r="D339" s="29"/>
      <c r="E339" s="26"/>
      <c r="F339" s="26"/>
      <c r="G339" s="4">
        <v>0</v>
      </c>
      <c r="H339" s="4">
        <v>0</v>
      </c>
      <c r="I339" s="4">
        <v>0</v>
      </c>
    </row>
    <row r="340" spans="2:9" ht="15" hidden="1">
      <c r="B340" s="66" t="s">
        <v>722</v>
      </c>
      <c r="C340" s="4" t="s">
        <v>723</v>
      </c>
      <c r="D340" s="4" t="s">
        <v>1282</v>
      </c>
      <c r="E340" s="5" t="s">
        <v>724</v>
      </c>
      <c r="F340" s="68" t="s">
        <v>725</v>
      </c>
      <c r="G340" s="4" t="s">
        <v>1549</v>
      </c>
      <c r="H340" s="4">
        <v>147</v>
      </c>
      <c r="I340" s="4" t="s">
        <v>1054</v>
      </c>
    </row>
    <row r="341" spans="2:9" ht="15" hidden="1">
      <c r="B341" s="66" t="s">
        <v>726</v>
      </c>
      <c r="C341" s="4" t="s">
        <v>727</v>
      </c>
      <c r="D341" s="4" t="s">
        <v>1280</v>
      </c>
      <c r="E341" s="5" t="s">
        <v>724</v>
      </c>
      <c r="F341" s="68" t="s">
        <v>728</v>
      </c>
      <c r="G341" s="4" t="s">
        <v>1400</v>
      </c>
      <c r="H341" s="4">
        <v>20</v>
      </c>
      <c r="I341" s="4" t="s">
        <v>1056</v>
      </c>
    </row>
    <row r="342" spans="2:9" ht="15" hidden="1">
      <c r="B342" s="28"/>
      <c r="C342" s="29"/>
      <c r="D342" s="29"/>
      <c r="E342" s="26"/>
      <c r="F342" s="26"/>
      <c r="G342" s="4">
        <v>0</v>
      </c>
      <c r="H342" s="4">
        <v>0</v>
      </c>
      <c r="I342" s="4">
        <v>0</v>
      </c>
    </row>
    <row r="343" spans="2:9" ht="15" hidden="1">
      <c r="B343" s="41" t="s">
        <v>729</v>
      </c>
      <c r="C343" s="41" t="s">
        <v>730</v>
      </c>
      <c r="D343" s="41" t="s">
        <v>1291</v>
      </c>
      <c r="E343" s="32" t="s">
        <v>731</v>
      </c>
      <c r="F343" s="32" t="s">
        <v>732</v>
      </c>
      <c r="G343" s="4">
        <v>0</v>
      </c>
      <c r="H343" s="4">
        <v>12444</v>
      </c>
      <c r="I343" s="4" t="s">
        <v>1028</v>
      </c>
    </row>
    <row r="344" spans="2:9" ht="15" hidden="1">
      <c r="B344" s="41" t="s">
        <v>733</v>
      </c>
      <c r="C344" s="41" t="s">
        <v>734</v>
      </c>
      <c r="D344" s="41" t="s">
        <v>1290</v>
      </c>
      <c r="E344" s="32" t="s">
        <v>735</v>
      </c>
      <c r="F344" s="32" t="s">
        <v>732</v>
      </c>
      <c r="G344" s="4">
        <v>0</v>
      </c>
      <c r="H344" s="4">
        <v>15125</v>
      </c>
      <c r="I344" s="4" t="s">
        <v>1028</v>
      </c>
    </row>
    <row r="345" spans="2:9" ht="15" hidden="1">
      <c r="B345" s="44"/>
      <c r="C345" s="44"/>
      <c r="D345" s="44"/>
      <c r="E345" s="27"/>
      <c r="F345" s="27"/>
      <c r="G345" s="4">
        <v>0</v>
      </c>
      <c r="H345" s="4">
        <v>0</v>
      </c>
      <c r="I345" s="4">
        <v>0</v>
      </c>
    </row>
    <row r="346" spans="2:9" ht="15" hidden="1">
      <c r="B346" s="21" t="s">
        <v>736</v>
      </c>
      <c r="C346" s="22" t="s">
        <v>737</v>
      </c>
      <c r="D346" s="22" t="s">
        <v>1293</v>
      </c>
      <c r="E346" s="23" t="s">
        <v>738</v>
      </c>
      <c r="F346" s="23" t="s">
        <v>141</v>
      </c>
      <c r="G346" s="4" t="s">
        <v>1517</v>
      </c>
      <c r="H346" s="4">
        <v>4922</v>
      </c>
      <c r="I346" s="4" t="s">
        <v>1029</v>
      </c>
    </row>
    <row r="347" spans="2:9" ht="15" hidden="1">
      <c r="B347" s="21" t="s">
        <v>739</v>
      </c>
      <c r="C347" s="22" t="s">
        <v>740</v>
      </c>
      <c r="D347" s="22" t="s">
        <v>1294</v>
      </c>
      <c r="E347" s="23" t="s">
        <v>738</v>
      </c>
      <c r="F347" s="23" t="s">
        <v>141</v>
      </c>
      <c r="G347" s="4" t="s">
        <v>1517</v>
      </c>
      <c r="H347" s="4">
        <v>569</v>
      </c>
      <c r="I347" s="4" t="s">
        <v>1029</v>
      </c>
    </row>
    <row r="348" spans="2:9" ht="15" hidden="1">
      <c r="B348" s="21" t="s">
        <v>741</v>
      </c>
      <c r="C348" s="22" t="s">
        <v>742</v>
      </c>
      <c r="D348" s="22" t="s">
        <v>1292</v>
      </c>
      <c r="E348" s="23" t="s">
        <v>738</v>
      </c>
      <c r="F348" s="23" t="s">
        <v>141</v>
      </c>
      <c r="G348" s="4" t="s">
        <v>1515</v>
      </c>
      <c r="H348" s="4">
        <v>50</v>
      </c>
      <c r="I348" s="4" t="s">
        <v>1029</v>
      </c>
    </row>
    <row r="349" spans="2:9" ht="25.5" hidden="1">
      <c r="B349" s="21" t="s">
        <v>743</v>
      </c>
      <c r="C349" s="22" t="s">
        <v>744</v>
      </c>
      <c r="D349" s="22" t="s">
        <v>1295</v>
      </c>
      <c r="E349" s="23" t="s">
        <v>738</v>
      </c>
      <c r="F349" s="23" t="s">
        <v>141</v>
      </c>
      <c r="G349" s="4" t="s">
        <v>1517</v>
      </c>
      <c r="H349" s="4">
        <v>799</v>
      </c>
      <c r="I349" s="4" t="s">
        <v>1029</v>
      </c>
    </row>
    <row r="350" spans="2:9" ht="15" hidden="1">
      <c r="B350" s="21" t="s">
        <v>745</v>
      </c>
      <c r="C350" s="22" t="s">
        <v>746</v>
      </c>
      <c r="D350" s="22" t="s">
        <v>1296</v>
      </c>
      <c r="E350" s="23" t="s">
        <v>738</v>
      </c>
      <c r="F350" s="23" t="s">
        <v>141</v>
      </c>
      <c r="G350" s="4" t="s">
        <v>1517</v>
      </c>
      <c r="H350" s="4">
        <v>1790</v>
      </c>
      <c r="I350" s="4" t="s">
        <v>1029</v>
      </c>
    </row>
    <row r="351" spans="2:9" ht="15" hidden="1">
      <c r="B351" s="21" t="s">
        <v>747</v>
      </c>
      <c r="C351" s="22" t="s">
        <v>748</v>
      </c>
      <c r="D351" s="22" t="s">
        <v>1297</v>
      </c>
      <c r="E351" s="23" t="s">
        <v>738</v>
      </c>
      <c r="F351" s="23" t="s">
        <v>141</v>
      </c>
      <c r="G351" s="4" t="s">
        <v>1517</v>
      </c>
      <c r="H351" s="4">
        <v>95</v>
      </c>
      <c r="I351" s="4" t="s">
        <v>1029</v>
      </c>
    </row>
    <row r="352" spans="2:9" ht="15" hidden="1">
      <c r="B352" s="21" t="s">
        <v>749</v>
      </c>
      <c r="C352" s="22" t="s">
        <v>750</v>
      </c>
      <c r="D352" s="22" t="s">
        <v>1298</v>
      </c>
      <c r="E352" s="23" t="s">
        <v>738</v>
      </c>
      <c r="F352" s="23" t="s">
        <v>141</v>
      </c>
      <c r="G352" s="4" t="s">
        <v>1515</v>
      </c>
      <c r="H352" s="4">
        <v>20</v>
      </c>
      <c r="I352" s="4" t="s">
        <v>1029</v>
      </c>
    </row>
    <row r="353" spans="2:9" ht="15" hidden="1">
      <c r="B353" s="21" t="s">
        <v>751</v>
      </c>
      <c r="C353" s="22" t="s">
        <v>752</v>
      </c>
      <c r="D353" s="98" t="s">
        <v>1032</v>
      </c>
      <c r="E353" s="23" t="s">
        <v>738</v>
      </c>
      <c r="F353" s="23" t="s">
        <v>141</v>
      </c>
      <c r="G353" s="4" t="s">
        <v>1515</v>
      </c>
      <c r="H353" s="4">
        <v>40</v>
      </c>
      <c r="I353" s="4" t="s">
        <v>1029</v>
      </c>
    </row>
    <row r="354" spans="2:9" ht="15" hidden="1">
      <c r="B354" s="21" t="s">
        <v>753</v>
      </c>
      <c r="C354" s="22" t="s">
        <v>754</v>
      </c>
      <c r="D354" s="98" t="s">
        <v>1032</v>
      </c>
      <c r="E354" s="23" t="s">
        <v>738</v>
      </c>
      <c r="F354" s="23" t="s">
        <v>141</v>
      </c>
      <c r="G354" s="4" t="s">
        <v>1515</v>
      </c>
      <c r="H354" s="4">
        <v>0</v>
      </c>
      <c r="I354" s="4" t="s">
        <v>1029</v>
      </c>
    </row>
    <row r="355" spans="2:9" ht="15" hidden="1">
      <c r="B355" s="21" t="s">
        <v>755</v>
      </c>
      <c r="C355" s="22" t="s">
        <v>756</v>
      </c>
      <c r="D355" s="22" t="s">
        <v>1299</v>
      </c>
      <c r="E355" s="23" t="s">
        <v>738</v>
      </c>
      <c r="F355" s="23" t="s">
        <v>141</v>
      </c>
      <c r="G355" s="4" t="s">
        <v>1517</v>
      </c>
      <c r="H355" s="4">
        <v>15058</v>
      </c>
      <c r="I355" s="4" t="s">
        <v>1029</v>
      </c>
    </row>
    <row r="356" spans="2:9" ht="15" hidden="1">
      <c r="B356" s="21" t="s">
        <v>757</v>
      </c>
      <c r="C356" s="22" t="s">
        <v>758</v>
      </c>
      <c r="D356" s="22" t="s">
        <v>1300</v>
      </c>
      <c r="E356" s="23" t="s">
        <v>738</v>
      </c>
      <c r="F356" s="23" t="s">
        <v>141</v>
      </c>
      <c r="G356" s="4" t="s">
        <v>1517</v>
      </c>
      <c r="H356" s="4">
        <v>230</v>
      </c>
      <c r="I356" s="4" t="s">
        <v>1029</v>
      </c>
    </row>
    <row r="357" spans="2:9" ht="15" hidden="1">
      <c r="B357" s="21" t="s">
        <v>759</v>
      </c>
      <c r="C357" s="22" t="s">
        <v>760</v>
      </c>
      <c r="D357" s="22" t="s">
        <v>1301</v>
      </c>
      <c r="E357" s="23" t="s">
        <v>738</v>
      </c>
      <c r="F357" s="23" t="s">
        <v>141</v>
      </c>
      <c r="G357" s="4">
        <v>0</v>
      </c>
      <c r="H357" s="4">
        <v>30</v>
      </c>
      <c r="I357" s="4" t="s">
        <v>1029</v>
      </c>
    </row>
    <row r="358" spans="2:9" ht="15" hidden="1">
      <c r="B358" s="44"/>
      <c r="C358" s="44"/>
      <c r="D358" s="44"/>
      <c r="E358" s="26"/>
      <c r="F358" s="26"/>
      <c r="G358" s="4">
        <v>0</v>
      </c>
      <c r="H358" s="4">
        <v>0</v>
      </c>
      <c r="I358" s="4">
        <v>0</v>
      </c>
    </row>
    <row r="359" spans="2:9" ht="15" hidden="1">
      <c r="B359" s="21" t="s">
        <v>761</v>
      </c>
      <c r="C359" s="22" t="s">
        <v>762</v>
      </c>
      <c r="D359" s="22" t="s">
        <v>1302</v>
      </c>
      <c r="E359" s="23" t="s">
        <v>763</v>
      </c>
      <c r="F359" s="23" t="s">
        <v>764</v>
      </c>
      <c r="G359" s="4" t="s">
        <v>1544</v>
      </c>
      <c r="H359" s="4">
        <v>11</v>
      </c>
      <c r="I359" s="4" t="s">
        <v>1033</v>
      </c>
    </row>
    <row r="360" spans="2:9" ht="15" hidden="1">
      <c r="B360" s="21" t="s">
        <v>765</v>
      </c>
      <c r="C360" s="22" t="s">
        <v>766</v>
      </c>
      <c r="D360" s="22" t="s">
        <v>1303</v>
      </c>
      <c r="E360" s="23" t="s">
        <v>763</v>
      </c>
      <c r="F360" s="23" t="s">
        <v>201</v>
      </c>
      <c r="G360" s="4" t="s">
        <v>1545</v>
      </c>
      <c r="H360" s="4">
        <v>11</v>
      </c>
      <c r="I360" s="4" t="s">
        <v>1055</v>
      </c>
    </row>
    <row r="361" spans="2:9" ht="15" hidden="1">
      <c r="B361" s="21" t="s">
        <v>767</v>
      </c>
      <c r="C361" s="22" t="s">
        <v>768</v>
      </c>
      <c r="D361" s="22" t="s">
        <v>1283</v>
      </c>
      <c r="E361" s="23" t="s">
        <v>763</v>
      </c>
      <c r="F361" s="23" t="s">
        <v>332</v>
      </c>
      <c r="G361" s="4">
        <v>0</v>
      </c>
      <c r="H361" s="4">
        <v>20</v>
      </c>
      <c r="I361" s="4" t="s">
        <v>1057</v>
      </c>
    </row>
    <row r="362" spans="2:9" ht="15" hidden="1">
      <c r="B362" s="21" t="s">
        <v>769</v>
      </c>
      <c r="C362" s="22" t="s">
        <v>770</v>
      </c>
      <c r="D362" s="22" t="s">
        <v>1284</v>
      </c>
      <c r="E362" s="23" t="s">
        <v>763</v>
      </c>
      <c r="F362" s="23" t="s">
        <v>771</v>
      </c>
      <c r="G362" s="4" t="s">
        <v>1401</v>
      </c>
      <c r="H362" s="4">
        <v>60</v>
      </c>
      <c r="I362" s="4" t="s">
        <v>1057</v>
      </c>
    </row>
    <row r="363" spans="2:9" ht="15" hidden="1">
      <c r="B363" s="21" t="s">
        <v>772</v>
      </c>
      <c r="C363" s="22" t="s">
        <v>773</v>
      </c>
      <c r="D363" s="22" t="s">
        <v>1304</v>
      </c>
      <c r="E363" s="23" t="s">
        <v>763</v>
      </c>
      <c r="F363" s="23" t="s">
        <v>201</v>
      </c>
      <c r="G363" s="4">
        <v>0</v>
      </c>
      <c r="H363" s="4">
        <v>5</v>
      </c>
      <c r="I363" s="4" t="s">
        <v>1044</v>
      </c>
    </row>
    <row r="364" spans="2:9" ht="15" hidden="1">
      <c r="B364" s="21" t="s">
        <v>774</v>
      </c>
      <c r="C364" s="22" t="s">
        <v>775</v>
      </c>
      <c r="D364" s="22" t="s">
        <v>1283</v>
      </c>
      <c r="E364" s="23" t="s">
        <v>763</v>
      </c>
      <c r="F364" s="23" t="s">
        <v>201</v>
      </c>
      <c r="G364" s="4" t="s">
        <v>1395</v>
      </c>
      <c r="H364" s="4">
        <v>4</v>
      </c>
      <c r="I364" s="4" t="s">
        <v>1057</v>
      </c>
    </row>
    <row r="365" spans="2:9" ht="15" hidden="1">
      <c r="B365" s="28"/>
      <c r="C365" s="29"/>
      <c r="D365" s="29"/>
      <c r="E365" s="26"/>
      <c r="F365" s="26"/>
      <c r="G365" s="4">
        <v>0</v>
      </c>
      <c r="H365" s="4">
        <v>0</v>
      </c>
      <c r="I365" s="4">
        <v>0</v>
      </c>
    </row>
    <row r="366" spans="2:9" ht="15" hidden="1">
      <c r="B366" s="21" t="s">
        <v>776</v>
      </c>
      <c r="C366" s="22" t="s">
        <v>777</v>
      </c>
      <c r="D366" s="22" t="s">
        <v>1305</v>
      </c>
      <c r="E366" s="23" t="s">
        <v>778</v>
      </c>
      <c r="F366" s="23" t="s">
        <v>36</v>
      </c>
      <c r="G366" s="4">
        <v>0</v>
      </c>
      <c r="H366" s="4">
        <v>0</v>
      </c>
      <c r="I366" s="4" t="s">
        <v>1039</v>
      </c>
    </row>
    <row r="367" spans="2:9" ht="15" hidden="1">
      <c r="B367" s="21" t="s">
        <v>779</v>
      </c>
      <c r="C367" s="22" t="s">
        <v>780</v>
      </c>
      <c r="D367" s="22" t="s">
        <v>1229</v>
      </c>
      <c r="E367" s="23" t="s">
        <v>778</v>
      </c>
      <c r="F367" s="23" t="s">
        <v>36</v>
      </c>
      <c r="G367" s="4">
        <v>0</v>
      </c>
      <c r="H367" s="4">
        <v>0</v>
      </c>
      <c r="I367" s="4" t="s">
        <v>1059</v>
      </c>
    </row>
    <row r="368" spans="2:9" ht="15" hidden="1">
      <c r="B368" s="21" t="s">
        <v>781</v>
      </c>
      <c r="C368" s="22" t="s">
        <v>782</v>
      </c>
      <c r="D368" s="22" t="s">
        <v>782</v>
      </c>
      <c r="E368" s="23" t="s">
        <v>778</v>
      </c>
      <c r="F368" s="23" t="s">
        <v>783</v>
      </c>
      <c r="G368" s="4" t="s">
        <v>1392</v>
      </c>
      <c r="H368" s="4">
        <v>4</v>
      </c>
      <c r="I368" s="4" t="s">
        <v>1042</v>
      </c>
    </row>
    <row r="369" spans="2:9" ht="15" hidden="1">
      <c r="B369" s="21" t="s">
        <v>784</v>
      </c>
      <c r="C369" s="22" t="s">
        <v>785</v>
      </c>
      <c r="D369" s="22" t="s">
        <v>785</v>
      </c>
      <c r="E369" s="23" t="s">
        <v>778</v>
      </c>
      <c r="F369" s="23" t="s">
        <v>481</v>
      </c>
      <c r="G369" s="4" t="s">
        <v>1392</v>
      </c>
      <c r="H369" s="4">
        <v>50</v>
      </c>
      <c r="I369" s="4" t="s">
        <v>1044</v>
      </c>
    </row>
    <row r="370" spans="2:9" ht="15" hidden="1">
      <c r="B370" s="21" t="s">
        <v>786</v>
      </c>
      <c r="C370" s="22" t="s">
        <v>787</v>
      </c>
      <c r="D370" s="22" t="s">
        <v>787</v>
      </c>
      <c r="E370" s="23" t="s">
        <v>778</v>
      </c>
      <c r="F370" s="23" t="s">
        <v>36</v>
      </c>
      <c r="G370" s="4">
        <v>0</v>
      </c>
      <c r="H370" s="4">
        <v>35</v>
      </c>
      <c r="I370" s="4" t="s">
        <v>1039</v>
      </c>
    </row>
    <row r="371" spans="2:9" ht="15" hidden="1">
      <c r="B371" s="21" t="s">
        <v>788</v>
      </c>
      <c r="C371" s="22" t="s">
        <v>789</v>
      </c>
      <c r="D371" s="22" t="s">
        <v>1306</v>
      </c>
      <c r="E371" s="23" t="s">
        <v>778</v>
      </c>
      <c r="F371" s="23" t="s">
        <v>36</v>
      </c>
      <c r="G371" s="4">
        <v>0</v>
      </c>
      <c r="H371" s="4">
        <v>15</v>
      </c>
      <c r="I371" s="4" t="s">
        <v>1031</v>
      </c>
    </row>
    <row r="372" spans="2:9" ht="15" hidden="1">
      <c r="B372" s="21" t="s">
        <v>790</v>
      </c>
      <c r="C372" s="22" t="s">
        <v>791</v>
      </c>
      <c r="D372" s="22" t="s">
        <v>1237</v>
      </c>
      <c r="E372" s="23" t="s">
        <v>778</v>
      </c>
      <c r="F372" s="23" t="s">
        <v>141</v>
      </c>
      <c r="G372" s="4">
        <v>0</v>
      </c>
      <c r="H372" s="4">
        <v>4</v>
      </c>
      <c r="I372" s="4" t="s">
        <v>1038</v>
      </c>
    </row>
    <row r="373" spans="2:9" ht="15" hidden="1">
      <c r="B373" s="21" t="s">
        <v>792</v>
      </c>
      <c r="C373" s="22" t="s">
        <v>793</v>
      </c>
      <c r="D373" s="98" t="s">
        <v>1032</v>
      </c>
      <c r="E373" s="23" t="s">
        <v>778</v>
      </c>
      <c r="F373" s="23" t="s">
        <v>794</v>
      </c>
      <c r="G373" s="4">
        <v>0</v>
      </c>
      <c r="H373" s="4">
        <v>0</v>
      </c>
      <c r="I373" s="4" t="s">
        <v>1059</v>
      </c>
    </row>
    <row r="374" spans="2:9" ht="15" hidden="1">
      <c r="B374" s="21" t="s">
        <v>795</v>
      </c>
      <c r="C374" s="22" t="s">
        <v>796</v>
      </c>
      <c r="D374" s="22" t="s">
        <v>958</v>
      </c>
      <c r="E374" s="23" t="s">
        <v>778</v>
      </c>
      <c r="F374" s="23" t="s">
        <v>797</v>
      </c>
      <c r="G374" s="4" t="s">
        <v>1392</v>
      </c>
      <c r="H374" s="4">
        <v>0</v>
      </c>
      <c r="I374" s="4" t="s">
        <v>1059</v>
      </c>
    </row>
    <row r="375" spans="2:9" ht="15" hidden="1">
      <c r="B375" s="30" t="s">
        <v>798</v>
      </c>
      <c r="C375" s="31" t="s">
        <v>799</v>
      </c>
      <c r="D375" s="31" t="s">
        <v>1307</v>
      </c>
      <c r="E375" s="23" t="s">
        <v>778</v>
      </c>
      <c r="F375" s="32" t="s">
        <v>286</v>
      </c>
      <c r="G375" s="4" t="s">
        <v>1402</v>
      </c>
      <c r="H375" s="4">
        <v>6</v>
      </c>
      <c r="I375" s="4" t="s">
        <v>1059</v>
      </c>
    </row>
    <row r="376" spans="2:9" ht="15" hidden="1">
      <c r="B376" s="30" t="s">
        <v>800</v>
      </c>
      <c r="C376" s="31" t="s">
        <v>801</v>
      </c>
      <c r="D376" s="31" t="s">
        <v>1308</v>
      </c>
      <c r="E376" s="23" t="s">
        <v>778</v>
      </c>
      <c r="F376" s="32" t="s">
        <v>802</v>
      </c>
      <c r="G376" s="4" t="s">
        <v>1392</v>
      </c>
      <c r="H376" s="4">
        <v>3</v>
      </c>
      <c r="I376" s="4" t="s">
        <v>1059</v>
      </c>
    </row>
    <row r="377" spans="2:9" ht="15" hidden="1">
      <c r="B377" s="30" t="s">
        <v>803</v>
      </c>
      <c r="C377" s="31" t="s">
        <v>804</v>
      </c>
      <c r="D377" s="31" t="s">
        <v>1310</v>
      </c>
      <c r="E377" s="23" t="s">
        <v>778</v>
      </c>
      <c r="F377" s="32" t="s">
        <v>805</v>
      </c>
      <c r="G377" s="4" t="s">
        <v>1392</v>
      </c>
      <c r="H377" s="4">
        <v>4</v>
      </c>
      <c r="I377" s="4" t="s">
        <v>1059</v>
      </c>
    </row>
    <row r="378" spans="2:9" ht="15" hidden="1">
      <c r="B378" s="30" t="s">
        <v>806</v>
      </c>
      <c r="C378" s="22" t="s">
        <v>807</v>
      </c>
      <c r="D378" s="31" t="s">
        <v>1311</v>
      </c>
      <c r="E378" s="23" t="s">
        <v>778</v>
      </c>
      <c r="F378" s="23" t="s">
        <v>808</v>
      </c>
      <c r="G378" s="4">
        <v>0</v>
      </c>
      <c r="H378" s="4">
        <v>2</v>
      </c>
      <c r="I378" s="4" t="s">
        <v>1059</v>
      </c>
    </row>
    <row r="379" spans="2:9" ht="15" hidden="1">
      <c r="B379" s="30" t="s">
        <v>809</v>
      </c>
      <c r="C379" s="22" t="s">
        <v>810</v>
      </c>
      <c r="D379" s="31" t="s">
        <v>1312</v>
      </c>
      <c r="E379" s="23" t="s">
        <v>778</v>
      </c>
      <c r="F379" s="23" t="s">
        <v>805</v>
      </c>
      <c r="G379" s="4" t="s">
        <v>1392</v>
      </c>
      <c r="H379" s="4">
        <v>15</v>
      </c>
      <c r="I379" s="4" t="s">
        <v>1059</v>
      </c>
    </row>
    <row r="380" spans="2:9" ht="15" hidden="1">
      <c r="B380" s="41" t="s">
        <v>811</v>
      </c>
      <c r="C380" s="41" t="s">
        <v>812</v>
      </c>
      <c r="D380" s="31" t="s">
        <v>1313</v>
      </c>
      <c r="E380" s="23" t="s">
        <v>778</v>
      </c>
      <c r="F380" s="23" t="s">
        <v>813</v>
      </c>
      <c r="G380" s="4" t="s">
        <v>1391</v>
      </c>
      <c r="H380" s="4">
        <v>2</v>
      </c>
      <c r="I380" s="4" t="s">
        <v>1038</v>
      </c>
    </row>
    <row r="381" spans="2:9" ht="15" hidden="1">
      <c r="B381" s="41" t="s">
        <v>814</v>
      </c>
      <c r="C381" s="41" t="s">
        <v>815</v>
      </c>
      <c r="D381" s="31" t="s">
        <v>1267</v>
      </c>
      <c r="E381" s="23" t="s">
        <v>778</v>
      </c>
      <c r="F381" s="23" t="s">
        <v>802</v>
      </c>
      <c r="G381" s="4" t="s">
        <v>1392</v>
      </c>
      <c r="H381" s="4">
        <v>2</v>
      </c>
      <c r="I381" s="4" t="s">
        <v>1059</v>
      </c>
    </row>
    <row r="382" spans="2:9" ht="15" hidden="1">
      <c r="B382" s="41" t="s">
        <v>816</v>
      </c>
      <c r="C382" s="41" t="s">
        <v>817</v>
      </c>
      <c r="D382" s="31" t="s">
        <v>1314</v>
      </c>
      <c r="E382" s="23" t="s">
        <v>778</v>
      </c>
      <c r="F382" s="23" t="s">
        <v>802</v>
      </c>
      <c r="G382" s="4" t="s">
        <v>1392</v>
      </c>
      <c r="H382" s="4">
        <v>0</v>
      </c>
      <c r="I382" s="4" t="s">
        <v>1059</v>
      </c>
    </row>
    <row r="383" spans="2:9" ht="15" hidden="1">
      <c r="B383" s="41" t="s">
        <v>818</v>
      </c>
      <c r="C383" s="41" t="s">
        <v>819</v>
      </c>
      <c r="D383" s="31" t="s">
        <v>1309</v>
      </c>
      <c r="E383" s="23" t="s">
        <v>778</v>
      </c>
      <c r="F383" s="23" t="s">
        <v>820</v>
      </c>
      <c r="G383" s="4" t="s">
        <v>1392</v>
      </c>
      <c r="H383" s="4">
        <v>1</v>
      </c>
      <c r="I383" s="4" t="s">
        <v>1059</v>
      </c>
    </row>
    <row r="384" spans="2:9" ht="15" hidden="1">
      <c r="B384" s="41" t="s">
        <v>821</v>
      </c>
      <c r="C384" s="41" t="s">
        <v>822</v>
      </c>
      <c r="D384" s="31" t="s">
        <v>1315</v>
      </c>
      <c r="E384" s="23" t="s">
        <v>778</v>
      </c>
      <c r="F384" s="23" t="s">
        <v>823</v>
      </c>
      <c r="G384" s="4" t="s">
        <v>1402</v>
      </c>
      <c r="H384" s="4">
        <v>0</v>
      </c>
      <c r="I384" s="4" t="s">
        <v>1059</v>
      </c>
    </row>
    <row r="385" spans="2:9" ht="15" hidden="1">
      <c r="B385" s="41" t="s">
        <v>824</v>
      </c>
      <c r="C385" s="41" t="s">
        <v>825</v>
      </c>
      <c r="D385" s="31" t="s">
        <v>1285</v>
      </c>
      <c r="E385" s="23" t="s">
        <v>778</v>
      </c>
      <c r="F385" s="23" t="s">
        <v>826</v>
      </c>
      <c r="G385" s="4">
        <v>0</v>
      </c>
      <c r="H385" s="4">
        <v>5</v>
      </c>
      <c r="I385" s="4" t="s">
        <v>1059</v>
      </c>
    </row>
    <row r="386" spans="2:9" ht="15" hidden="1">
      <c r="B386" s="41" t="s">
        <v>827</v>
      </c>
      <c r="C386" s="41" t="s">
        <v>828</v>
      </c>
      <c r="D386" s="31" t="s">
        <v>1268</v>
      </c>
      <c r="E386" s="23" t="s">
        <v>778</v>
      </c>
      <c r="F386" s="23" t="s">
        <v>141</v>
      </c>
      <c r="G386" s="4">
        <v>0</v>
      </c>
      <c r="H386" s="4">
        <v>1560</v>
      </c>
      <c r="I386" s="4" t="s">
        <v>1031</v>
      </c>
    </row>
    <row r="387" spans="2:9" ht="15" hidden="1">
      <c r="B387" s="41" t="s">
        <v>829</v>
      </c>
      <c r="C387" s="41" t="s">
        <v>830</v>
      </c>
      <c r="D387" s="31" t="s">
        <v>1316</v>
      </c>
      <c r="E387" s="23" t="s">
        <v>778</v>
      </c>
      <c r="F387" s="23" t="s">
        <v>823</v>
      </c>
      <c r="G387" s="4" t="s">
        <v>1402</v>
      </c>
      <c r="H387" s="4">
        <v>11</v>
      </c>
      <c r="I387" s="4" t="s">
        <v>1059</v>
      </c>
    </row>
    <row r="388" spans="2:9" ht="15" hidden="1">
      <c r="B388" s="41" t="s">
        <v>831</v>
      </c>
      <c r="C388" s="41" t="s">
        <v>832</v>
      </c>
      <c r="D388" s="31" t="s">
        <v>1235</v>
      </c>
      <c r="E388" s="23" t="s">
        <v>778</v>
      </c>
      <c r="F388" s="23" t="s">
        <v>141</v>
      </c>
      <c r="G388" s="4">
        <v>0</v>
      </c>
      <c r="H388" s="4">
        <v>8</v>
      </c>
      <c r="I388" s="4" t="s">
        <v>1038</v>
      </c>
    </row>
    <row r="389" spans="2:9" ht="15" hidden="1">
      <c r="B389" s="41" t="s">
        <v>833</v>
      </c>
      <c r="C389" s="41" t="s">
        <v>834</v>
      </c>
      <c r="D389" s="31" t="s">
        <v>1286</v>
      </c>
      <c r="E389" s="23" t="s">
        <v>778</v>
      </c>
      <c r="F389" s="23" t="s">
        <v>835</v>
      </c>
      <c r="G389" s="4" t="s">
        <v>1392</v>
      </c>
      <c r="H389" s="4">
        <v>10</v>
      </c>
      <c r="I389" s="4" t="s">
        <v>1059</v>
      </c>
    </row>
    <row r="390" spans="2:9" ht="15" hidden="1">
      <c r="B390" s="41" t="s">
        <v>836</v>
      </c>
      <c r="C390" s="41" t="s">
        <v>837</v>
      </c>
      <c r="D390" s="31" t="s">
        <v>1317</v>
      </c>
      <c r="E390" s="23" t="s">
        <v>778</v>
      </c>
      <c r="F390" s="23" t="s">
        <v>835</v>
      </c>
      <c r="G390" s="4" t="s">
        <v>1392</v>
      </c>
      <c r="H390" s="4">
        <v>25</v>
      </c>
      <c r="I390" s="4" t="s">
        <v>1059</v>
      </c>
    </row>
    <row r="391" spans="2:9" ht="15" hidden="1">
      <c r="B391" s="41" t="s">
        <v>838</v>
      </c>
      <c r="C391" s="41" t="s">
        <v>839</v>
      </c>
      <c r="D391" s="31" t="s">
        <v>1238</v>
      </c>
      <c r="E391" s="23" t="s">
        <v>778</v>
      </c>
      <c r="F391" s="23" t="s">
        <v>141</v>
      </c>
      <c r="G391" s="4">
        <v>0</v>
      </c>
      <c r="H391" s="4">
        <v>2</v>
      </c>
      <c r="I391" s="4" t="s">
        <v>1038</v>
      </c>
    </row>
    <row r="392" spans="2:9" ht="15" hidden="1">
      <c r="B392" s="41" t="s">
        <v>840</v>
      </c>
      <c r="C392" s="41" t="s">
        <v>841</v>
      </c>
      <c r="D392" s="31" t="s">
        <v>1262</v>
      </c>
      <c r="E392" s="23" t="s">
        <v>778</v>
      </c>
      <c r="F392" s="23" t="s">
        <v>624</v>
      </c>
      <c r="G392" s="4">
        <v>0</v>
      </c>
      <c r="H392" s="4">
        <v>0</v>
      </c>
      <c r="I392" s="4" t="s">
        <v>1038</v>
      </c>
    </row>
    <row r="393" spans="2:9" ht="15" hidden="1">
      <c r="B393" s="41" t="s">
        <v>842</v>
      </c>
      <c r="C393" s="82" t="s">
        <v>843</v>
      </c>
      <c r="D393" s="101" t="s">
        <v>1318</v>
      </c>
      <c r="E393" s="23" t="s">
        <v>778</v>
      </c>
      <c r="F393" s="23" t="s">
        <v>794</v>
      </c>
      <c r="G393" s="4">
        <v>0</v>
      </c>
      <c r="H393" s="4">
        <v>0</v>
      </c>
      <c r="I393" s="4" t="s">
        <v>1059</v>
      </c>
    </row>
    <row r="394" spans="2:9" ht="15" hidden="1">
      <c r="B394" s="41" t="s">
        <v>844</v>
      </c>
      <c r="C394" s="82" t="s">
        <v>845</v>
      </c>
      <c r="D394" s="101" t="s">
        <v>1319</v>
      </c>
      <c r="E394" s="23" t="s">
        <v>778</v>
      </c>
      <c r="F394" s="46" t="s">
        <v>835</v>
      </c>
      <c r="G394" s="4">
        <v>0</v>
      </c>
      <c r="H394" s="4">
        <v>0</v>
      </c>
      <c r="I394" s="4" t="s">
        <v>1059</v>
      </c>
    </row>
    <row r="395" spans="2:9" ht="15" hidden="1">
      <c r="B395" s="41" t="s">
        <v>846</v>
      </c>
      <c r="C395" s="41" t="s">
        <v>847</v>
      </c>
      <c r="D395" s="31" t="s">
        <v>1314</v>
      </c>
      <c r="E395" s="23" t="s">
        <v>778</v>
      </c>
      <c r="F395" s="45" t="s">
        <v>28</v>
      </c>
      <c r="G395" s="4">
        <v>0</v>
      </c>
      <c r="H395" s="4">
        <v>7</v>
      </c>
      <c r="I395" s="4" t="s">
        <v>1059</v>
      </c>
    </row>
    <row r="396" spans="2:9" ht="15" hidden="1">
      <c r="B396" s="41" t="s">
        <v>848</v>
      </c>
      <c r="C396" s="41" t="s">
        <v>849</v>
      </c>
      <c r="D396" s="31" t="s">
        <v>1320</v>
      </c>
      <c r="E396" s="23" t="s">
        <v>778</v>
      </c>
      <c r="F396" s="45" t="s">
        <v>850</v>
      </c>
      <c r="G396" s="4">
        <v>0</v>
      </c>
      <c r="H396" s="4">
        <v>9</v>
      </c>
      <c r="I396" s="4" t="s">
        <v>1031</v>
      </c>
    </row>
    <row r="397" spans="2:9" ht="15" hidden="1">
      <c r="B397" s="41" t="s">
        <v>851</v>
      </c>
      <c r="C397" s="41" t="s">
        <v>852</v>
      </c>
      <c r="D397" s="31" t="s">
        <v>1321</v>
      </c>
      <c r="E397" s="23" t="s">
        <v>778</v>
      </c>
      <c r="F397" s="45" t="s">
        <v>850</v>
      </c>
      <c r="G397" s="4">
        <v>0</v>
      </c>
      <c r="H397" s="4">
        <v>6</v>
      </c>
      <c r="I397" s="4" t="s">
        <v>1031</v>
      </c>
    </row>
    <row r="398" spans="2:9" ht="15" hidden="1">
      <c r="B398" s="44"/>
      <c r="C398" s="44"/>
      <c r="D398" s="44"/>
      <c r="E398" s="26"/>
      <c r="F398" s="26"/>
      <c r="G398" s="4">
        <v>0</v>
      </c>
      <c r="H398" s="4">
        <v>0</v>
      </c>
      <c r="I398" s="4">
        <v>0</v>
      </c>
    </row>
    <row r="399" spans="2:9" ht="15" hidden="1">
      <c r="B399" s="1" t="s">
        <v>853</v>
      </c>
      <c r="C399" s="36" t="s">
        <v>854</v>
      </c>
      <c r="D399" s="85" t="s">
        <v>1028</v>
      </c>
      <c r="E399" s="23" t="s">
        <v>855</v>
      </c>
      <c r="F399" s="72" t="s">
        <v>856</v>
      </c>
      <c r="G399" s="4">
        <v>0</v>
      </c>
      <c r="H399" s="4">
        <v>2600</v>
      </c>
      <c r="I399" s="4" t="s">
        <v>1028</v>
      </c>
    </row>
    <row r="400" spans="2:9" ht="15" hidden="1">
      <c r="B400" s="1" t="s">
        <v>857</v>
      </c>
      <c r="C400" s="31" t="s">
        <v>858</v>
      </c>
      <c r="D400" s="85" t="s">
        <v>1028</v>
      </c>
      <c r="E400" s="23" t="s">
        <v>855</v>
      </c>
      <c r="F400" s="4" t="s">
        <v>859</v>
      </c>
      <c r="G400" s="4">
        <v>0</v>
      </c>
      <c r="H400" s="4">
        <v>250</v>
      </c>
      <c r="I400" s="4" t="s">
        <v>1028</v>
      </c>
    </row>
    <row r="401" spans="2:9" ht="15" hidden="1">
      <c r="B401" s="1" t="s">
        <v>860</v>
      </c>
      <c r="C401" s="36" t="s">
        <v>861</v>
      </c>
      <c r="D401" s="85" t="s">
        <v>1028</v>
      </c>
      <c r="E401" s="23" t="s">
        <v>855</v>
      </c>
      <c r="F401" s="83" t="s">
        <v>862</v>
      </c>
      <c r="G401" s="4">
        <v>0</v>
      </c>
      <c r="H401" s="4">
        <v>56</v>
      </c>
      <c r="I401" s="4" t="s">
        <v>1028</v>
      </c>
    </row>
    <row r="402" spans="2:9" ht="15" hidden="1">
      <c r="B402" s="1" t="s">
        <v>863</v>
      </c>
      <c r="C402" s="31" t="s">
        <v>864</v>
      </c>
      <c r="D402" s="85" t="s">
        <v>1028</v>
      </c>
      <c r="E402" s="23" t="s">
        <v>855</v>
      </c>
      <c r="F402" s="4" t="s">
        <v>865</v>
      </c>
      <c r="G402" s="4">
        <v>0</v>
      </c>
      <c r="H402" s="4">
        <v>417</v>
      </c>
      <c r="I402" s="4" t="s">
        <v>1028</v>
      </c>
    </row>
    <row r="403" spans="2:9" ht="15" hidden="1">
      <c r="B403" s="1" t="s">
        <v>866</v>
      </c>
      <c r="C403" s="31" t="s">
        <v>867</v>
      </c>
      <c r="D403" s="103" t="s">
        <v>1032</v>
      </c>
      <c r="E403" s="23" t="s">
        <v>855</v>
      </c>
      <c r="F403" s="23" t="s">
        <v>868</v>
      </c>
      <c r="G403" s="4">
        <v>0</v>
      </c>
      <c r="H403" s="4">
        <v>0</v>
      </c>
      <c r="I403" s="4" t="s">
        <v>1028</v>
      </c>
    </row>
    <row r="404" spans="2:9" ht="15" hidden="1">
      <c r="B404" s="1" t="s">
        <v>869</v>
      </c>
      <c r="C404" s="31" t="s">
        <v>870</v>
      </c>
      <c r="D404" s="103" t="s">
        <v>1032</v>
      </c>
      <c r="E404" s="23" t="s">
        <v>855</v>
      </c>
      <c r="F404" s="23" t="s">
        <v>871</v>
      </c>
      <c r="G404" s="4">
        <v>0</v>
      </c>
      <c r="H404" s="4">
        <v>0</v>
      </c>
      <c r="I404" s="4" t="s">
        <v>1028</v>
      </c>
    </row>
    <row r="405" spans="2:9" ht="15" hidden="1">
      <c r="B405" s="1" t="s">
        <v>872</v>
      </c>
      <c r="C405" s="36" t="s">
        <v>873</v>
      </c>
      <c r="D405" s="85" t="s">
        <v>1028</v>
      </c>
      <c r="E405" s="23" t="s">
        <v>855</v>
      </c>
      <c r="F405" s="83" t="s">
        <v>874</v>
      </c>
      <c r="G405" s="4" t="s">
        <v>1541</v>
      </c>
      <c r="H405" s="4">
        <v>125</v>
      </c>
      <c r="I405" s="4" t="s">
        <v>1028</v>
      </c>
    </row>
    <row r="406" spans="2:9" ht="15" hidden="1">
      <c r="B406" s="1" t="s">
        <v>875</v>
      </c>
      <c r="C406" s="84" t="s">
        <v>876</v>
      </c>
      <c r="D406" s="85" t="s">
        <v>1028</v>
      </c>
      <c r="E406" s="23" t="s">
        <v>855</v>
      </c>
      <c r="F406" s="46" t="s">
        <v>877</v>
      </c>
      <c r="G406" s="4" t="s">
        <v>1542</v>
      </c>
      <c r="H406" s="4">
        <v>229</v>
      </c>
      <c r="I406" s="4" t="s">
        <v>1028</v>
      </c>
    </row>
    <row r="407" spans="2:9" ht="15" hidden="1">
      <c r="B407" s="1" t="s">
        <v>878</v>
      </c>
      <c r="C407" s="84" t="s">
        <v>879</v>
      </c>
      <c r="D407" s="85" t="s">
        <v>1028</v>
      </c>
      <c r="E407" s="23" t="s">
        <v>855</v>
      </c>
      <c r="F407" s="72" t="s">
        <v>856</v>
      </c>
      <c r="G407" s="4" t="s">
        <v>1542</v>
      </c>
      <c r="H407" s="4">
        <v>150</v>
      </c>
      <c r="I407" s="4" t="s">
        <v>1028</v>
      </c>
    </row>
    <row r="408" spans="2:9" ht="15" hidden="1">
      <c r="B408" s="1" t="s">
        <v>880</v>
      </c>
      <c r="C408" s="84" t="s">
        <v>881</v>
      </c>
      <c r="D408" s="85" t="s">
        <v>1028</v>
      </c>
      <c r="E408" s="23" t="s">
        <v>855</v>
      </c>
      <c r="F408" s="72" t="s">
        <v>882</v>
      </c>
      <c r="G408" s="4" t="s">
        <v>1542</v>
      </c>
      <c r="H408" s="4">
        <v>396</v>
      </c>
      <c r="I408" s="4" t="s">
        <v>1028</v>
      </c>
    </row>
    <row r="409" spans="2:9" ht="15" hidden="1">
      <c r="B409" s="1" t="s">
        <v>883</v>
      </c>
      <c r="C409" s="84" t="s">
        <v>884</v>
      </c>
      <c r="D409" s="85" t="s">
        <v>1028</v>
      </c>
      <c r="E409" s="23" t="s">
        <v>855</v>
      </c>
      <c r="F409" s="72" t="s">
        <v>882</v>
      </c>
      <c r="G409" s="4" t="s">
        <v>1542</v>
      </c>
      <c r="H409" s="4">
        <v>375</v>
      </c>
      <c r="I409" s="4" t="s">
        <v>1028</v>
      </c>
    </row>
    <row r="410" spans="2:9" ht="15" hidden="1">
      <c r="B410" s="1" t="s">
        <v>885</v>
      </c>
      <c r="C410" s="84" t="s">
        <v>886</v>
      </c>
      <c r="D410" s="85" t="s">
        <v>1028</v>
      </c>
      <c r="E410" s="23" t="s">
        <v>855</v>
      </c>
      <c r="F410" s="46" t="s">
        <v>887</v>
      </c>
      <c r="G410" s="4" t="s">
        <v>1542</v>
      </c>
      <c r="H410" s="4">
        <v>85</v>
      </c>
      <c r="I410" s="4" t="s">
        <v>1028</v>
      </c>
    </row>
    <row r="411" spans="2:9" ht="15" hidden="1">
      <c r="B411" s="1" t="s">
        <v>888</v>
      </c>
      <c r="C411" s="84" t="s">
        <v>889</v>
      </c>
      <c r="D411" s="103" t="s">
        <v>1032</v>
      </c>
      <c r="E411" s="23" t="s">
        <v>855</v>
      </c>
      <c r="F411" s="46" t="s">
        <v>890</v>
      </c>
      <c r="G411" s="4" t="s">
        <v>1542</v>
      </c>
      <c r="H411" s="4">
        <v>82</v>
      </c>
      <c r="I411" s="4" t="s">
        <v>1028</v>
      </c>
    </row>
    <row r="412" spans="2:9" ht="15" hidden="1">
      <c r="B412" s="28"/>
      <c r="C412" s="28"/>
      <c r="D412" s="28"/>
      <c r="E412" s="26"/>
      <c r="F412" s="26"/>
      <c r="G412" s="4">
        <v>0</v>
      </c>
      <c r="H412" s="4">
        <v>0</v>
      </c>
      <c r="I412" s="4">
        <v>0</v>
      </c>
    </row>
    <row r="413" spans="2:9" ht="15" hidden="1">
      <c r="B413" s="21" t="s">
        <v>891</v>
      </c>
      <c r="C413" s="21" t="s">
        <v>892</v>
      </c>
      <c r="D413" s="31" t="s">
        <v>1322</v>
      </c>
      <c r="E413" s="68" t="s">
        <v>893</v>
      </c>
      <c r="F413" s="23" t="s">
        <v>894</v>
      </c>
      <c r="G413" s="4">
        <v>0</v>
      </c>
      <c r="H413" s="4">
        <v>350</v>
      </c>
      <c r="I413" s="4" t="s">
        <v>1028</v>
      </c>
    </row>
    <row r="414" spans="2:9" ht="15" hidden="1">
      <c r="B414" s="28"/>
      <c r="C414" s="28"/>
      <c r="D414" s="28"/>
      <c r="E414" s="26"/>
      <c r="F414" s="26"/>
      <c r="G414" s="4">
        <v>0</v>
      </c>
      <c r="H414" s="4">
        <v>0</v>
      </c>
      <c r="I414" s="4">
        <v>0</v>
      </c>
    </row>
    <row r="415" spans="2:9" ht="15" hidden="1">
      <c r="B415" s="1" t="s">
        <v>895</v>
      </c>
      <c r="C415" s="21" t="s">
        <v>896</v>
      </c>
      <c r="D415" s="21" t="s">
        <v>896</v>
      </c>
      <c r="E415" s="23" t="s">
        <v>897</v>
      </c>
      <c r="F415" s="23" t="s">
        <v>36</v>
      </c>
      <c r="G415" s="4">
        <v>0</v>
      </c>
      <c r="H415" s="4">
        <v>244</v>
      </c>
      <c r="I415" s="4" t="s">
        <v>1059</v>
      </c>
    </row>
    <row r="416" spans="2:9" ht="15" hidden="1">
      <c r="B416" s="1" t="s">
        <v>898</v>
      </c>
      <c r="C416" s="31" t="s">
        <v>899</v>
      </c>
      <c r="D416" s="31" t="s">
        <v>1323</v>
      </c>
      <c r="E416" s="23" t="s">
        <v>897</v>
      </c>
      <c r="F416" s="23" t="s">
        <v>36</v>
      </c>
      <c r="G416" s="4">
        <v>0</v>
      </c>
      <c r="H416" s="4">
        <v>0</v>
      </c>
      <c r="I416" s="4" t="s">
        <v>1042</v>
      </c>
    </row>
    <row r="417" spans="2:9" ht="15" hidden="1">
      <c r="B417" s="1" t="s">
        <v>900</v>
      </c>
      <c r="C417" s="56" t="s">
        <v>901</v>
      </c>
      <c r="D417" s="31" t="s">
        <v>1324</v>
      </c>
      <c r="E417" s="23" t="s">
        <v>897</v>
      </c>
      <c r="F417" s="32" t="s">
        <v>28</v>
      </c>
      <c r="G417" s="4">
        <v>0</v>
      </c>
      <c r="H417" s="4">
        <v>0</v>
      </c>
      <c r="I417" s="4" t="s">
        <v>1042</v>
      </c>
    </row>
    <row r="418" spans="2:9" ht="15" hidden="1">
      <c r="B418" s="1" t="s">
        <v>902</v>
      </c>
      <c r="C418" s="56" t="s">
        <v>903</v>
      </c>
      <c r="D418" s="31" t="s">
        <v>1325</v>
      </c>
      <c r="E418" s="23" t="s">
        <v>897</v>
      </c>
      <c r="F418" s="23" t="s">
        <v>36</v>
      </c>
      <c r="G418" s="4">
        <v>0</v>
      </c>
      <c r="H418" s="4">
        <v>50</v>
      </c>
      <c r="I418" s="4" t="s">
        <v>1039</v>
      </c>
    </row>
    <row r="419" spans="2:9" ht="15" hidden="1">
      <c r="B419" s="28"/>
      <c r="C419" s="25"/>
      <c r="D419" s="25"/>
      <c r="E419" s="26"/>
      <c r="F419" s="26"/>
      <c r="G419" s="4">
        <v>0</v>
      </c>
      <c r="H419" s="4">
        <v>0</v>
      </c>
      <c r="I419" s="4"/>
    </row>
    <row r="420" spans="2:9" ht="15" hidden="1">
      <c r="B420" s="21" t="s">
        <v>904</v>
      </c>
      <c r="C420" s="31" t="s">
        <v>905</v>
      </c>
      <c r="D420" s="31" t="s">
        <v>1326</v>
      </c>
      <c r="E420" s="23" t="s">
        <v>906</v>
      </c>
      <c r="F420" s="23" t="s">
        <v>201</v>
      </c>
      <c r="G420" s="4" t="s">
        <v>1362</v>
      </c>
      <c r="H420" s="4">
        <v>254</v>
      </c>
      <c r="I420" s="4" t="s">
        <v>1043</v>
      </c>
    </row>
    <row r="421" spans="2:9" ht="15" hidden="1">
      <c r="B421" s="28"/>
      <c r="C421" s="25"/>
      <c r="D421" s="25"/>
      <c r="E421" s="26"/>
      <c r="F421" s="26"/>
      <c r="G421" s="4">
        <v>0</v>
      </c>
      <c r="H421" s="4">
        <v>0</v>
      </c>
      <c r="I421" s="4"/>
    </row>
    <row r="422" spans="2:9" ht="15" hidden="1">
      <c r="B422" s="21" t="s">
        <v>907</v>
      </c>
      <c r="C422" s="85" t="s">
        <v>908</v>
      </c>
      <c r="D422" s="85" t="s">
        <v>1327</v>
      </c>
      <c r="E422" s="23" t="s">
        <v>909</v>
      </c>
      <c r="F422" s="23" t="s">
        <v>910</v>
      </c>
      <c r="G422" s="4">
        <v>0</v>
      </c>
      <c r="H422" s="4">
        <v>132</v>
      </c>
      <c r="I422" s="4" t="s">
        <v>1049</v>
      </c>
    </row>
    <row r="423" spans="2:9" ht="15" hidden="1">
      <c r="B423" s="28"/>
      <c r="C423" s="58"/>
      <c r="D423" s="58"/>
      <c r="E423" s="26"/>
      <c r="F423" s="26"/>
      <c r="G423" s="4">
        <v>0</v>
      </c>
      <c r="H423" s="4">
        <v>0</v>
      </c>
      <c r="I423" s="4"/>
    </row>
    <row r="424" spans="2:9" ht="15" hidden="1">
      <c r="B424" s="21" t="s">
        <v>911</v>
      </c>
      <c r="C424" s="4" t="s">
        <v>912</v>
      </c>
      <c r="D424" s="85" t="s">
        <v>1328</v>
      </c>
      <c r="E424" s="86" t="s">
        <v>913</v>
      </c>
      <c r="F424" s="23" t="s">
        <v>914</v>
      </c>
      <c r="G424" s="4">
        <v>0</v>
      </c>
      <c r="H424" s="4">
        <v>32</v>
      </c>
      <c r="I424" s="4" t="s">
        <v>1058</v>
      </c>
    </row>
    <row r="425" spans="2:9" ht="15" hidden="1">
      <c r="B425" s="28"/>
      <c r="C425" s="25"/>
      <c r="D425" s="25"/>
      <c r="E425" s="26"/>
      <c r="F425" s="26"/>
      <c r="G425" s="4">
        <v>0</v>
      </c>
      <c r="H425" s="4">
        <v>0</v>
      </c>
      <c r="I425" s="4"/>
    </row>
    <row r="426" spans="2:9" ht="15" hidden="1">
      <c r="B426" s="21" t="s">
        <v>915</v>
      </c>
      <c r="C426" s="22" t="s">
        <v>916</v>
      </c>
      <c r="D426" s="31" t="s">
        <v>916</v>
      </c>
      <c r="E426" s="23" t="s">
        <v>917</v>
      </c>
      <c r="F426" s="23" t="s">
        <v>560</v>
      </c>
      <c r="G426" s="4" t="s">
        <v>1392</v>
      </c>
      <c r="H426" s="4">
        <v>31</v>
      </c>
      <c r="I426" s="4" t="s">
        <v>1059</v>
      </c>
    </row>
    <row r="427" spans="2:9" ht="15" hidden="1">
      <c r="B427" s="21" t="s">
        <v>918</v>
      </c>
      <c r="C427" s="22" t="s">
        <v>919</v>
      </c>
      <c r="D427" s="31" t="s">
        <v>1329</v>
      </c>
      <c r="E427" s="23" t="s">
        <v>917</v>
      </c>
      <c r="F427" s="23" t="s">
        <v>783</v>
      </c>
      <c r="G427" s="4" t="s">
        <v>1392</v>
      </c>
      <c r="H427" s="4">
        <v>91</v>
      </c>
      <c r="I427" s="4" t="s">
        <v>1059</v>
      </c>
    </row>
    <row r="428" spans="2:9" ht="15" hidden="1">
      <c r="B428" s="21" t="s">
        <v>920</v>
      </c>
      <c r="C428" s="31" t="s">
        <v>921</v>
      </c>
      <c r="D428" s="31" t="s">
        <v>1263</v>
      </c>
      <c r="E428" s="23" t="s">
        <v>917</v>
      </c>
      <c r="F428" s="32" t="s">
        <v>783</v>
      </c>
      <c r="G428" s="4" t="s">
        <v>1392</v>
      </c>
      <c r="H428" s="4">
        <v>1</v>
      </c>
      <c r="I428" s="4" t="s">
        <v>1059</v>
      </c>
    </row>
    <row r="429" spans="2:9" ht="15" hidden="1">
      <c r="B429" s="21" t="s">
        <v>922</v>
      </c>
      <c r="C429" s="22" t="s">
        <v>923</v>
      </c>
      <c r="D429" s="31" t="s">
        <v>923</v>
      </c>
      <c r="E429" s="23" t="s">
        <v>917</v>
      </c>
      <c r="F429" s="23" t="s">
        <v>783</v>
      </c>
      <c r="G429" s="4" t="s">
        <v>1392</v>
      </c>
      <c r="H429" s="4">
        <v>89</v>
      </c>
      <c r="I429" s="4" t="s">
        <v>1059</v>
      </c>
    </row>
    <row r="430" spans="2:9" ht="15" hidden="1">
      <c r="B430" s="21" t="s">
        <v>924</v>
      </c>
      <c r="C430" s="22" t="s">
        <v>925</v>
      </c>
      <c r="D430" s="31" t="s">
        <v>1330</v>
      </c>
      <c r="E430" s="23" t="s">
        <v>917</v>
      </c>
      <c r="F430" s="23" t="s">
        <v>560</v>
      </c>
      <c r="G430" s="4" t="s">
        <v>1392</v>
      </c>
      <c r="H430" s="4">
        <v>83</v>
      </c>
      <c r="I430" s="4" t="s">
        <v>1059</v>
      </c>
    </row>
    <row r="431" spans="2:9" ht="15" hidden="1">
      <c r="B431" s="21" t="s">
        <v>926</v>
      </c>
      <c r="C431" s="22" t="s">
        <v>927</v>
      </c>
      <c r="D431" s="31" t="s">
        <v>1319</v>
      </c>
      <c r="E431" s="23" t="s">
        <v>917</v>
      </c>
      <c r="F431" s="23" t="s">
        <v>141</v>
      </c>
      <c r="G431" s="4" t="s">
        <v>1392</v>
      </c>
      <c r="H431" s="4">
        <v>0</v>
      </c>
      <c r="I431" s="4" t="s">
        <v>1059</v>
      </c>
    </row>
    <row r="432" spans="2:9" ht="15" hidden="1">
      <c r="B432" s="21" t="s">
        <v>928</v>
      </c>
      <c r="C432" s="22" t="s">
        <v>929</v>
      </c>
      <c r="D432" s="31" t="s">
        <v>1331</v>
      </c>
      <c r="E432" s="23" t="s">
        <v>917</v>
      </c>
      <c r="F432" s="23" t="s">
        <v>141</v>
      </c>
      <c r="G432" s="4" t="s">
        <v>1392</v>
      </c>
      <c r="H432" s="4">
        <v>897</v>
      </c>
      <c r="I432" s="4" t="s">
        <v>1059</v>
      </c>
    </row>
    <row r="433" spans="2:9" ht="15" hidden="1">
      <c r="B433" s="21" t="s">
        <v>930</v>
      </c>
      <c r="C433" s="22" t="s">
        <v>931</v>
      </c>
      <c r="D433" s="31" t="s">
        <v>1332</v>
      </c>
      <c r="E433" s="23" t="s">
        <v>917</v>
      </c>
      <c r="F433" s="23" t="s">
        <v>932</v>
      </c>
      <c r="G433" s="4" t="s">
        <v>1392</v>
      </c>
      <c r="H433" s="4">
        <v>21</v>
      </c>
      <c r="I433" s="4" t="s">
        <v>1058</v>
      </c>
    </row>
    <row r="434" spans="2:9" ht="15" hidden="1">
      <c r="B434" s="21" t="s">
        <v>933</v>
      </c>
      <c r="C434" s="22" t="s">
        <v>934</v>
      </c>
      <c r="D434" s="31" t="s">
        <v>1333</v>
      </c>
      <c r="E434" s="23" t="s">
        <v>917</v>
      </c>
      <c r="F434" s="23" t="s">
        <v>21</v>
      </c>
      <c r="G434" s="4" t="s">
        <v>1398</v>
      </c>
      <c r="H434" s="4">
        <v>0</v>
      </c>
      <c r="I434" s="4" t="s">
        <v>1059</v>
      </c>
    </row>
    <row r="435" spans="2:9" ht="15" hidden="1">
      <c r="B435" s="21" t="s">
        <v>935</v>
      </c>
      <c r="C435" s="22" t="s">
        <v>936</v>
      </c>
      <c r="D435" s="31" t="s">
        <v>1334</v>
      </c>
      <c r="E435" s="23" t="s">
        <v>917</v>
      </c>
      <c r="F435" s="23" t="s">
        <v>36</v>
      </c>
      <c r="G435" s="4" t="s">
        <v>1392</v>
      </c>
      <c r="H435" s="4">
        <v>0</v>
      </c>
      <c r="I435" s="4" t="s">
        <v>1059</v>
      </c>
    </row>
    <row r="436" spans="2:9" ht="15" hidden="1">
      <c r="B436" s="21" t="s">
        <v>937</v>
      </c>
      <c r="C436" s="22" t="s">
        <v>938</v>
      </c>
      <c r="D436" s="31" t="s">
        <v>1335</v>
      </c>
      <c r="E436" s="23" t="s">
        <v>917</v>
      </c>
      <c r="F436" s="23" t="s">
        <v>939</v>
      </c>
      <c r="G436" s="4" t="s">
        <v>1537</v>
      </c>
      <c r="H436" s="4">
        <v>4077</v>
      </c>
      <c r="I436" s="4" t="s">
        <v>1039</v>
      </c>
    </row>
    <row r="437" spans="2:9" ht="15" hidden="1">
      <c r="B437" s="21" t="s">
        <v>940</v>
      </c>
      <c r="C437" s="22" t="s">
        <v>941</v>
      </c>
      <c r="D437" s="31" t="s">
        <v>1214</v>
      </c>
      <c r="E437" s="23" t="s">
        <v>917</v>
      </c>
      <c r="F437" s="23" t="s">
        <v>942</v>
      </c>
      <c r="G437" s="4" t="s">
        <v>1392</v>
      </c>
      <c r="H437" s="4">
        <v>0</v>
      </c>
      <c r="I437" s="4" t="s">
        <v>1059</v>
      </c>
    </row>
    <row r="438" spans="2:9" ht="15" hidden="1">
      <c r="B438" s="21" t="s">
        <v>943</v>
      </c>
      <c r="C438" s="22" t="s">
        <v>944</v>
      </c>
      <c r="D438" s="31" t="s">
        <v>1215</v>
      </c>
      <c r="E438" s="23" t="s">
        <v>917</v>
      </c>
      <c r="F438" s="23" t="s">
        <v>42</v>
      </c>
      <c r="G438" s="4" t="s">
        <v>1392</v>
      </c>
      <c r="H438" s="4">
        <v>0</v>
      </c>
      <c r="I438" s="4" t="s">
        <v>1059</v>
      </c>
    </row>
    <row r="439" spans="2:9" ht="15" hidden="1">
      <c r="B439" s="21" t="s">
        <v>945</v>
      </c>
      <c r="C439" s="22" t="s">
        <v>946</v>
      </c>
      <c r="D439" s="31" t="s">
        <v>1336</v>
      </c>
      <c r="E439" s="23" t="s">
        <v>917</v>
      </c>
      <c r="F439" s="23" t="s">
        <v>947</v>
      </c>
      <c r="G439" s="4" t="s">
        <v>1392</v>
      </c>
      <c r="H439" s="4">
        <v>0</v>
      </c>
      <c r="I439" s="4" t="s">
        <v>1059</v>
      </c>
    </row>
    <row r="440" spans="2:9" ht="15" hidden="1">
      <c r="B440" s="21" t="s">
        <v>948</v>
      </c>
      <c r="C440" s="22" t="s">
        <v>949</v>
      </c>
      <c r="D440" s="31" t="s">
        <v>1337</v>
      </c>
      <c r="E440" s="23" t="s">
        <v>917</v>
      </c>
      <c r="F440" s="23" t="s">
        <v>950</v>
      </c>
      <c r="G440" s="4" t="s">
        <v>1392</v>
      </c>
      <c r="H440" s="4">
        <v>10</v>
      </c>
      <c r="I440" s="4" t="s">
        <v>1059</v>
      </c>
    </row>
    <row r="441" spans="2:9" ht="15" hidden="1">
      <c r="B441" s="21" t="s">
        <v>951</v>
      </c>
      <c r="C441" s="22" t="s">
        <v>952</v>
      </c>
      <c r="D441" s="31" t="s">
        <v>1338</v>
      </c>
      <c r="E441" s="23" t="s">
        <v>917</v>
      </c>
      <c r="F441" s="23" t="s">
        <v>42</v>
      </c>
      <c r="G441" s="4" t="s">
        <v>1392</v>
      </c>
      <c r="H441" s="4">
        <v>10</v>
      </c>
      <c r="I441" s="4" t="s">
        <v>1059</v>
      </c>
    </row>
    <row r="442" spans="2:9" ht="15" hidden="1">
      <c r="B442" s="21" t="s">
        <v>953</v>
      </c>
      <c r="C442" s="22" t="s">
        <v>954</v>
      </c>
      <c r="D442" s="31" t="s">
        <v>1339</v>
      </c>
      <c r="E442" s="23" t="s">
        <v>917</v>
      </c>
      <c r="F442" s="23" t="s">
        <v>42</v>
      </c>
      <c r="G442" s="4" t="s">
        <v>1392</v>
      </c>
      <c r="H442" s="4">
        <v>30</v>
      </c>
      <c r="I442" s="4" t="s">
        <v>1059</v>
      </c>
    </row>
    <row r="443" spans="2:9" ht="15" hidden="1">
      <c r="B443" s="87" t="s">
        <v>955</v>
      </c>
      <c r="C443" s="88" t="s">
        <v>956</v>
      </c>
      <c r="D443" s="31" t="s">
        <v>1340</v>
      </c>
      <c r="E443" s="89" t="s">
        <v>917</v>
      </c>
      <c r="F443" s="90" t="s">
        <v>186</v>
      </c>
      <c r="G443" s="91" t="s">
        <v>1403</v>
      </c>
      <c r="H443" s="4">
        <v>52</v>
      </c>
      <c r="I443" s="4" t="s">
        <v>1059</v>
      </c>
    </row>
    <row r="444" spans="2:9" ht="15" hidden="1">
      <c r="B444" s="87" t="s">
        <v>957</v>
      </c>
      <c r="C444" s="88" t="s">
        <v>958</v>
      </c>
      <c r="D444" s="31" t="s">
        <v>958</v>
      </c>
      <c r="E444" s="89" t="s">
        <v>917</v>
      </c>
      <c r="F444" s="90" t="s">
        <v>959</v>
      </c>
      <c r="G444" s="91">
        <v>0</v>
      </c>
      <c r="H444" s="4">
        <v>23</v>
      </c>
      <c r="I444" s="4" t="s">
        <v>1059</v>
      </c>
    </row>
    <row r="445" spans="2:9" ht="15" hidden="1">
      <c r="B445" s="87" t="s">
        <v>960</v>
      </c>
      <c r="C445" s="88" t="s">
        <v>961</v>
      </c>
      <c r="D445" s="100" t="s">
        <v>1032</v>
      </c>
      <c r="E445" s="89" t="s">
        <v>917</v>
      </c>
      <c r="F445" s="90" t="s">
        <v>201</v>
      </c>
      <c r="G445" s="91">
        <v>0</v>
      </c>
      <c r="H445" s="4">
        <v>0</v>
      </c>
      <c r="I445" s="4" t="s">
        <v>1059</v>
      </c>
    </row>
    <row r="446" spans="2:9" ht="15" hidden="1">
      <c r="B446" s="30" t="s">
        <v>962</v>
      </c>
      <c r="C446" s="31" t="s">
        <v>963</v>
      </c>
      <c r="D446" s="31" t="s">
        <v>1349</v>
      </c>
      <c r="E446" s="23" t="s">
        <v>917</v>
      </c>
      <c r="F446" s="23" t="s">
        <v>36</v>
      </c>
      <c r="G446" s="4" t="s">
        <v>1392</v>
      </c>
      <c r="H446" s="4">
        <v>2</v>
      </c>
      <c r="I446" s="4" t="s">
        <v>1059</v>
      </c>
    </row>
    <row r="447" spans="2:9" ht="15" hidden="1">
      <c r="B447" s="30" t="s">
        <v>964</v>
      </c>
      <c r="C447" s="31" t="s">
        <v>965</v>
      </c>
      <c r="D447" s="31" t="s">
        <v>1341</v>
      </c>
      <c r="E447" s="23" t="s">
        <v>917</v>
      </c>
      <c r="F447" s="23" t="s">
        <v>201</v>
      </c>
      <c r="G447" s="4" t="s">
        <v>1392</v>
      </c>
      <c r="H447" s="4">
        <v>0</v>
      </c>
      <c r="I447" s="4" t="s">
        <v>1059</v>
      </c>
    </row>
    <row r="448" spans="2:9" ht="15" hidden="1">
      <c r="B448" s="30" t="s">
        <v>966</v>
      </c>
      <c r="C448" s="31" t="s">
        <v>967</v>
      </c>
      <c r="D448" s="31" t="s">
        <v>1342</v>
      </c>
      <c r="E448" s="23" t="s">
        <v>917</v>
      </c>
      <c r="F448" s="23" t="s">
        <v>36</v>
      </c>
      <c r="G448" s="4" t="s">
        <v>1535</v>
      </c>
      <c r="H448" s="4">
        <v>12</v>
      </c>
      <c r="I448" s="4" t="s">
        <v>1031</v>
      </c>
    </row>
    <row r="449" spans="2:9" ht="15" hidden="1">
      <c r="B449" s="30" t="s">
        <v>968</v>
      </c>
      <c r="C449" s="31" t="s">
        <v>969</v>
      </c>
      <c r="D449" s="31" t="s">
        <v>1343</v>
      </c>
      <c r="E449" s="23" t="s">
        <v>917</v>
      </c>
      <c r="F449" s="23" t="s">
        <v>36</v>
      </c>
      <c r="G449" s="4" t="s">
        <v>1535</v>
      </c>
      <c r="H449" s="4">
        <v>6</v>
      </c>
      <c r="I449" s="4" t="s">
        <v>1031</v>
      </c>
    </row>
    <row r="450" spans="2:9" ht="15" hidden="1">
      <c r="B450" s="30" t="s">
        <v>970</v>
      </c>
      <c r="C450" s="85" t="s">
        <v>971</v>
      </c>
      <c r="D450" s="85" t="s">
        <v>1344</v>
      </c>
      <c r="E450" s="23" t="s">
        <v>917</v>
      </c>
      <c r="F450" s="23" t="s">
        <v>42</v>
      </c>
      <c r="G450" s="4">
        <v>0</v>
      </c>
      <c r="H450" s="4">
        <v>0</v>
      </c>
      <c r="I450" s="4" t="s">
        <v>1059</v>
      </c>
    </row>
    <row r="451" spans="2:9" ht="15" hidden="1">
      <c r="B451" s="30" t="s">
        <v>972</v>
      </c>
      <c r="C451" s="85" t="s">
        <v>973</v>
      </c>
      <c r="D451" s="85" t="s">
        <v>1287</v>
      </c>
      <c r="E451" s="23" t="s">
        <v>917</v>
      </c>
      <c r="F451" s="23" t="s">
        <v>36</v>
      </c>
      <c r="G451" s="4" t="s">
        <v>1392</v>
      </c>
      <c r="H451" s="4">
        <v>0</v>
      </c>
      <c r="I451" s="4" t="s">
        <v>1059</v>
      </c>
    </row>
    <row r="452" spans="2:9" ht="15" hidden="1">
      <c r="B452" s="30" t="s">
        <v>974</v>
      </c>
      <c r="C452" s="85" t="s">
        <v>975</v>
      </c>
      <c r="D452" s="85" t="s">
        <v>1288</v>
      </c>
      <c r="E452" s="23" t="s">
        <v>917</v>
      </c>
      <c r="F452" s="23" t="s">
        <v>36</v>
      </c>
      <c r="G452" s="4" t="s">
        <v>1392</v>
      </c>
      <c r="H452" s="4">
        <v>1</v>
      </c>
      <c r="I452" s="4" t="s">
        <v>1059</v>
      </c>
    </row>
    <row r="453" spans="2:9" ht="15" hidden="1">
      <c r="B453" s="30" t="s">
        <v>976</v>
      </c>
      <c r="C453" s="85" t="s">
        <v>977</v>
      </c>
      <c r="D453" s="85" t="s">
        <v>1321</v>
      </c>
      <c r="E453" s="23" t="s">
        <v>917</v>
      </c>
      <c r="F453" s="23" t="s">
        <v>36</v>
      </c>
      <c r="G453" s="4" t="s">
        <v>1535</v>
      </c>
      <c r="H453" s="4">
        <v>0</v>
      </c>
      <c r="I453" s="4" t="s">
        <v>1031</v>
      </c>
    </row>
    <row r="454" spans="2:9" ht="15" hidden="1">
      <c r="B454" s="30" t="s">
        <v>978</v>
      </c>
      <c r="C454" s="85" t="s">
        <v>979</v>
      </c>
      <c r="D454" s="85" t="s">
        <v>1350</v>
      </c>
      <c r="E454" s="23" t="s">
        <v>917</v>
      </c>
      <c r="F454" s="23" t="s">
        <v>36</v>
      </c>
      <c r="G454" s="4" t="s">
        <v>1392</v>
      </c>
      <c r="H454" s="4">
        <v>1</v>
      </c>
      <c r="I454" s="4" t="s">
        <v>1059</v>
      </c>
    </row>
    <row r="455" spans="2:9" ht="15" hidden="1">
      <c r="B455" s="30" t="s">
        <v>980</v>
      </c>
      <c r="C455" s="85" t="s">
        <v>981</v>
      </c>
      <c r="D455" s="85" t="s">
        <v>1351</v>
      </c>
      <c r="E455" s="23" t="s">
        <v>917</v>
      </c>
      <c r="F455" s="23" t="s">
        <v>36</v>
      </c>
      <c r="G455" s="4" t="s">
        <v>1392</v>
      </c>
      <c r="H455" s="4">
        <v>12</v>
      </c>
      <c r="I455" s="4" t="s">
        <v>1059</v>
      </c>
    </row>
    <row r="456" spans="2:9" ht="15" hidden="1">
      <c r="B456" s="30" t="s">
        <v>982</v>
      </c>
      <c r="C456" s="85" t="s">
        <v>983</v>
      </c>
      <c r="D456" s="85" t="s">
        <v>1345</v>
      </c>
      <c r="E456" s="23" t="s">
        <v>917</v>
      </c>
      <c r="F456" s="23" t="s">
        <v>42</v>
      </c>
      <c r="G456" s="4">
        <v>0</v>
      </c>
      <c r="H456" s="4">
        <v>0</v>
      </c>
      <c r="I456" s="4" t="s">
        <v>1059</v>
      </c>
    </row>
    <row r="457" spans="2:9" ht="15" hidden="1">
      <c r="B457" s="30" t="s">
        <v>984</v>
      </c>
      <c r="C457" s="36" t="s">
        <v>985</v>
      </c>
      <c r="D457" s="85" t="s">
        <v>1346</v>
      </c>
      <c r="E457" s="23" t="s">
        <v>917</v>
      </c>
      <c r="F457" s="23" t="s">
        <v>36</v>
      </c>
      <c r="G457" s="4" t="s">
        <v>1392</v>
      </c>
      <c r="H457" s="4">
        <v>74</v>
      </c>
      <c r="I457" s="4" t="s">
        <v>1059</v>
      </c>
    </row>
    <row r="458" spans="2:9" ht="15" hidden="1">
      <c r="B458" s="30" t="s">
        <v>986</v>
      </c>
      <c r="C458" s="36" t="s">
        <v>987</v>
      </c>
      <c r="D458" s="85" t="s">
        <v>1347</v>
      </c>
      <c r="E458" s="23" t="s">
        <v>917</v>
      </c>
      <c r="F458" s="23" t="s">
        <v>36</v>
      </c>
      <c r="G458" s="4" t="s">
        <v>1392</v>
      </c>
      <c r="H458" s="4">
        <v>28</v>
      </c>
      <c r="I458" s="4" t="s">
        <v>1059</v>
      </c>
    </row>
    <row r="459" spans="2:9" ht="15" hidden="1">
      <c r="B459" s="30" t="s">
        <v>988</v>
      </c>
      <c r="C459" s="92" t="s">
        <v>989</v>
      </c>
      <c r="D459" s="85" t="s">
        <v>1348</v>
      </c>
      <c r="E459" s="23" t="s">
        <v>917</v>
      </c>
      <c r="F459" s="23" t="s">
        <v>36</v>
      </c>
      <c r="G459" s="4" t="s">
        <v>1392</v>
      </c>
      <c r="H459" s="4">
        <v>109</v>
      </c>
      <c r="I459" s="4" t="s">
        <v>1059</v>
      </c>
    </row>
    <row r="460" spans="2:9" ht="15" hidden="1">
      <c r="B460" s="30" t="s">
        <v>990</v>
      </c>
      <c r="C460" s="92" t="s">
        <v>991</v>
      </c>
      <c r="D460" s="85" t="s">
        <v>1352</v>
      </c>
      <c r="E460" s="23" t="s">
        <v>917</v>
      </c>
      <c r="F460" s="23" t="s">
        <v>36</v>
      </c>
      <c r="G460" s="4" t="s">
        <v>1392</v>
      </c>
      <c r="H460" s="4">
        <v>23</v>
      </c>
      <c r="I460" s="4" t="s">
        <v>1059</v>
      </c>
    </row>
    <row r="461" spans="2:9" ht="15" hidden="1">
      <c r="B461" s="30" t="s">
        <v>992</v>
      </c>
      <c r="C461" s="92" t="s">
        <v>993</v>
      </c>
      <c r="D461" s="85" t="s">
        <v>1353</v>
      </c>
      <c r="E461" s="23" t="s">
        <v>917</v>
      </c>
      <c r="F461" s="23" t="s">
        <v>36</v>
      </c>
      <c r="G461" s="4">
        <v>0</v>
      </c>
      <c r="H461" s="4">
        <v>4</v>
      </c>
      <c r="I461" s="4" t="s">
        <v>1059</v>
      </c>
    </row>
    <row r="462" spans="2:9" ht="15" hidden="1">
      <c r="B462" s="30" t="s">
        <v>994</v>
      </c>
      <c r="C462" s="93" t="s">
        <v>995</v>
      </c>
      <c r="D462" s="54" t="s">
        <v>1285</v>
      </c>
      <c r="E462" s="23" t="s">
        <v>917</v>
      </c>
      <c r="F462" s="23" t="s">
        <v>36</v>
      </c>
      <c r="G462" s="4">
        <v>0</v>
      </c>
      <c r="H462" s="4">
        <v>4</v>
      </c>
      <c r="I462" s="4" t="s">
        <v>1059</v>
      </c>
    </row>
    <row r="463" spans="2:9" ht="15" hidden="1">
      <c r="B463" s="57"/>
      <c r="C463" s="58"/>
      <c r="D463" s="58"/>
      <c r="E463" s="26"/>
      <c r="F463" s="27"/>
      <c r="G463" s="4">
        <v>0</v>
      </c>
      <c r="H463" s="4">
        <v>0</v>
      </c>
      <c r="I463" s="4"/>
    </row>
    <row r="464" spans="2:9" ht="15" hidden="1">
      <c r="B464" s="94" t="s">
        <v>996</v>
      </c>
      <c r="C464" s="31" t="s">
        <v>997</v>
      </c>
      <c r="D464" s="100" t="s">
        <v>1032</v>
      </c>
      <c r="E464" s="23" t="s">
        <v>998</v>
      </c>
      <c r="F464" s="23" t="s">
        <v>999</v>
      </c>
      <c r="G464" s="4">
        <v>0</v>
      </c>
      <c r="H464" s="4">
        <v>0</v>
      </c>
      <c r="I464" s="4" t="s">
        <v>1032</v>
      </c>
    </row>
    <row r="465" spans="2:9" ht="15" hidden="1">
      <c r="B465" s="30" t="s">
        <v>1000</v>
      </c>
      <c r="C465" s="31" t="s">
        <v>1001</v>
      </c>
      <c r="D465" s="100" t="s">
        <v>1032</v>
      </c>
      <c r="E465" s="23" t="s">
        <v>998</v>
      </c>
      <c r="F465" s="32" t="s">
        <v>1002</v>
      </c>
      <c r="G465" s="4" t="s">
        <v>1400</v>
      </c>
      <c r="H465" s="4">
        <v>0</v>
      </c>
      <c r="I465" s="4" t="s">
        <v>1032</v>
      </c>
    </row>
    <row r="466" spans="2:9" ht="15" hidden="1">
      <c r="B466" s="30" t="s">
        <v>1003</v>
      </c>
      <c r="C466" s="31" t="s">
        <v>1004</v>
      </c>
      <c r="D466" s="100" t="s">
        <v>1032</v>
      </c>
      <c r="E466" s="23" t="s">
        <v>998</v>
      </c>
      <c r="F466" s="32" t="s">
        <v>332</v>
      </c>
      <c r="G466" s="4" t="s">
        <v>1392</v>
      </c>
      <c r="H466" s="4">
        <v>0</v>
      </c>
      <c r="I466" s="4" t="s">
        <v>1032</v>
      </c>
    </row>
    <row r="467" spans="2:9" ht="15" hidden="1">
      <c r="B467" s="30" t="s">
        <v>1005</v>
      </c>
      <c r="C467" s="31" t="s">
        <v>1006</v>
      </c>
      <c r="D467" s="100" t="s">
        <v>1032</v>
      </c>
      <c r="E467" s="23" t="s">
        <v>998</v>
      </c>
      <c r="F467" s="32" t="s">
        <v>1007</v>
      </c>
      <c r="G467" s="4" t="s">
        <v>1396</v>
      </c>
      <c r="H467" s="4">
        <v>0</v>
      </c>
      <c r="I467" s="4" t="s">
        <v>1032</v>
      </c>
    </row>
    <row r="468" spans="2:9" ht="15" hidden="1">
      <c r="B468" s="30" t="s">
        <v>1008</v>
      </c>
      <c r="C468" s="16" t="s">
        <v>1009</v>
      </c>
      <c r="D468" s="100" t="s">
        <v>1032</v>
      </c>
      <c r="E468" s="23" t="s">
        <v>998</v>
      </c>
      <c r="F468" s="18" t="s">
        <v>276</v>
      </c>
      <c r="G468" s="4">
        <v>0</v>
      </c>
      <c r="H468" s="4">
        <v>0</v>
      </c>
      <c r="I468" s="4" t="s">
        <v>1032</v>
      </c>
    </row>
    <row r="469" spans="2:9" ht="15" hidden="1">
      <c r="B469" s="30" t="s">
        <v>1010</v>
      </c>
      <c r="C469" s="16" t="s">
        <v>1011</v>
      </c>
      <c r="D469" s="100" t="s">
        <v>1032</v>
      </c>
      <c r="E469" s="23" t="s">
        <v>998</v>
      </c>
      <c r="F469" s="18" t="s">
        <v>279</v>
      </c>
      <c r="G469" s="4">
        <v>0</v>
      </c>
      <c r="H469" s="4">
        <v>0</v>
      </c>
      <c r="I469" s="4" t="s">
        <v>1032</v>
      </c>
    </row>
    <row r="470" spans="2:9" ht="15" hidden="1">
      <c r="B470" s="24"/>
      <c r="C470" s="25"/>
      <c r="D470" s="25"/>
      <c r="E470" s="26"/>
      <c r="F470" s="27"/>
      <c r="G470" s="4">
        <v>0</v>
      </c>
      <c r="H470" s="4">
        <v>0</v>
      </c>
      <c r="I470" s="4"/>
    </row>
    <row r="471" spans="2:9" ht="15" hidden="1">
      <c r="B471" s="21" t="s">
        <v>1012</v>
      </c>
      <c r="C471" s="22" t="s">
        <v>1013</v>
      </c>
      <c r="D471" s="31" t="s">
        <v>1289</v>
      </c>
      <c r="E471" s="23" t="s">
        <v>1014</v>
      </c>
      <c r="F471" s="23" t="s">
        <v>36</v>
      </c>
      <c r="G471" s="4" t="s">
        <v>1404</v>
      </c>
      <c r="H471" s="4">
        <v>160</v>
      </c>
      <c r="I471" s="4" t="s">
        <v>1056</v>
      </c>
    </row>
    <row r="472" spans="2:9" ht="15" hidden="1">
      <c r="B472" s="21" t="s">
        <v>1015</v>
      </c>
      <c r="C472" s="22" t="s">
        <v>1016</v>
      </c>
      <c r="D472" s="31" t="s">
        <v>1354</v>
      </c>
      <c r="E472" s="23" t="s">
        <v>1014</v>
      </c>
      <c r="F472" s="23" t="s">
        <v>28</v>
      </c>
      <c r="G472" s="4">
        <v>0</v>
      </c>
      <c r="H472" s="4">
        <v>254</v>
      </c>
      <c r="I472" s="4" t="s">
        <v>1031</v>
      </c>
    </row>
    <row r="473" spans="2:9" ht="15" hidden="1">
      <c r="B473" s="21" t="s">
        <v>1017</v>
      </c>
      <c r="C473" s="22" t="s">
        <v>1018</v>
      </c>
      <c r="D473" s="31" t="s">
        <v>1289</v>
      </c>
      <c r="E473" s="23" t="s">
        <v>1014</v>
      </c>
      <c r="F473" s="23" t="s">
        <v>1019</v>
      </c>
      <c r="G473" s="4">
        <v>0</v>
      </c>
      <c r="H473" s="4">
        <v>336</v>
      </c>
      <c r="I473" s="4" t="s">
        <v>1056</v>
      </c>
    </row>
    <row r="474" spans="2:9" ht="15" hidden="1">
      <c r="B474" s="28"/>
      <c r="C474" s="29"/>
      <c r="D474" s="29"/>
      <c r="E474" s="26"/>
      <c r="F474" s="26"/>
      <c r="G474" s="4">
        <v>0</v>
      </c>
      <c r="H474" s="4">
        <v>0</v>
      </c>
      <c r="I474" s="4"/>
    </row>
    <row r="475" spans="2:9" ht="15" hidden="1">
      <c r="B475" s="21" t="s">
        <v>1020</v>
      </c>
      <c r="C475" s="22" t="s">
        <v>1021</v>
      </c>
      <c r="D475" s="31" t="s">
        <v>1355</v>
      </c>
      <c r="E475" s="23" t="s">
        <v>1022</v>
      </c>
      <c r="F475" s="23" t="s">
        <v>959</v>
      </c>
      <c r="G475" s="4" t="s">
        <v>1538</v>
      </c>
      <c r="H475" s="4">
        <v>1430</v>
      </c>
      <c r="I475" s="4" t="s">
        <v>1039</v>
      </c>
    </row>
    <row r="476" spans="2:9" ht="15" hidden="1">
      <c r="B476" s="28"/>
      <c r="C476" s="29"/>
      <c r="D476" s="29"/>
      <c r="E476" s="26"/>
      <c r="F476" s="26"/>
      <c r="G476" s="4">
        <v>0</v>
      </c>
      <c r="H476" s="4">
        <v>0</v>
      </c>
      <c r="I476" s="4"/>
    </row>
    <row r="477" spans="2:9" ht="15" hidden="1">
      <c r="B477" s="21" t="s">
        <v>1023</v>
      </c>
      <c r="C477" s="22" t="s">
        <v>1024</v>
      </c>
      <c r="D477" s="31" t="s">
        <v>1024</v>
      </c>
      <c r="E477" s="23" t="s">
        <v>1025</v>
      </c>
      <c r="F477" s="23" t="s">
        <v>283</v>
      </c>
      <c r="G477" s="4">
        <v>0</v>
      </c>
      <c r="H477" s="4">
        <v>0</v>
      </c>
      <c r="I477" s="4" t="s">
        <v>1040</v>
      </c>
    </row>
    <row r="478" spans="2:9" ht="15" hidden="1">
      <c r="B478" s="24"/>
      <c r="C478" s="24"/>
      <c r="D478" s="24"/>
      <c r="E478" s="95"/>
      <c r="F478" s="27"/>
      <c r="G478" s="4">
        <v>0</v>
      </c>
      <c r="H478" s="4">
        <v>0</v>
      </c>
      <c r="I478" s="4"/>
    </row>
  </sheetData>
  <autoFilter ref="B2:I478">
    <filterColumn colId="7">
      <filters>
        <filter val="VEGETABLE-FROZEN"/>
      </filters>
    </filterColumn>
  </autoFilter>
  <hyperlinks>
    <hyperlink ref="E238" r:id="rId1" tooltip="View company" display="J. S. BAILEY LIMITED"/>
  </hyperlinks>
  <pageMargins left="0.7" right="0.7" top="0.75" bottom="0.75" header="0.3" footer="0.3"/>
  <pageSetup orientation="portrait" paperSize="9"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2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VEG FROZEN A</vt:lpstr>
      <vt:lpstr>VEG FRESH A</vt:lpstr>
      <vt:lpstr>Ingredient</vt:lpstr>
      <vt:lpstr>Pastry</vt:lpstr>
      <vt:lpstr>SPICE</vt:lpstr>
      <vt:lpstr>SAUCE</vt:lpstr>
      <vt:lpstr>Protein</vt:lpstr>
      <vt:lpstr>Dairy</vt:lpstr>
      <vt:lpstr>Suppliers</vt:lpstr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- Gazebo Fine Foods</dc:creator>
  <cp:keywords/>
  <dc:description/>
  <cp:lastModifiedBy>Utsav - Gazebo Cuisine</cp:lastModifiedBy>
  <dcterms:created xsi:type="dcterms:W3CDTF">2023-11-06T15:07:36Z</dcterms:created>
  <dcterms:modified xsi:type="dcterms:W3CDTF">2025-09-06T13:07:49Z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ec9fec26-55e1-4283-a546-b6747e68858b</vt:lpwstr>
  </property>
</Properties>
</file>