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790FAA8A-AEB6-4D7C-B2E1-C6823D1E8E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" i="1" l="1"/>
  <c r="AE16" i="1"/>
  <c r="AC19" i="1"/>
</calcChain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<sst xmlns="http://schemas.openxmlformats.org/spreadsheetml/2006/main" count="30" uniqueCount="28">
  <si>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</si>
  <si>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</si>
  <si>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</si>
  <si>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</si>
  <si>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</si>
  <si>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</si>
  <si>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</si>
  <si>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</si>
  <si>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</si>
  <si>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</si>
  <si>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</si>
  <si>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</si>
  <si>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Previous Issue Date</t>
  </si>
  <si>
    <t>Page 1 of 1</t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</si>
  <si>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Tray:3 cavity HW308/60  Transparent-(PKLEE001-08)</t>
    </r>
  </si>
  <si>
    <t>05.12.2024</t>
  </si>
  <si>
    <t>TAKUL</t>
  </si>
  <si>
    <t>120ml Tamper Evident Container &amp; Lid (PKSYS002-02)</t>
  </si>
  <si>
    <t>GFF485MC</t>
  </si>
  <si>
    <t>CCSRC1-B25X4TTA</t>
  </si>
  <si>
    <t>25 Chicken Spring Rolls with Sweet Chilli Dip 870g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</si>
  <si>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Barley, Wheat, Soya, Sesame</t>
    </r>
  </si>
  <si>
    <r>
      <rPr>
        <b/>
        <sz val="20"/>
        <color theme="1"/>
        <rFont val="Calibri"/>
        <family val="2"/>
        <scheme val="minor"/>
      </rPr>
      <t>25</t>
    </r>
    <r>
      <rPr>
        <b/>
        <sz val="14"/>
        <color theme="1"/>
        <rFont val="Calibri"/>
        <family val="2"/>
        <scheme val="minor"/>
      </rPr>
      <t xml:space="preserve"> x Chicken Spring Rolls Frying (GFF512R) : 30g  (1x25 pieces)  : </t>
    </r>
    <r>
      <rPr>
        <b/>
        <sz val="20"/>
        <color theme="1"/>
        <rFont val="Calibri"/>
        <family val="2"/>
        <scheme val="minor"/>
      </rPr>
      <t>750g</t>
    </r>
  </si>
  <si>
    <r>
      <t xml:space="preserve">Total Weight : </t>
    </r>
    <r>
      <rPr>
        <b/>
        <sz val="22"/>
        <color theme="1"/>
        <rFont val="Calibri"/>
        <family val="2"/>
        <scheme val="minor"/>
      </rPr>
      <t>870g</t>
    </r>
  </si>
  <si>
    <r>
      <t>Sweet Chilli Sauce-</t>
    </r>
    <r>
      <rPr>
        <b/>
        <sz val="12"/>
        <color theme="1"/>
        <rFont val="Calibri"/>
        <family val="2"/>
        <scheme val="minor"/>
      </rPr>
      <t xml:space="preserve"> Temperature Control</t>
    </r>
    <r>
      <rPr>
        <b/>
        <sz val="14"/>
        <color theme="1"/>
        <rFont val="Calibri"/>
        <family val="2"/>
        <scheme val="minor"/>
      </rPr>
      <t xml:space="preserve"> (GFF470R) :  </t>
    </r>
    <r>
      <rPr>
        <b/>
        <sz val="18"/>
        <color theme="1"/>
        <rFont val="Calibri"/>
        <family val="2"/>
        <scheme val="minor"/>
      </rPr>
      <t>120g</t>
    </r>
  </si>
  <si>
    <t>04.08.2026</t>
  </si>
  <si>
    <t>Film Changed</t>
  </si>
  <si>
    <r>
      <t xml:space="preserve">Film: </t>
    </r>
    <r>
      <rPr>
        <b/>
        <sz val="12"/>
        <color theme="1"/>
        <rFont val="Calibri"/>
        <family val="2"/>
        <scheme val="minor"/>
      </rPr>
      <t>25mu Weld Seal Mono PET Film  (340mm x 1000lm) -(PKCLI001-04)- Clifton Packaging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</si>
</sst>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5" fillId="0" borderId="0" xfId="0" applyFont="1" applyAlignment="1">
      <alignment vertical="center"/>
    </xf>
    <xf numFmtId="0" fontId="1" fillId="3" borderId="2" xfId="0" applyFont="1" applyFill="1" applyBorder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19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0.pn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12" Type="http://schemas.openxmlformats.org/officeDocument/2006/relationships/image" Target="../media/image9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11" Type="http://schemas.openxmlformats.org/officeDocument/2006/relationships/image" Target="cid:bf7cb53a-68b2-4162-bce5-1909a187ffb6@eurprd07.prod.outlook.com" TargetMode="External"/><Relationship Id="rId5" Type="http://schemas.openxmlformats.org/officeDocument/2006/relationships/image" Target="cid:5a89e5cd-0388-4187-a9d6-8b0eee84fad1@eurprd07.prod.outlook.com" TargetMode="External"/><Relationship Id="rId10" Type="http://schemas.openxmlformats.org/officeDocument/2006/relationships/image" Target="../media/image8.jpeg"/><Relationship Id="rId4" Type="http://schemas.openxmlformats.org/officeDocument/2006/relationships/image" Target="../media/image4.jpeg"/><Relationship Id="rId9" Type="http://schemas.openxmlformats.org/officeDocument/2006/relationships/image" Target="cid:eb4964ce-1b51-42e9-9531-e78c770ac9e3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11</xdr:row>
      <xdr:rowOff>104775</xdr:rowOff>
    </xdr:from>
    <xdr:to>
      <xdr:col>10</xdr:col>
      <xdr:colOff>648102</xdr:colOff>
      <xdr:row>14</xdr:row>
      <xdr:rowOff>238125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2543175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38100</xdr:colOff>
      <xdr:row>11</xdr:row>
      <xdr:rowOff>114300</xdr:rowOff>
    </xdr:from>
    <xdr:to>
      <xdr:col>12</xdr:col>
      <xdr:colOff>619124</xdr:colOff>
      <xdr:row>14</xdr:row>
      <xdr:rowOff>257175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552700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85725</xdr:colOff>
      <xdr:row>7</xdr:row>
      <xdr:rowOff>104776</xdr:rowOff>
    </xdr:from>
    <xdr:to>
      <xdr:col>12</xdr:col>
      <xdr:colOff>666751</xdr:colOff>
      <xdr:row>10</xdr:row>
      <xdr:rowOff>114302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733551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38101</xdr:colOff>
      <xdr:row>7</xdr:row>
      <xdr:rowOff>47625</xdr:rowOff>
    </xdr:from>
    <xdr:to>
      <xdr:col>9</xdr:col>
      <xdr:colOff>6845</xdr:colOff>
      <xdr:row>14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1B8A702-17F4-8CAF-00C6-15890B6652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9" t="5678" r="19560" b="4781"/>
        <a:stretch>
          <a:fillRect/>
        </a:stretch>
      </xdr:blipFill>
      <xdr:spPr bwMode="auto">
        <a:xfrm>
          <a:off x="38101" y="1676400"/>
          <a:ext cx="2159494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95250</xdr:colOff>
      <xdr:row>1</xdr:row>
      <xdr:rowOff>57150</xdr:rowOff>
    </xdr:from>
    <xdr:to>
      <xdr:col>26</xdr:col>
      <xdr:colOff>419100</xdr:colOff>
      <xdr:row>2</xdr:row>
      <xdr:rowOff>201550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86750" y="257175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8</xdr:col>
      <xdr:colOff>142875</xdr:colOff>
      <xdr:row>7</xdr:row>
      <xdr:rowOff>28575</xdr:rowOff>
    </xdr:from>
    <xdr:ext cx="847725" cy="4857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4B92A9-6BF7-47FA-8DCD-18F39A27888D}"/>
            </a:ext>
          </a:extLst>
        </xdr:cNvPr>
        <xdr:cNvSpPr txBox="1"/>
      </xdr:nvSpPr>
      <xdr:spPr>
        <a:xfrm>
          <a:off x="2143125" y="1657350"/>
          <a:ext cx="847725" cy="485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CHILLED</a:t>
          </a:r>
        </a:p>
      </xdr:txBody>
    </xdr:sp>
    <xdr:clientData/>
  </xdr:oneCellAnchor>
  <xdr:oneCellAnchor>
    <xdr:from>
      <xdr:col>9</xdr:col>
      <xdr:colOff>76200</xdr:colOff>
      <xdr:row>12</xdr:row>
      <xdr:rowOff>171450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266950" y="28003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 kern="1200"/>
        </a:p>
      </xdr:txBody>
    </xdr:sp>
    <xdr:clientData/>
  </xdr:oneCellAnchor>
  <xdr:twoCellAnchor>
    <xdr:from>
      <xdr:col>17</xdr:col>
      <xdr:colOff>76201</xdr:colOff>
      <xdr:row>7</xdr:row>
      <xdr:rowOff>57149</xdr:rowOff>
    </xdr:from>
    <xdr:to>
      <xdr:col>22</xdr:col>
      <xdr:colOff>400050</xdr:colOff>
      <xdr:row>14</xdr:row>
      <xdr:rowOff>371889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0D3779-5D10-38C3-0E16-2B89A183B7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2" t="5003" r="5967" b="965"/>
        <a:stretch>
          <a:fillRect/>
        </a:stretch>
      </xdr:blipFill>
      <xdr:spPr bwMode="auto">
        <a:xfrm rot="10800000">
          <a:off x="5648326" y="1685924"/>
          <a:ext cx="2200274" cy="1695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192883</xdr:colOff>
      <xdr:row>18</xdr:row>
      <xdr:rowOff>552449</xdr:rowOff>
    </xdr:from>
    <xdr:to>
      <xdr:col>22</xdr:col>
      <xdr:colOff>219078</xdr:colOff>
      <xdr:row>18</xdr:row>
      <xdr:rowOff>2047871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2E64FCB-66B1-BFDC-F3F5-E9CA6F72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749532" y="4520800"/>
          <a:ext cx="1495422" cy="2340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</xdr:colOff>
      <xdr:row>18</xdr:row>
      <xdr:rowOff>66677</xdr:rowOff>
    </xdr:from>
    <xdr:to>
      <xdr:col>13</xdr:col>
      <xdr:colOff>96048</xdr:colOff>
      <xdr:row>18</xdr:row>
      <xdr:rowOff>2088953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ABF347-E41C-4228-B338-FE557EBA5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822951" y="4111130"/>
          <a:ext cx="2022276" cy="2696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428625</xdr:colOff>
      <xdr:row>18</xdr:row>
      <xdr:rowOff>47625</xdr:rowOff>
    </xdr:from>
    <xdr:to>
      <xdr:col>17</xdr:col>
      <xdr:colOff>95250</xdr:colOff>
      <xdr:row>18</xdr:row>
      <xdr:rowOff>266700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CBDE4AAD-15A9-40EA-8978-8EFD7F34BAF7}"/>
            </a:ext>
          </a:extLst>
        </xdr:cNvPr>
        <xdr:cNvSpPr/>
      </xdr:nvSpPr>
      <xdr:spPr>
        <a:xfrm>
          <a:off x="5324475" y="4324350"/>
          <a:ext cx="104775" cy="219075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581025</xdr:colOff>
      <xdr:row>18</xdr:row>
      <xdr:rowOff>28575</xdr:rowOff>
    </xdr:from>
    <xdr:to>
      <xdr:col>18</xdr:col>
      <xdr:colOff>685800</xdr:colOff>
      <xdr:row>18</xdr:row>
      <xdr:rowOff>247650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B2C4851A-197E-433D-9ADA-380961D4C373}"/>
            </a:ext>
          </a:extLst>
        </xdr:cNvPr>
        <xdr:cNvSpPr/>
      </xdr:nvSpPr>
      <xdr:spPr>
        <a:xfrm>
          <a:off x="6219825" y="4305300"/>
          <a:ext cx="104775" cy="219075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47625</xdr:colOff>
      <xdr:row>18</xdr:row>
      <xdr:rowOff>28575</xdr:rowOff>
    </xdr:from>
    <xdr:to>
      <xdr:col>21</xdr:col>
      <xdr:colOff>152400</xdr:colOff>
      <xdr:row>18</xdr:row>
      <xdr:rowOff>247650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D883CECD-AA06-40DA-93C6-84FB4E5D3B55}"/>
            </a:ext>
          </a:extLst>
        </xdr:cNvPr>
        <xdr:cNvSpPr/>
      </xdr:nvSpPr>
      <xdr:spPr>
        <a:xfrm>
          <a:off x="7019925" y="4305300"/>
          <a:ext cx="104775" cy="219075"/>
        </a:xfrm>
        <a:prstGeom prst="down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142875</xdr:colOff>
      <xdr:row>18</xdr:row>
      <xdr:rowOff>323850</xdr:rowOff>
    </xdr:from>
    <xdr:to>
      <xdr:col>22</xdr:col>
      <xdr:colOff>200025</xdr:colOff>
      <xdr:row>18</xdr:row>
      <xdr:rowOff>640373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236794D-08C6-3182-5FCA-FD9F05122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038725" y="4600575"/>
          <a:ext cx="2371725" cy="3165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Meal Box Tray Allocation"/>
      <sheetName val="Content-Mas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 xml:space="preserve">SINGLE CAVITY/F145 </v>
          </cell>
        </row>
        <row r="9">
          <cell r="B9" t="str">
            <v>SIX500 ENTRÉE SMALL BLK</v>
          </cell>
        </row>
        <row r="10">
          <cell r="B10" t="str">
            <v>2200-1B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>EVOLVE CPET 2200-1E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SK4-Plain Clear</v>
          </cell>
        </row>
        <row r="23">
          <cell r="B23" t="str">
            <v>Fajita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Bucket 10kg</v>
          </cell>
        </row>
        <row r="29">
          <cell r="B29" t="str">
            <v>Meal Box For 2 H</v>
          </cell>
        </row>
        <row r="30">
          <cell r="B30" t="str">
            <v>Ok Meal Box</v>
          </cell>
        </row>
        <row r="31">
          <cell r="B31" t="str">
            <v>OR Meal Box - 1</v>
          </cell>
        </row>
        <row r="32">
          <cell r="B32" t="str">
            <v>OR Meal Box for 1</v>
          </cell>
        </row>
        <row r="33">
          <cell r="B33" t="str">
            <v>SC109-650-POT</v>
          </cell>
        </row>
        <row r="34">
          <cell r="B34" t="str">
            <v>Tub-Lead</v>
          </cell>
        </row>
        <row r="35">
          <cell r="B35" t="str">
            <v>Lid-Base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B187/45</v>
          </cell>
        </row>
        <row r="56">
          <cell r="B56" t="str">
            <v>B187/60</v>
          </cell>
        </row>
        <row r="57">
          <cell r="B57" t="str">
            <v>554 Natural</v>
          </cell>
        </row>
        <row r="58">
          <cell r="B58" t="str">
            <v>EVOLVE CPET 2200-1D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EVOLVE CPET 2200-1E</v>
          </cell>
        </row>
        <row r="68">
          <cell r="B68" t="str">
            <v>2200-1B</v>
          </cell>
        </row>
        <row r="69">
          <cell r="B69" t="str">
            <v>2200-1B</v>
          </cell>
        </row>
        <row r="70">
          <cell r="B70" t="str">
            <v>H320/60 -CLEAR (596)</v>
          </cell>
        </row>
        <row r="71">
          <cell r="B71" t="str">
            <v>Duo-Pot</v>
          </cell>
        </row>
        <row r="72">
          <cell r="B72" t="str">
            <v>Duo-Pot</v>
          </cell>
        </row>
        <row r="73">
          <cell r="B73" t="str">
            <v>Trapezoid</v>
          </cell>
        </row>
        <row r="74">
          <cell r="B74" t="str">
            <v>Trapezoid</v>
          </cell>
        </row>
        <row r="75">
          <cell r="B75" t="str">
            <v>H3H 50 - CLEAR</v>
          </cell>
        </row>
        <row r="76">
          <cell r="B76" t="str">
            <v>H320/60 -CLEAR (596)</v>
          </cell>
        </row>
        <row r="77">
          <cell r="B77" t="str">
            <v>SK4-CLEAR (C4 CLEAR R-PET)</v>
          </cell>
        </row>
        <row r="78">
          <cell r="B78" t="str">
            <v>EVOLVE CPET 2200-1E</v>
          </cell>
        </row>
        <row r="79">
          <cell r="B79" t="str">
            <v>A-650</v>
          </cell>
        </row>
        <row r="80">
          <cell r="B80" t="str">
            <v>C5-Cav Sqr</v>
          </cell>
        </row>
        <row r="81">
          <cell r="B81" t="str">
            <v>2200-2C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2200-2F</v>
          </cell>
        </row>
        <row r="91">
          <cell r="B91" t="str">
            <v>Trapezoid - Plain</v>
          </cell>
        </row>
        <row r="92">
          <cell r="B92" t="str">
            <v>SC700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>
            <v>551</v>
          </cell>
        </row>
        <row r="96">
          <cell r="B96">
            <v>554</v>
          </cell>
        </row>
        <row r="97">
          <cell r="B97">
            <v>596</v>
          </cell>
        </row>
        <row r="98">
          <cell r="B98" t="str">
            <v>2200-1D</v>
          </cell>
        </row>
        <row r="99">
          <cell r="B99" t="str">
            <v>2200-1E</v>
          </cell>
        </row>
        <row r="100">
          <cell r="B100" t="str">
            <v>2200-2B</v>
          </cell>
        </row>
        <row r="101">
          <cell r="B101" t="str">
            <v>SK5-Plain</v>
          </cell>
        </row>
        <row r="102">
          <cell r="B102" t="str">
            <v>H3H 50 - CLEAR</v>
          </cell>
        </row>
        <row r="103">
          <cell r="B103" t="str">
            <v>EVOLVE CPET 2171-1F</v>
          </cell>
        </row>
        <row r="104">
          <cell r="B104" t="str">
            <v>H320/115-CLEAR (554)</v>
          </cell>
        </row>
        <row r="105">
          <cell r="B105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"/>
  <sheetViews>
    <sheetView tabSelected="1" workbookViewId="0">
      <selection activeCell="N8" sqref="N8:AA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3.5703125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7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49"/>
      <c r="B1" s="50"/>
      <c r="C1" s="50"/>
      <c r="D1" s="50"/>
      <c r="E1" s="51"/>
      <c r="F1" s="13" t="s">
        <v>3</v>
      </c>
      <c r="G1" s="13"/>
      <c r="H1" s="13"/>
      <c r="I1" s="13"/>
      <c r="J1" s="13"/>
      <c r="K1" s="7"/>
      <c r="L1" s="7" t="s">
        <v>4</v>
      </c>
      <c r="M1" s="9"/>
      <c r="N1" s="7" t="s">
        <v>6</v>
      </c>
      <c r="O1" s="8"/>
      <c r="P1" s="8"/>
      <c r="Q1" s="9"/>
      <c r="R1" s="7" t="s">
        <v>5</v>
      </c>
      <c r="S1" s="8"/>
      <c r="T1" s="8"/>
      <c r="U1" s="8"/>
      <c r="V1" s="8"/>
      <c r="W1" s="8"/>
      <c r="X1" s="9"/>
      <c r="Y1" s="13" t="s">
        <v>8</v>
      </c>
      <c r="Z1" s="13"/>
      <c r="AA1" s="58"/>
    </row>
    <row r="2" spans="1:42" x14ac:dyDescent="0.25">
      <c r="A2" s="52"/>
      <c r="B2" s="53"/>
      <c r="C2" s="53"/>
      <c r="D2" s="53"/>
      <c r="E2" s="54"/>
      <c r="F2" s="14" t="s">
        <v>18</v>
      </c>
      <c r="G2" s="14"/>
      <c r="H2" s="14"/>
      <c r="I2" s="14"/>
      <c r="J2" s="14"/>
      <c r="K2" s="15"/>
      <c r="L2" s="15">
        <v>2</v>
      </c>
      <c r="M2" s="17"/>
      <c r="N2" s="15" t="s">
        <v>15</v>
      </c>
      <c r="O2" s="16"/>
      <c r="P2" s="16"/>
      <c r="Q2" s="17"/>
      <c r="R2" s="10" t="s">
        <v>25</v>
      </c>
      <c r="S2" s="11"/>
      <c r="T2" s="11"/>
      <c r="U2" s="11"/>
      <c r="V2" s="11"/>
      <c r="W2" s="11"/>
      <c r="X2" s="12"/>
      <c r="Y2" s="18" t="s">
        <v>11</v>
      </c>
      <c r="Z2" s="19"/>
      <c r="AA2" s="20"/>
    </row>
    <row r="3" spans="1:42" ht="26.25" customHeight="1" x14ac:dyDescent="0.25">
      <c r="A3" s="52"/>
      <c r="B3" s="53"/>
      <c r="C3" s="53"/>
      <c r="D3" s="53"/>
      <c r="E3" s="54"/>
      <c r="F3" s="26" t="s">
        <v>7</v>
      </c>
      <c r="G3" s="26"/>
      <c r="H3" s="26"/>
      <c r="I3" s="26"/>
      <c r="J3" s="26"/>
      <c r="K3" s="27"/>
      <c r="L3" s="34" t="s">
        <v>20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21"/>
      <c r="Z3" s="22"/>
      <c r="AA3" s="23"/>
    </row>
    <row r="4" spans="1:42" ht="28.5" customHeight="1" thickBot="1" x14ac:dyDescent="0.3">
      <c r="A4" s="55" t="s">
        <v>9</v>
      </c>
      <c r="B4" s="56"/>
      <c r="C4" s="56"/>
      <c r="D4" s="56"/>
      <c r="E4" s="57"/>
      <c r="F4" s="59" t="s">
        <v>26</v>
      </c>
      <c r="G4" s="60"/>
      <c r="H4" s="60"/>
      <c r="I4" s="60"/>
      <c r="J4" s="60"/>
      <c r="K4" s="60"/>
      <c r="L4" s="60"/>
      <c r="M4" s="61"/>
      <c r="N4" s="59" t="s">
        <v>13</v>
      </c>
      <c r="O4" s="60"/>
      <c r="P4" s="61"/>
      <c r="Q4" s="46" t="s">
        <v>12</v>
      </c>
      <c r="R4" s="47"/>
      <c r="S4" s="48"/>
      <c r="T4" s="46" t="s">
        <v>15</v>
      </c>
      <c r="U4" s="47"/>
      <c r="V4" s="47"/>
      <c r="W4" s="47"/>
      <c r="X4" s="48"/>
      <c r="Y4" s="24" t="s">
        <v>10</v>
      </c>
      <c r="Z4" s="24"/>
      <c r="AA4" s="25"/>
    </row>
    <row r="5" spans="1:42" ht="6.75" customHeight="1" thickTop="1" x14ac:dyDescent="0.25"/>
    <row r="6" spans="1:42" ht="21" x14ac:dyDescent="0.3">
      <c r="A6" s="28" t="s">
        <v>19</v>
      </c>
      <c r="B6" s="29"/>
      <c r="C6" s="29"/>
      <c r="D6" s="29"/>
      <c r="E6" s="29"/>
      <c r="F6" s="29"/>
      <c r="G6" s="29"/>
      <c r="H6" s="30"/>
      <c r="I6" s="31" t="s">
        <v>16</v>
      </c>
      <c r="J6" s="32"/>
      <c r="K6" s="32"/>
      <c r="L6" s="32"/>
      <c r="M6" s="32"/>
      <c r="N6" s="33"/>
      <c r="O6" s="31" t="s">
        <v>20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3"/>
    </row>
    <row r="7" spans="1:42" x14ac:dyDescent="0.25">
      <c r="A7" s="68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2"/>
      <c r="N7" s="68" t="s">
        <v>1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2"/>
    </row>
    <row r="8" spans="1:42" x14ac:dyDescent="0.25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40"/>
      <c r="N8" s="38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40"/>
      <c r="AD8"/>
    </row>
    <row r="9" spans="1:42" x14ac:dyDescent="0.25">
      <c r="A9" s="69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4"/>
      <c r="N9" s="69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4"/>
      <c r="AD9"/>
    </row>
    <row r="10" spans="1:42" x14ac:dyDescent="0.25">
      <c r="A10" s="69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4"/>
      <c r="N10" s="69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  <c r="AE10"/>
    </row>
    <row r="11" spans="1:42" ht="18.75" x14ac:dyDescent="0.25">
      <c r="A11" s="69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  <c r="N11" s="69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4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1:42" x14ac:dyDescent="0.25">
      <c r="A12" s="69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4"/>
      <c r="N12" s="69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4"/>
    </row>
    <row r="13" spans="1:42" x14ac:dyDescent="0.25">
      <c r="A13" s="69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69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  <c r="AC13" s="4" t="str">
        <f>IFERROR(VLOOKUP(A13,('[1]Tray Ref'!#REF!),15,FALSE),"")</f>
        <v/>
      </c>
      <c r="AD13" s="4"/>
      <c r="AE13"/>
    </row>
    <row r="14" spans="1:42" x14ac:dyDescent="0.25">
      <c r="A14" s="69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69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4"/>
      <c r="AD14"/>
      <c r="AE14"/>
      <c r="AF14"/>
    </row>
    <row r="15" spans="1:42" ht="31.5" customHeight="1" x14ac:dyDescent="0.25">
      <c r="A15" s="70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2"/>
      <c r="N15" s="70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2"/>
      <c r="AF15"/>
    </row>
    <row r="16" spans="1:42" ht="27.75" customHeight="1" x14ac:dyDescent="0.25">
      <c r="A16" s="65" t="s">
        <v>14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7"/>
      <c r="N16" s="62" t="s">
        <v>24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  <c r="AC16" s="4"/>
      <c r="AE16" s="4" t="str">
        <f>IFERROR(VLOOKUP(#REF!,('[1]Tray Ref'!#REF!),18,FALSE),"")</f>
        <v/>
      </c>
    </row>
    <row r="17" spans="1:29" ht="34.5" customHeight="1" x14ac:dyDescent="0.25">
      <c r="A17" s="62" t="s">
        <v>27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4"/>
      <c r="N17" s="65" t="s">
        <v>17</v>
      </c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  <c r="AC17" s="5"/>
    </row>
    <row r="18" spans="1:29" x14ac:dyDescent="0.25">
      <c r="A18" s="3"/>
      <c r="B18" s="41" t="s">
        <v>2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2"/>
    </row>
    <row r="19" spans="1:29" ht="164.25" customHeight="1" x14ac:dyDescent="0.25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  <c r="AC19" s="2" t="str">
        <f>IFERROR(VLOOKUP(#REF!,('[1]Tray Ref'!#REF!),18,FALSE),"")</f>
        <v/>
      </c>
    </row>
    <row r="20" spans="1:29" ht="24" customHeight="1" x14ac:dyDescent="0.25">
      <c r="A20" s="34" t="s">
        <v>22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6"/>
      <c r="U20" s="43" t="s">
        <v>23</v>
      </c>
      <c r="V20" s="44"/>
      <c r="W20" s="44"/>
      <c r="X20" s="44"/>
      <c r="Y20" s="44"/>
      <c r="Z20" s="44"/>
      <c r="AA20" s="45"/>
    </row>
    <row r="21" spans="1:29" ht="12.75" customHeight="1" x14ac:dyDescent="0.25">
      <c r="A21" s="37" t="s">
        <v>21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29" ht="8.25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</sheetData>
  <mergeCells count="36">
    <mergeCell ref="A17:M17"/>
    <mergeCell ref="N17:AA17"/>
    <mergeCell ref="A7:M7"/>
    <mergeCell ref="A8:M15"/>
    <mergeCell ref="N7:AA7"/>
    <mergeCell ref="N8:AA15"/>
    <mergeCell ref="A16:M16"/>
    <mergeCell ref="N16:AA16"/>
    <mergeCell ref="T4:X4"/>
    <mergeCell ref="A1:E3"/>
    <mergeCell ref="A4:E4"/>
    <mergeCell ref="Y1:AA1"/>
    <mergeCell ref="F4:M4"/>
    <mergeCell ref="N4:P4"/>
    <mergeCell ref="Q4:S4"/>
    <mergeCell ref="A21:AA22"/>
    <mergeCell ref="A19:AA19"/>
    <mergeCell ref="B18:AA18"/>
    <mergeCell ref="U20:AA20"/>
    <mergeCell ref="A20:T20"/>
    <mergeCell ref="AD11:AP11"/>
    <mergeCell ref="R1:X1"/>
    <mergeCell ref="R2:X2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2026-08-04T15:58:46Z</cp:lastPrinted>
  <dcterms:created xsi:type="dcterms:W3CDTF">2018-08-01T08:42:18Z</dcterms:created>
  <dcterms:modified xsi:type="dcterms:W3CDTF">2026-08-04T16:00:15Z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