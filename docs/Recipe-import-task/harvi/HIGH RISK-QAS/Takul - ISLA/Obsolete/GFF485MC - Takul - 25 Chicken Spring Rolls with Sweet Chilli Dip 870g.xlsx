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Takul - ISLA\"/>
    </mc:Choice>
  </mc:AlternateContent>
  <xr:revisionPtr revIDLastSave="0" documentId="13_ncr:1_{C9A4A251-7B54-4A57-9B86-83A1DD6485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3" i="1" l="1"/>
  <c r="AE16" i="1"/>
  <c r="AC19" i="1"/>
</calcChain>
</file>

<file path=xl/sharedStrings.xml><?xml version="1.0" encoding="utf-8"?>
<sst xmlns="http://schemas.openxmlformats.org/spreadsheetml/2006/main" count="30" uniqueCount="28">
  <si>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</si>
  <si>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</si>
  <si>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</si>
  <si>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</si>
  <si>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</si>
  <si>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</si>
  <si>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</si>
  <si>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</si>
  <si>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Authorised By</t>
  </si>
  <si>
    <t>Document amendments reason for change</t>
  </si>
  <si>
    <t>Uncontrolled copy unless signed original</t>
  </si>
  <si>
    <t>Magda Shah</t>
  </si>
  <si>
    <t>Previous Issue Date</t>
  </si>
  <si>
    <t>Page 1 of 1</t>
  </si>
  <si>
    <r>
      <t>Film:</t>
    </r>
    <r>
      <rPr>
        <b/>
        <sz val="12"/>
        <color theme="1"/>
        <rFont val="Calibri"/>
        <family val="2"/>
        <scheme val="minor"/>
      </rPr>
      <t xml:space="preserve"> K Peel RPSM 25µm (340mmX1000lmm)-PKKMP001-05</t>
    </r>
  </si>
  <si>
    <r>
      <rPr>
        <b/>
        <sz val="14"/>
        <color theme="1"/>
        <rFont val="Calibri"/>
        <family val="2"/>
        <scheme val="minor"/>
      </rPr>
      <t>Packaging:</t>
    </r>
    <r>
      <rPr>
        <b/>
        <sz val="12"/>
        <color theme="1"/>
        <rFont val="Calibri"/>
        <family val="2"/>
        <scheme val="minor"/>
      </rPr>
      <t xml:space="preserve"> Tray:3 cavity HW308/60  Transparent-(PKLEE001-08)</t>
    </r>
  </si>
  <si>
    <t>05.12.2024</t>
  </si>
  <si>
    <t>New Issue</t>
  </si>
  <si>
    <t>New Launch</t>
  </si>
  <si>
    <t>TAKUL</t>
  </si>
  <si>
    <t>120ml Tamper Evident Container &amp; Lid (PKSYS002-02)</t>
  </si>
  <si>
    <t>GFF485MC</t>
  </si>
  <si>
    <t>CCSRC1-B25X4TTA</t>
  </si>
  <si>
    <t>25 Chicken Spring Rolls with Sweet Chilli Dip 870g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</si>
  <si>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Barley, Wheat, Soya, Sesame</t>
    </r>
  </si>
  <si>
    <r>
      <rPr>
        <b/>
        <sz val="20"/>
        <color theme="1"/>
        <rFont val="Calibri"/>
        <family val="2"/>
        <scheme val="minor"/>
      </rPr>
      <t>25</t>
    </r>
    <r>
      <rPr>
        <b/>
        <sz val="14"/>
        <color theme="1"/>
        <rFont val="Calibri"/>
        <family val="2"/>
        <scheme val="minor"/>
      </rPr>
      <t xml:space="preserve"> x Chicken Spring Rolls Frying (GFF512R) : 30g  (1x25 pieces)  : </t>
    </r>
    <r>
      <rPr>
        <b/>
        <sz val="20"/>
        <color theme="1"/>
        <rFont val="Calibri"/>
        <family val="2"/>
        <scheme val="minor"/>
      </rPr>
      <t>750g</t>
    </r>
  </si>
  <si>
    <r>
      <t xml:space="preserve">Total Weight : </t>
    </r>
    <r>
      <rPr>
        <b/>
        <sz val="22"/>
        <color theme="1"/>
        <rFont val="Calibri"/>
        <family val="2"/>
        <scheme val="minor"/>
      </rPr>
      <t>870g</t>
    </r>
  </si>
  <si>
    <r>
      <t>Sweet Chilli Sauce-</t>
    </r>
    <r>
      <rPr>
        <b/>
        <sz val="12"/>
        <color theme="1"/>
        <rFont val="Calibri"/>
        <family val="2"/>
        <scheme val="minor"/>
      </rPr>
      <t xml:space="preserve"> Temperature Control</t>
    </r>
    <r>
      <rPr>
        <b/>
        <sz val="14"/>
        <color theme="1"/>
        <rFont val="Calibri"/>
        <family val="2"/>
        <scheme val="minor"/>
      </rPr>
      <t xml:space="preserve"> (GFF470R) :  </t>
    </r>
    <r>
      <rPr>
        <b/>
        <sz val="18"/>
        <color theme="1"/>
        <rFont val="Calibri"/>
        <family val="2"/>
        <scheme val="minor"/>
      </rPr>
      <t>120g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</si>
</sst>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5" fillId="0" borderId="0" xfId="0" applyFont="1" applyAlignment="1">
      <alignment vertical="center"/>
    </xf>
    <xf numFmtId="0" fontId="1" fillId="3" borderId="2" xfId="0" applyFont="1" applyFill="1" applyBorder="1"/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2" xfId="0" applyFont="1" applyFill="1" applyBorder="1" applyAlignment="1">
      <alignment horizontal="center" wrapText="1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19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13" Type="http://schemas.openxmlformats.org/officeDocument/2006/relationships/image" Target="../media/image10.png"/><Relationship Id="rId3" Type="http://schemas.openxmlformats.org/officeDocument/2006/relationships/image" Target="../media/image3.emf"/><Relationship Id="rId7" Type="http://schemas.openxmlformats.org/officeDocument/2006/relationships/image" Target="../media/image6.png"/><Relationship Id="rId12" Type="http://schemas.openxmlformats.org/officeDocument/2006/relationships/image" Target="../media/image9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png"/><Relationship Id="rId11" Type="http://schemas.openxmlformats.org/officeDocument/2006/relationships/image" Target="cid:bf7cb53a-68b2-4162-bce5-1909a187ffb6@eurprd07.prod.outlook.com" TargetMode="External"/><Relationship Id="rId5" Type="http://schemas.openxmlformats.org/officeDocument/2006/relationships/image" Target="cid:5a89e5cd-0388-4187-a9d6-8b0eee84fad1@eurprd07.prod.outlook.com" TargetMode="External"/><Relationship Id="rId10" Type="http://schemas.openxmlformats.org/officeDocument/2006/relationships/image" Target="../media/image8.jpeg"/><Relationship Id="rId4" Type="http://schemas.openxmlformats.org/officeDocument/2006/relationships/image" Target="../media/image4.jpeg"/><Relationship Id="rId9" Type="http://schemas.openxmlformats.org/officeDocument/2006/relationships/image" Target="cid:eb4964ce-1b51-42e9-9531-e78c770ac9e3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11</xdr:row>
      <xdr:rowOff>104775</xdr:rowOff>
    </xdr:from>
    <xdr:to>
      <xdr:col>10</xdr:col>
      <xdr:colOff>648102</xdr:colOff>
      <xdr:row>14</xdr:row>
      <xdr:rowOff>238125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98504AC-4EFC-40EE-8500-2704C7DBC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2543175"/>
          <a:ext cx="733827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714375</xdr:colOff>
      <xdr:row>11</xdr:row>
      <xdr:rowOff>114300</xdr:rowOff>
    </xdr:from>
    <xdr:to>
      <xdr:col>12</xdr:col>
      <xdr:colOff>485774</xdr:colOff>
      <xdr:row>14</xdr:row>
      <xdr:rowOff>257175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73C95A1-6D23-4B95-86EF-04EEC1496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2552700"/>
          <a:ext cx="800099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590550</xdr:colOff>
      <xdr:row>8</xdr:row>
      <xdr:rowOff>47626</xdr:rowOff>
    </xdr:from>
    <xdr:to>
      <xdr:col>12</xdr:col>
      <xdr:colOff>142876</xdr:colOff>
      <xdr:row>11</xdr:row>
      <xdr:rowOff>9527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23230CD-96D6-4CA8-97EC-B9328952F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1325" y="1866901"/>
          <a:ext cx="581026" cy="581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38101</xdr:colOff>
      <xdr:row>7</xdr:row>
      <xdr:rowOff>47625</xdr:rowOff>
    </xdr:from>
    <xdr:to>
      <xdr:col>9</xdr:col>
      <xdr:colOff>6845</xdr:colOff>
      <xdr:row>14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1B8A702-17F4-8CAF-00C6-15890B6652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69" t="5678" r="19560" b="4781"/>
        <a:stretch>
          <a:fillRect/>
        </a:stretch>
      </xdr:blipFill>
      <xdr:spPr bwMode="auto">
        <a:xfrm>
          <a:off x="38101" y="1676400"/>
          <a:ext cx="2159494" cy="160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19050</xdr:colOff>
      <xdr:row>1</xdr:row>
      <xdr:rowOff>28575</xdr:rowOff>
    </xdr:from>
    <xdr:to>
      <xdr:col>26</xdr:col>
      <xdr:colOff>619125</xdr:colOff>
      <xdr:row>2</xdr:row>
      <xdr:rowOff>172975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C5BE6B-0CE6-615D-964B-B5E715360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48650" y="228600"/>
          <a:ext cx="990600" cy="33490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57150</xdr:rowOff>
    </xdr:from>
    <xdr:to>
      <xdr:col>3</xdr:col>
      <xdr:colOff>335664</xdr:colOff>
      <xdr:row>2</xdr:row>
      <xdr:rowOff>257175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01F6D0-6095-931F-65FC-03BB6F83E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450" y="57150"/>
          <a:ext cx="964314" cy="590550"/>
        </a:xfrm>
        <a:prstGeom prst="rect">
          <a:avLst/>
        </a:prstGeom>
      </xdr:spPr>
    </xdr:pic>
    <xdr:clientData/>
  </xdr:twoCellAnchor>
  <xdr:oneCellAnchor>
    <xdr:from>
      <xdr:col>9</xdr:col>
      <xdr:colOff>57150</xdr:colOff>
      <xdr:row>7</xdr:row>
      <xdr:rowOff>152400</xdr:rowOff>
    </xdr:from>
    <xdr:ext cx="723900" cy="3788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2010A29-D311-D894-A9E4-5AB860ED7C5C}"/>
            </a:ext>
          </a:extLst>
        </xdr:cNvPr>
        <xdr:cNvSpPr txBox="1"/>
      </xdr:nvSpPr>
      <xdr:spPr>
        <a:xfrm>
          <a:off x="2247900" y="1781175"/>
          <a:ext cx="723900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GB" sz="1100" kern="1200"/>
        </a:p>
      </xdr:txBody>
    </xdr:sp>
    <xdr:clientData/>
  </xdr:oneCellAnchor>
  <xdr:oneCellAnchor>
    <xdr:from>
      <xdr:col>8</xdr:col>
      <xdr:colOff>142875</xdr:colOff>
      <xdr:row>7</xdr:row>
      <xdr:rowOff>28575</xdr:rowOff>
    </xdr:from>
    <xdr:ext cx="847725" cy="48577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F4B92A9-6BF7-47FA-8DCD-18F39A27888D}"/>
            </a:ext>
          </a:extLst>
        </xdr:cNvPr>
        <xdr:cNvSpPr txBox="1"/>
      </xdr:nvSpPr>
      <xdr:spPr>
        <a:xfrm>
          <a:off x="2143125" y="1657350"/>
          <a:ext cx="847725" cy="4857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 kern="1200"/>
            <a:t>CHILLED</a:t>
          </a:r>
        </a:p>
      </xdr:txBody>
    </xdr:sp>
    <xdr:clientData/>
  </xdr:oneCellAnchor>
  <xdr:oneCellAnchor>
    <xdr:from>
      <xdr:col>9</xdr:col>
      <xdr:colOff>76200</xdr:colOff>
      <xdr:row>12</xdr:row>
      <xdr:rowOff>171450</xdr:rowOff>
    </xdr:from>
    <xdr:ext cx="876300" cy="3788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46CA52B-0C5C-460A-97FE-672148584124}"/>
            </a:ext>
          </a:extLst>
        </xdr:cNvPr>
        <xdr:cNvSpPr txBox="1"/>
      </xdr:nvSpPr>
      <xdr:spPr>
        <a:xfrm>
          <a:off x="2266950" y="2800350"/>
          <a:ext cx="876300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lang="en-GB" sz="1400" b="1" kern="1200"/>
        </a:p>
      </xdr:txBody>
    </xdr:sp>
    <xdr:clientData/>
  </xdr:oneCellAnchor>
  <xdr:twoCellAnchor>
    <xdr:from>
      <xdr:col>18</xdr:col>
      <xdr:colOff>352426</xdr:colOff>
      <xdr:row>6</xdr:row>
      <xdr:rowOff>184552</xdr:rowOff>
    </xdr:from>
    <xdr:to>
      <xdr:col>25</xdr:col>
      <xdr:colOff>19050</xdr:colOff>
      <xdr:row>14</xdr:row>
      <xdr:rowOff>352840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0D3779-5D10-38C3-0E16-2B89A183B7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2" t="5003" r="5967" b="965"/>
        <a:stretch>
          <a:fillRect/>
        </a:stretch>
      </xdr:blipFill>
      <xdr:spPr bwMode="auto">
        <a:xfrm rot="10800000">
          <a:off x="5991226" y="1622827"/>
          <a:ext cx="2257424" cy="17399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202408</xdr:colOff>
      <xdr:row>18</xdr:row>
      <xdr:rowOff>590549</xdr:rowOff>
    </xdr:from>
    <xdr:to>
      <xdr:col>22</xdr:col>
      <xdr:colOff>228603</xdr:colOff>
      <xdr:row>18</xdr:row>
      <xdr:rowOff>2133596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2E64FCB-66B1-BFDC-F3F5-E9CA6F72F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497119" y="4468413"/>
          <a:ext cx="1543047" cy="2340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219078</xdr:colOff>
      <xdr:row>18</xdr:row>
      <xdr:rowOff>47627</xdr:rowOff>
    </xdr:from>
    <xdr:to>
      <xdr:col>10</xdr:col>
      <xdr:colOff>524672</xdr:colOff>
      <xdr:row>18</xdr:row>
      <xdr:rowOff>2069903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CABF347-E41C-4228-B338-FE557EBA5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56125" y="3987305"/>
          <a:ext cx="2022276" cy="2696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428625</xdr:colOff>
      <xdr:row>18</xdr:row>
      <xdr:rowOff>47625</xdr:rowOff>
    </xdr:from>
    <xdr:to>
      <xdr:col>17</xdr:col>
      <xdr:colOff>95250</xdr:colOff>
      <xdr:row>18</xdr:row>
      <xdr:rowOff>266700</xdr:rowOff>
    </xdr:to>
    <xdr:sp macro="" textlink="">
      <xdr:nvSpPr>
        <xdr:cNvPr id="10" name="Arrow: Down 9">
          <a:extLst>
            <a:ext uri="{FF2B5EF4-FFF2-40B4-BE49-F238E27FC236}">
              <a16:creationId xmlns:a16="http://schemas.microsoft.com/office/drawing/2014/main" id="{CBDE4AAD-15A9-40EA-8978-8EFD7F34BAF7}"/>
            </a:ext>
          </a:extLst>
        </xdr:cNvPr>
        <xdr:cNvSpPr/>
      </xdr:nvSpPr>
      <xdr:spPr>
        <a:xfrm>
          <a:off x="5324475" y="4324350"/>
          <a:ext cx="104775" cy="219075"/>
        </a:xfrm>
        <a:prstGeom prst="downArrow">
          <a:avLst/>
        </a:prstGeom>
        <a:solidFill>
          <a:srgbClr val="4472C4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581025</xdr:colOff>
      <xdr:row>18</xdr:row>
      <xdr:rowOff>28575</xdr:rowOff>
    </xdr:from>
    <xdr:to>
      <xdr:col>18</xdr:col>
      <xdr:colOff>685800</xdr:colOff>
      <xdr:row>18</xdr:row>
      <xdr:rowOff>247650</xdr:rowOff>
    </xdr:to>
    <xdr:sp macro="" textlink="">
      <xdr:nvSpPr>
        <xdr:cNvPr id="11" name="Arrow: Down 10">
          <a:extLst>
            <a:ext uri="{FF2B5EF4-FFF2-40B4-BE49-F238E27FC236}">
              <a16:creationId xmlns:a16="http://schemas.microsoft.com/office/drawing/2014/main" id="{B2C4851A-197E-433D-9ADA-380961D4C373}"/>
            </a:ext>
          </a:extLst>
        </xdr:cNvPr>
        <xdr:cNvSpPr/>
      </xdr:nvSpPr>
      <xdr:spPr>
        <a:xfrm>
          <a:off x="6219825" y="4305300"/>
          <a:ext cx="104775" cy="219075"/>
        </a:xfrm>
        <a:prstGeom prst="downArrow">
          <a:avLst/>
        </a:prstGeom>
        <a:solidFill>
          <a:srgbClr val="4472C4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47625</xdr:colOff>
      <xdr:row>18</xdr:row>
      <xdr:rowOff>28575</xdr:rowOff>
    </xdr:from>
    <xdr:to>
      <xdr:col>21</xdr:col>
      <xdr:colOff>152400</xdr:colOff>
      <xdr:row>18</xdr:row>
      <xdr:rowOff>247650</xdr:rowOff>
    </xdr:to>
    <xdr:sp macro="" textlink="">
      <xdr:nvSpPr>
        <xdr:cNvPr id="12" name="Arrow: Down 11">
          <a:extLst>
            <a:ext uri="{FF2B5EF4-FFF2-40B4-BE49-F238E27FC236}">
              <a16:creationId xmlns:a16="http://schemas.microsoft.com/office/drawing/2014/main" id="{D883CECD-AA06-40DA-93C6-84FB4E5D3B55}"/>
            </a:ext>
          </a:extLst>
        </xdr:cNvPr>
        <xdr:cNvSpPr/>
      </xdr:nvSpPr>
      <xdr:spPr>
        <a:xfrm>
          <a:off x="7019925" y="4305300"/>
          <a:ext cx="104775" cy="219075"/>
        </a:xfrm>
        <a:prstGeom prst="downArrow">
          <a:avLst/>
        </a:prstGeom>
        <a:solidFill>
          <a:srgbClr val="4472C4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16</xdr:col>
      <xdr:colOff>142875</xdr:colOff>
      <xdr:row>18</xdr:row>
      <xdr:rowOff>323850</xdr:rowOff>
    </xdr:from>
    <xdr:to>
      <xdr:col>22</xdr:col>
      <xdr:colOff>200025</xdr:colOff>
      <xdr:row>18</xdr:row>
      <xdr:rowOff>640373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236794D-08C6-3182-5FCA-FD9F05122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038725" y="4600575"/>
          <a:ext cx="2371725" cy="3165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>2200-1B</v>
          </cell>
        </row>
        <row r="9">
          <cell r="B9" t="str">
            <v>SIX500 ENTRÉE SMALL BLK</v>
          </cell>
        </row>
        <row r="10">
          <cell r="B10" t="str">
            <v>EVOLVE CPET 2200-1E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 xml:space="preserve">SINGLE CAVITY/F145 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Bucket 10kg</v>
          </cell>
        </row>
        <row r="23">
          <cell r="B23" t="str">
            <v>Fajita</v>
          </cell>
        </row>
        <row r="24">
          <cell r="B24" t="str">
            <v>SK4-Plain Clear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Lid-Base</v>
          </cell>
        </row>
        <row r="29">
          <cell r="B29" t="str">
            <v>Ind Meal Box</v>
          </cell>
        </row>
        <row r="30">
          <cell r="B30" t="str">
            <v>Ok Meal Box</v>
          </cell>
        </row>
        <row r="31">
          <cell r="B31" t="str">
            <v>OR Meal Box - 1</v>
          </cell>
        </row>
        <row r="32">
          <cell r="B32" t="str">
            <v>OR Meal Box for 1</v>
          </cell>
        </row>
        <row r="33">
          <cell r="B33" t="str">
            <v>SC109-650-POT</v>
          </cell>
        </row>
        <row r="34">
          <cell r="B34" t="str">
            <v>Meal Box For 2 H</v>
          </cell>
        </row>
        <row r="35">
          <cell r="B35" t="str">
            <v>Tub-Lead</v>
          </cell>
        </row>
        <row r="36">
          <cell r="B36" t="str">
            <v>SC17</v>
          </cell>
        </row>
        <row r="37">
          <cell r="B37" t="str">
            <v>BLUE BAG 45MU</v>
          </cell>
        </row>
        <row r="38">
          <cell r="B38" t="str">
            <v>Bag/Box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Trapezoid</v>
          </cell>
        </row>
        <row r="43">
          <cell r="B43" t="str">
            <v>HW308/60-3 X CAV</v>
          </cell>
        </row>
        <row r="44">
          <cell r="B44" t="str">
            <v>HW308/60</v>
          </cell>
        </row>
        <row r="45">
          <cell r="B45" t="str">
            <v>HW308/96</v>
          </cell>
        </row>
        <row r="46">
          <cell r="B46" t="str">
            <v>FLAT TRAY</v>
          </cell>
        </row>
        <row r="47">
          <cell r="B47" t="str">
            <v>Pie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H320/60 -CLEAR (596)</v>
          </cell>
        </row>
        <row r="53">
          <cell r="B53" t="str">
            <v>2200-1E</v>
          </cell>
        </row>
        <row r="54">
          <cell r="B54" t="str">
            <v>2200-2B</v>
          </cell>
        </row>
        <row r="55">
          <cell r="B55" t="str">
            <v>2200-2C</v>
          </cell>
        </row>
        <row r="56">
          <cell r="B56" t="str">
            <v>2200-2F</v>
          </cell>
        </row>
        <row r="57">
          <cell r="B57" t="str">
            <v>A-650</v>
          </cell>
        </row>
        <row r="58">
          <cell r="B58" t="str">
            <v>C5-Cav Sqr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Trapezoid</v>
          </cell>
        </row>
        <row r="68">
          <cell r="B68" t="str">
            <v>Trapezoid</v>
          </cell>
        </row>
        <row r="69">
          <cell r="B69" t="str">
            <v>H3H 50 - CLEAR</v>
          </cell>
        </row>
        <row r="70">
          <cell r="B70" t="str">
            <v>H320/60 -CLEAR (596)</v>
          </cell>
        </row>
        <row r="71">
          <cell r="B71" t="str">
            <v>SK4-CLEAR (C4 CLEAR R-PET)</v>
          </cell>
        </row>
        <row r="72">
          <cell r="B72" t="str">
            <v>Duo-Pot</v>
          </cell>
        </row>
        <row r="73">
          <cell r="B73">
            <v>596</v>
          </cell>
        </row>
        <row r="74">
          <cell r="B74" t="str">
            <v>2200-1D</v>
          </cell>
        </row>
        <row r="75">
          <cell r="B75">
            <v>551</v>
          </cell>
        </row>
        <row r="76">
          <cell r="B76" t="str">
            <v>H3H 50 - CLEAR</v>
          </cell>
        </row>
        <row r="77">
          <cell r="B77" t="str">
            <v>2200-1B</v>
          </cell>
        </row>
        <row r="78">
          <cell r="B78" t="str">
            <v>2200-1B</v>
          </cell>
        </row>
        <row r="79">
          <cell r="B79" t="str">
            <v>EVOLVE CPET 2200-1E</v>
          </cell>
        </row>
        <row r="80">
          <cell r="B80" t="str">
            <v>EVOLVE CPET 2200-1E</v>
          </cell>
        </row>
        <row r="81">
          <cell r="B81" t="str">
            <v>EVOLVE CPET 2200-1D</v>
          </cell>
        </row>
        <row r="82">
          <cell r="B82" t="str">
            <v>EVOLVE CPET 2200-1D</v>
          </cell>
        </row>
        <row r="83">
          <cell r="B83">
            <v>554</v>
          </cell>
        </row>
        <row r="84">
          <cell r="B84" t="str">
            <v>EVOLVE CPET 2200-2F</v>
          </cell>
        </row>
        <row r="85">
          <cell r="B85" t="str">
            <v>EVOLVE CPET 2200-2F</v>
          </cell>
        </row>
        <row r="86">
          <cell r="B86" t="str">
            <v>EVOLVE CPET 2200-2B</v>
          </cell>
        </row>
        <row r="87">
          <cell r="B87" t="str">
            <v>EVOLVE CPET 2200-2C</v>
          </cell>
        </row>
        <row r="88">
          <cell r="B88" t="str">
            <v>EVOLVE CPET 2200-2C</v>
          </cell>
        </row>
        <row r="89">
          <cell r="B89" t="str">
            <v>SC700</v>
          </cell>
        </row>
        <row r="90">
          <cell r="B90" t="str">
            <v>SC700</v>
          </cell>
        </row>
        <row r="91">
          <cell r="B91" t="str">
            <v>Trapezoid - Plain</v>
          </cell>
        </row>
        <row r="92">
          <cell r="B92" t="str">
            <v>SK5-Plain</v>
          </cell>
        </row>
        <row r="93">
          <cell r="B93" t="str">
            <v>H320/100-CLEAR (554)</v>
          </cell>
        </row>
        <row r="94">
          <cell r="B94" t="str">
            <v>H320/100-CLEAR (554)</v>
          </cell>
        </row>
        <row r="95">
          <cell r="B95" t="str">
            <v>EVOLVE CPET 2200-2B</v>
          </cell>
        </row>
        <row r="96">
          <cell r="B96" t="str">
            <v>Duo-Pot</v>
          </cell>
        </row>
        <row r="97">
          <cell r="B97" t="str">
            <v>EVOLVE CPET 2171-1F</v>
          </cell>
        </row>
        <row r="98">
          <cell r="B98" t="str">
            <v>H320/115-CLEAR (554)</v>
          </cell>
        </row>
        <row r="99">
          <cell r="B99" t="str">
            <v>H320/115-CLEAR (554)</v>
          </cell>
        </row>
      </sheetData>
      <sheetData sheetId="5"/>
      <sheetData sheetId="6">
        <row r="1">
          <cell r="B1" t="str">
            <v>Case Name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2"/>
  <sheetViews>
    <sheetView tabSelected="1" topLeftCell="A5" workbookViewId="0">
      <selection activeCell="A19" sqref="A19:AA1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5" style="1" customWidth="1"/>
    <col min="25" max="25" width="4.140625" style="1" customWidth="1"/>
    <col min="26" max="26" width="5.85546875" style="1" customWidth="1"/>
    <col min="27" max="27" width="11.7109375" style="1" customWidth="1"/>
    <col min="28" max="28" width="9.140625" style="1"/>
    <col min="29" max="29" width="10.7109375" style="1" customWidth="1"/>
    <col min="30" max="16384" width="9.140625" style="1"/>
  </cols>
  <sheetData>
    <row r="1" spans="1:42" ht="15.75" thickTop="1" x14ac:dyDescent="0.25">
      <c r="A1" s="49"/>
      <c r="B1" s="50"/>
      <c r="C1" s="50"/>
      <c r="D1" s="50"/>
      <c r="E1" s="51"/>
      <c r="F1" s="13" t="s">
        <v>3</v>
      </c>
      <c r="G1" s="13"/>
      <c r="H1" s="13"/>
      <c r="I1" s="13"/>
      <c r="J1" s="13"/>
      <c r="K1" s="7"/>
      <c r="L1" s="7" t="s">
        <v>4</v>
      </c>
      <c r="M1" s="9"/>
      <c r="N1" s="7" t="s">
        <v>6</v>
      </c>
      <c r="O1" s="8"/>
      <c r="P1" s="8"/>
      <c r="Q1" s="9"/>
      <c r="R1" s="7" t="s">
        <v>5</v>
      </c>
      <c r="S1" s="8"/>
      <c r="T1" s="8"/>
      <c r="U1" s="8"/>
      <c r="V1" s="8"/>
      <c r="W1" s="8"/>
      <c r="X1" s="9"/>
      <c r="Y1" s="13" t="s">
        <v>8</v>
      </c>
      <c r="Z1" s="13"/>
      <c r="AA1" s="58"/>
    </row>
    <row r="2" spans="1:42" x14ac:dyDescent="0.25">
      <c r="A2" s="52"/>
      <c r="B2" s="53"/>
      <c r="C2" s="53"/>
      <c r="D2" s="53"/>
      <c r="E2" s="54"/>
      <c r="F2" s="14" t="s">
        <v>21</v>
      </c>
      <c r="G2" s="14"/>
      <c r="H2" s="14"/>
      <c r="I2" s="14"/>
      <c r="J2" s="14"/>
      <c r="K2" s="15"/>
      <c r="L2" s="15">
        <v>1</v>
      </c>
      <c r="M2" s="17"/>
      <c r="N2" s="15" t="s">
        <v>16</v>
      </c>
      <c r="O2" s="16"/>
      <c r="P2" s="16"/>
      <c r="Q2" s="17"/>
      <c r="R2" s="10" t="s">
        <v>17</v>
      </c>
      <c r="S2" s="11"/>
      <c r="T2" s="11"/>
      <c r="U2" s="11"/>
      <c r="V2" s="11"/>
      <c r="W2" s="11"/>
      <c r="X2" s="12"/>
      <c r="Y2" s="18" t="s">
        <v>11</v>
      </c>
      <c r="Z2" s="19"/>
      <c r="AA2" s="20"/>
    </row>
    <row r="3" spans="1:42" ht="26.25" customHeight="1" x14ac:dyDescent="0.25">
      <c r="A3" s="52"/>
      <c r="B3" s="53"/>
      <c r="C3" s="53"/>
      <c r="D3" s="53"/>
      <c r="E3" s="54"/>
      <c r="F3" s="26" t="s">
        <v>7</v>
      </c>
      <c r="G3" s="26"/>
      <c r="H3" s="26"/>
      <c r="I3" s="26"/>
      <c r="J3" s="26"/>
      <c r="K3" s="27"/>
      <c r="L3" s="34" t="s">
        <v>23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6"/>
      <c r="Y3" s="21"/>
      <c r="Z3" s="22"/>
      <c r="AA3" s="23"/>
    </row>
    <row r="4" spans="1:42" ht="28.5" customHeight="1" thickBot="1" x14ac:dyDescent="0.3">
      <c r="A4" s="55" t="s">
        <v>9</v>
      </c>
      <c r="B4" s="56"/>
      <c r="C4" s="56"/>
      <c r="D4" s="56"/>
      <c r="E4" s="57"/>
      <c r="F4" s="59" t="s">
        <v>18</v>
      </c>
      <c r="G4" s="60"/>
      <c r="H4" s="60"/>
      <c r="I4" s="60"/>
      <c r="J4" s="60"/>
      <c r="K4" s="60"/>
      <c r="L4" s="60"/>
      <c r="M4" s="61"/>
      <c r="N4" s="59" t="s">
        <v>13</v>
      </c>
      <c r="O4" s="60"/>
      <c r="P4" s="61"/>
      <c r="Q4" s="46" t="s">
        <v>12</v>
      </c>
      <c r="R4" s="47"/>
      <c r="S4" s="48"/>
      <c r="T4" s="46" t="s">
        <v>17</v>
      </c>
      <c r="U4" s="47"/>
      <c r="V4" s="47"/>
      <c r="W4" s="47"/>
      <c r="X4" s="48"/>
      <c r="Y4" s="24" t="s">
        <v>10</v>
      </c>
      <c r="Z4" s="24"/>
      <c r="AA4" s="25"/>
    </row>
    <row r="5" spans="1:42" ht="6.75" customHeight="1" thickTop="1" x14ac:dyDescent="0.25"/>
    <row r="6" spans="1:42" ht="21" x14ac:dyDescent="0.3">
      <c r="A6" s="28" t="s">
        <v>22</v>
      </c>
      <c r="B6" s="29"/>
      <c r="C6" s="29"/>
      <c r="D6" s="29"/>
      <c r="E6" s="29"/>
      <c r="F6" s="29"/>
      <c r="G6" s="29"/>
      <c r="H6" s="30"/>
      <c r="I6" s="31" t="s">
        <v>19</v>
      </c>
      <c r="J6" s="32"/>
      <c r="K6" s="32"/>
      <c r="L6" s="32"/>
      <c r="M6" s="32"/>
      <c r="N6" s="33"/>
      <c r="O6" s="31" t="s">
        <v>23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3"/>
    </row>
    <row r="7" spans="1:42" x14ac:dyDescent="0.25">
      <c r="A7" s="62" t="s">
        <v>0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2"/>
      <c r="N7" s="62" t="s">
        <v>1</v>
      </c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2"/>
    </row>
    <row r="8" spans="1:42" x14ac:dyDescent="0.25">
      <c r="A8" s="38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40"/>
      <c r="N8" s="38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40"/>
      <c r="AD8"/>
    </row>
    <row r="9" spans="1:42" x14ac:dyDescent="0.25">
      <c r="A9" s="6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4"/>
      <c r="N9" s="6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4"/>
      <c r="AD9"/>
    </row>
    <row r="10" spans="1:42" x14ac:dyDescent="0.25">
      <c r="A10" s="6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4"/>
      <c r="N10" s="6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4"/>
      <c r="AE10"/>
    </row>
    <row r="11" spans="1:42" ht="18.75" x14ac:dyDescent="0.25">
      <c r="A11" s="6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4"/>
      <c r="N11" s="6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4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</row>
    <row r="12" spans="1:42" x14ac:dyDescent="0.25">
      <c r="A12" s="6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4"/>
      <c r="N12" s="6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4"/>
    </row>
    <row r="13" spans="1:42" x14ac:dyDescent="0.25">
      <c r="A13" s="6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4"/>
      <c r="N13" s="6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4"/>
      <c r="AC13" s="4" t="str">
        <f>IFERROR(VLOOKUP(A13,('[1]Tray Ref'!#REF!),15,FALSE),"")</f>
        <v/>
      </c>
      <c r="AD13" s="4"/>
      <c r="AE13"/>
    </row>
    <row r="14" spans="1:42" x14ac:dyDescent="0.25">
      <c r="A14" s="6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4"/>
      <c r="N14" s="6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4"/>
      <c r="AD14"/>
      <c r="AE14"/>
      <c r="AF14"/>
    </row>
    <row r="15" spans="1:42" ht="33.75" customHeight="1" x14ac:dyDescent="0.25">
      <c r="A15" s="64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6"/>
      <c r="N15" s="64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6"/>
      <c r="AF15"/>
    </row>
    <row r="16" spans="1:42" ht="27.75" customHeight="1" x14ac:dyDescent="0.25">
      <c r="A16" s="67" t="s">
        <v>15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9"/>
      <c r="N16" s="70" t="s">
        <v>27</v>
      </c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2"/>
      <c r="AC16" s="4"/>
      <c r="AE16" s="4" t="str">
        <f>IFERROR(VLOOKUP(#REF!,('[1]Tray Ref'!#REF!),18,FALSE),"")</f>
        <v/>
      </c>
    </row>
    <row r="17" spans="1:29" ht="23.25" customHeight="1" x14ac:dyDescent="0.25">
      <c r="A17" s="70" t="s">
        <v>14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2"/>
      <c r="N17" s="67" t="s">
        <v>20</v>
      </c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9"/>
      <c r="AC17" s="5"/>
    </row>
    <row r="18" spans="1:29" x14ac:dyDescent="0.25">
      <c r="A18" s="3"/>
      <c r="B18" s="41" t="s">
        <v>2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2"/>
    </row>
    <row r="19" spans="1:29" ht="169.5" customHeight="1" x14ac:dyDescent="0.25">
      <c r="A19" s="38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40"/>
      <c r="AC19" s="2" t="str">
        <f>IFERROR(VLOOKUP(#REF!,('[1]Tray Ref'!#REF!),18,FALSE),"")</f>
        <v/>
      </c>
    </row>
    <row r="20" spans="1:29" ht="34.5" customHeight="1" x14ac:dyDescent="0.25">
      <c r="A20" s="34" t="s">
        <v>25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6"/>
      <c r="U20" s="43" t="s">
        <v>26</v>
      </c>
      <c r="V20" s="44"/>
      <c r="W20" s="44"/>
      <c r="X20" s="44"/>
      <c r="Y20" s="44"/>
      <c r="Z20" s="44"/>
      <c r="AA20" s="45"/>
    </row>
    <row r="21" spans="1:29" ht="12.75" customHeight="1" x14ac:dyDescent="0.25">
      <c r="A21" s="37" t="s">
        <v>24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</row>
    <row r="22" spans="1:29" ht="8.25" customHeight="1" x14ac:dyDescent="0.25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</row>
  </sheetData>
  <mergeCells count="36">
    <mergeCell ref="A17:M17"/>
    <mergeCell ref="N17:AA17"/>
    <mergeCell ref="A7:M7"/>
    <mergeCell ref="A8:M15"/>
    <mergeCell ref="N7:AA7"/>
    <mergeCell ref="N8:AA15"/>
    <mergeCell ref="A16:M16"/>
    <mergeCell ref="N16:AA16"/>
    <mergeCell ref="T4:X4"/>
    <mergeCell ref="A1:E3"/>
    <mergeCell ref="A4:E4"/>
    <mergeCell ref="Y1:AA1"/>
    <mergeCell ref="F4:M4"/>
    <mergeCell ref="N4:P4"/>
    <mergeCell ref="Q4:S4"/>
    <mergeCell ref="A21:AA22"/>
    <mergeCell ref="A19:AA19"/>
    <mergeCell ref="B18:AA18"/>
    <mergeCell ref="U20:AA20"/>
    <mergeCell ref="A20:T20"/>
    <mergeCell ref="AD11:AP11"/>
    <mergeCell ref="R1:X1"/>
    <mergeCell ref="R2:X2"/>
    <mergeCell ref="F1:K1"/>
    <mergeCell ref="F2:K2"/>
    <mergeCell ref="N2:Q2"/>
    <mergeCell ref="L2:M2"/>
    <mergeCell ref="N1:Q1"/>
    <mergeCell ref="L1:M1"/>
    <mergeCell ref="Y2:AA3"/>
    <mergeCell ref="Y4:AA4"/>
    <mergeCell ref="F3:K3"/>
    <mergeCell ref="A6:H6"/>
    <mergeCell ref="I6:N6"/>
    <mergeCell ref="O6:AA6"/>
    <mergeCell ref="L3:X3"/>
  </mergeCells>
  <conditionalFormatting sqref="AC16">
    <cfRule type="duplicateValues" dxfId="0" priority="1"/>
  </conditionalFormatting>
  <dataValidations count="1">
    <dataValidation type="list" allowBlank="1" showInputMessage="1" showErrorMessage="1" sqref="AC17" xr:uid="{89554131-6852-407B-BC4C-AF72BC5A14E5}">
      <formula1>Tray_Ref</formula1>
    </dataValidation>
  </dataValidation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2025-02-19T15:43:47Z</cp:lastPrinted>
  <dcterms:created xsi:type="dcterms:W3CDTF">2018-08-01T08:42:18Z</dcterms:created>
  <dcterms:modified xsi:type="dcterms:W3CDTF">2026-03-11T11:39:54Z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b48c2413-58d2-4c26-bffd-1710b462082b</vt:lpwstr>
  </property>
</Properties>
</file>