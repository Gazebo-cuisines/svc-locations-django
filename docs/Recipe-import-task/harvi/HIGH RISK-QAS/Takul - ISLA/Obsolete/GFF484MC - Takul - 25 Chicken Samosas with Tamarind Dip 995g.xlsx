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6F6D18A2-849A-4321-8ED6-8C5833930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3" i="1"/>
</calcChain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<sst xmlns="http://schemas.openxmlformats.org/spreadsheetml/2006/main" count="30" uniqueCount="28">
  <si>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</si>
  <si>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</si>
  <si>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</si>
  <si>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</si>
  <si>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</si>
  <si>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</si>
  <si>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</si>
  <si>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</si>
  <si>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</si>
  <si>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</si>
  <si>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</si>
  <si>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</si>
  <si>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</si>
  <si>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</si>
  <si>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</si>
  <si>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</si>
  <si>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GFF484MC</t>
  </si>
  <si>
    <t>05.12.2024</t>
  </si>
  <si>
    <t>New Issue</t>
  </si>
  <si>
    <t>New Launch</t>
  </si>
  <si>
    <t>25 Chicken Samosas with Tamarind Dip 995g</t>
  </si>
  <si>
    <t>CCSAC2-B25X4TTA</t>
  </si>
  <si>
    <r>
      <t xml:space="preserve">Tamarind Dip  (RMP&amp;B001-04)   </t>
    </r>
    <r>
      <rPr>
        <b/>
        <sz val="18"/>
        <color theme="1"/>
        <rFont val="Calibri"/>
        <family val="2"/>
        <scheme val="minor"/>
      </rPr>
      <t>120g</t>
    </r>
  </si>
  <si>
    <t>120ml Tamper Evident Container &amp; Lid (PKSYS002-02)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</si>
  <si>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</si>
  <si>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20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 xml:space="preserve"> x Chicken Samosa Frying (GFF511R):   35g (1X25 pieces)     </t>
    </r>
    <r>
      <rPr>
        <b/>
        <sz val="22"/>
        <color theme="1"/>
        <rFont val="Calibri"/>
        <family val="2"/>
        <scheme val="minor"/>
      </rPr>
      <t>875g</t>
    </r>
  </si>
  <si>
    <t>TAKUL- Ramadan</t>
  </si>
  <si>
    <r>
      <t xml:space="preserve">Total Weight : </t>
    </r>
    <r>
      <rPr>
        <b/>
        <sz val="22"/>
        <color theme="1"/>
        <rFont val="Calibri"/>
        <family val="2"/>
        <scheme val="minor"/>
      </rPr>
      <t>995g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</si>
</sst>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1" fillId="3" borderId="2" xfId="0" applyFont="1" applyFill="1" applyBorder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12" Type="http://schemas.openxmlformats.org/officeDocument/2006/relationships/image" Target="../media/image9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cid:681021ec-5642-43cb-af32-a60c3e4e3e5e@eurprd07.prod.outlook.com" TargetMode="External"/><Relationship Id="rId5" Type="http://schemas.openxmlformats.org/officeDocument/2006/relationships/image" Target="cid:5a89e5cd-0388-4187-a9d6-8b0eee84fad1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ca5c2f74-c0dd-40c2-8cbe-46271496867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514350</xdr:colOff>
      <xdr:row>9</xdr:row>
      <xdr:rowOff>104775</xdr:rowOff>
    </xdr:from>
    <xdr:to>
      <xdr:col>12</xdr:col>
      <xdr:colOff>219477</xdr:colOff>
      <xdr:row>13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2114550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238125</xdr:colOff>
      <xdr:row>9</xdr:row>
      <xdr:rowOff>85725</xdr:rowOff>
    </xdr:from>
    <xdr:to>
      <xdr:col>14</xdr:col>
      <xdr:colOff>66674</xdr:colOff>
      <xdr:row>12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9550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133350</xdr:colOff>
      <xdr:row>10</xdr:row>
      <xdr:rowOff>1</xdr:rowOff>
    </xdr:from>
    <xdr:to>
      <xdr:col>16</xdr:col>
      <xdr:colOff>209551</xdr:colOff>
      <xdr:row>12</xdr:row>
      <xdr:rowOff>152402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20027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7</xdr:row>
      <xdr:rowOff>47625</xdr:rowOff>
    </xdr:from>
    <xdr:to>
      <xdr:col>9</xdr:col>
      <xdr:colOff>6845</xdr:colOff>
      <xdr:row>14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38101" y="1676400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142875</xdr:colOff>
      <xdr:row>10</xdr:row>
      <xdr:rowOff>47625</xdr:rowOff>
    </xdr:from>
    <xdr:ext cx="847725" cy="378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43125" y="2247900"/>
          <a:ext cx="847725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 kern="1200"/>
        </a:p>
      </xdr:txBody>
    </xdr:sp>
    <xdr:clientData/>
  </xdr:oneCellAnchor>
  <xdr:twoCellAnchor>
    <xdr:from>
      <xdr:col>18</xdr:col>
      <xdr:colOff>638174</xdr:colOff>
      <xdr:row>7</xdr:row>
      <xdr:rowOff>10841</xdr:rowOff>
    </xdr:from>
    <xdr:to>
      <xdr:col>25</xdr:col>
      <xdr:colOff>323850</xdr:colOff>
      <xdr:row>14</xdr:row>
      <xdr:rowOff>419100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86C2F-1870-ED9B-FE45-2C8CF8336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04" r="4517" b="3544"/>
        <a:stretch>
          <a:fillRect/>
        </a:stretch>
      </xdr:blipFill>
      <xdr:spPr bwMode="auto">
        <a:xfrm rot="5400000">
          <a:off x="6520520" y="1396070"/>
          <a:ext cx="1789384" cy="2276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180981</xdr:colOff>
      <xdr:row>18</xdr:row>
      <xdr:rowOff>70676</xdr:rowOff>
    </xdr:from>
    <xdr:to>
      <xdr:col>12</xdr:col>
      <xdr:colOff>143177</xdr:colOff>
      <xdr:row>18</xdr:row>
      <xdr:rowOff>2190748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398BE7-9B7A-0BD8-A9E1-380A7AF5E5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4" t="3304" b="6154"/>
        <a:stretch>
          <a:fillRect/>
        </a:stretch>
      </xdr:blipFill>
      <xdr:spPr bwMode="auto">
        <a:xfrm rot="16200000">
          <a:off x="1064193" y="3921389"/>
          <a:ext cx="2120072" cy="287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285752</xdr:colOff>
      <xdr:row>18</xdr:row>
      <xdr:rowOff>676275</xdr:rowOff>
    </xdr:from>
    <xdr:to>
      <xdr:col>22</xdr:col>
      <xdr:colOff>85727</xdr:colOff>
      <xdr:row>18</xdr:row>
      <xdr:rowOff>2234578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3D9E99-2DE9-4D55-A426-1CC3C3E7EA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4" t="3304" b="6154"/>
        <a:stretch>
          <a:fillRect/>
        </a:stretch>
      </xdr:blipFill>
      <xdr:spPr bwMode="auto">
        <a:xfrm rot="16200000">
          <a:off x="5459725" y="4627252"/>
          <a:ext cx="1558303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123824</xdr:colOff>
      <xdr:row>18</xdr:row>
      <xdr:rowOff>104775</xdr:rowOff>
    </xdr:from>
    <xdr:to>
      <xdr:col>17</xdr:col>
      <xdr:colOff>228599</xdr:colOff>
      <xdr:row>18</xdr:row>
      <xdr:rowOff>323850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081987C4-17DA-9A20-AD4C-A846DF507B63}"/>
            </a:ext>
          </a:extLst>
        </xdr:cNvPr>
        <xdr:cNvSpPr/>
      </xdr:nvSpPr>
      <xdr:spPr>
        <a:xfrm>
          <a:off x="5457824" y="4333875"/>
          <a:ext cx="104775" cy="2190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533400</xdr:colOff>
      <xdr:row>18</xdr:row>
      <xdr:rowOff>104775</xdr:rowOff>
    </xdr:from>
    <xdr:to>
      <xdr:col>18</xdr:col>
      <xdr:colOff>647700</xdr:colOff>
      <xdr:row>18</xdr:row>
      <xdr:rowOff>314325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610F6F35-8138-462D-82BB-6DE5A6964915}"/>
            </a:ext>
          </a:extLst>
        </xdr:cNvPr>
        <xdr:cNvSpPr/>
      </xdr:nvSpPr>
      <xdr:spPr>
        <a:xfrm>
          <a:off x="6172200" y="4333875"/>
          <a:ext cx="114300" cy="209550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114299</xdr:colOff>
      <xdr:row>18</xdr:row>
      <xdr:rowOff>85725</xdr:rowOff>
    </xdr:from>
    <xdr:to>
      <xdr:col>20</xdr:col>
      <xdr:colOff>219074</xdr:colOff>
      <xdr:row>18</xdr:row>
      <xdr:rowOff>304800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33370090-24EF-4124-A4F5-6615E31E98D1}"/>
            </a:ext>
          </a:extLst>
        </xdr:cNvPr>
        <xdr:cNvSpPr/>
      </xdr:nvSpPr>
      <xdr:spPr>
        <a:xfrm>
          <a:off x="6838949" y="4314825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295275</xdr:colOff>
      <xdr:row>18</xdr:row>
      <xdr:rowOff>333375</xdr:rowOff>
    </xdr:from>
    <xdr:to>
      <xdr:col>22</xdr:col>
      <xdr:colOff>57150</xdr:colOff>
      <xdr:row>18</xdr:row>
      <xdr:rowOff>657225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5DF70AE-63F1-4E1D-4230-268F9CBC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91125" y="4562475"/>
          <a:ext cx="2076450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>
        <row r="1">
          <cell r="B1" t="str">
            <v>Case Name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workbookViewId="0">
      <selection activeCell="A19" sqref="A19:AA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19"/>
      <c r="B1" s="20"/>
      <c r="C1" s="20"/>
      <c r="D1" s="20"/>
      <c r="E1" s="21"/>
      <c r="F1" s="26" t="s">
        <v>3</v>
      </c>
      <c r="G1" s="26"/>
      <c r="H1" s="26"/>
      <c r="I1" s="26"/>
      <c r="J1" s="26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26" t="s">
        <v>8</v>
      </c>
      <c r="Z1" s="26"/>
      <c r="AA1" s="27"/>
    </row>
    <row r="2" spans="1:42" x14ac:dyDescent="0.25">
      <c r="A2" s="22"/>
      <c r="B2" s="10"/>
      <c r="C2" s="10"/>
      <c r="D2" s="10"/>
      <c r="E2" s="11"/>
      <c r="F2" s="48" t="s">
        <v>16</v>
      </c>
      <c r="G2" s="48"/>
      <c r="H2" s="48"/>
      <c r="I2" s="48"/>
      <c r="J2" s="48"/>
      <c r="K2" s="49"/>
      <c r="L2" s="49">
        <v>1</v>
      </c>
      <c r="M2" s="51"/>
      <c r="N2" s="49" t="s">
        <v>17</v>
      </c>
      <c r="O2" s="50"/>
      <c r="P2" s="50"/>
      <c r="Q2" s="51"/>
      <c r="R2" s="45" t="s">
        <v>18</v>
      </c>
      <c r="S2" s="46"/>
      <c r="T2" s="46"/>
      <c r="U2" s="46"/>
      <c r="V2" s="46"/>
      <c r="W2" s="46"/>
      <c r="X2" s="47"/>
      <c r="Y2" s="52" t="s">
        <v>11</v>
      </c>
      <c r="Z2" s="53"/>
      <c r="AA2" s="54"/>
    </row>
    <row r="3" spans="1:42" ht="26.25" customHeight="1" x14ac:dyDescent="0.25">
      <c r="A3" s="22"/>
      <c r="B3" s="10"/>
      <c r="C3" s="10"/>
      <c r="D3" s="10"/>
      <c r="E3" s="11"/>
      <c r="F3" s="60" t="s">
        <v>7</v>
      </c>
      <c r="G3" s="60"/>
      <c r="H3" s="60"/>
      <c r="I3" s="60"/>
      <c r="J3" s="60"/>
      <c r="K3" s="61"/>
      <c r="L3" s="68" t="s">
        <v>20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5"/>
      <c r="Z3" s="56"/>
      <c r="AA3" s="57"/>
    </row>
    <row r="4" spans="1:42" ht="28.5" customHeight="1" thickBot="1" x14ac:dyDescent="0.3">
      <c r="A4" s="23" t="s">
        <v>9</v>
      </c>
      <c r="B4" s="24"/>
      <c r="C4" s="24"/>
      <c r="D4" s="24"/>
      <c r="E4" s="25"/>
      <c r="F4" s="28" t="s">
        <v>19</v>
      </c>
      <c r="G4" s="29"/>
      <c r="H4" s="29"/>
      <c r="I4" s="29"/>
      <c r="J4" s="29"/>
      <c r="K4" s="29"/>
      <c r="L4" s="29"/>
      <c r="M4" s="30"/>
      <c r="N4" s="28" t="s">
        <v>13</v>
      </c>
      <c r="O4" s="29"/>
      <c r="P4" s="30"/>
      <c r="Q4" s="16" t="s">
        <v>12</v>
      </c>
      <c r="R4" s="17"/>
      <c r="S4" s="18"/>
      <c r="T4" s="16" t="s">
        <v>18</v>
      </c>
      <c r="U4" s="17"/>
      <c r="V4" s="17"/>
      <c r="W4" s="17"/>
      <c r="X4" s="18"/>
      <c r="Y4" s="58" t="s">
        <v>10</v>
      </c>
      <c r="Z4" s="58"/>
      <c r="AA4" s="59"/>
    </row>
    <row r="5" spans="1:42" ht="6.75" customHeight="1" thickTop="1" x14ac:dyDescent="0.25"/>
    <row r="6" spans="1:42" ht="21" x14ac:dyDescent="0.3">
      <c r="A6" s="62" t="s">
        <v>21</v>
      </c>
      <c r="B6" s="63"/>
      <c r="C6" s="63"/>
      <c r="D6" s="63"/>
      <c r="E6" s="63"/>
      <c r="F6" s="63"/>
      <c r="G6" s="63"/>
      <c r="H6" s="64"/>
      <c r="I6" s="65" t="s">
        <v>26</v>
      </c>
      <c r="J6" s="66"/>
      <c r="K6" s="66"/>
      <c r="L6" s="66"/>
      <c r="M6" s="66"/>
      <c r="N6" s="67"/>
      <c r="O6" s="65" t="s">
        <v>20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7"/>
    </row>
    <row r="7" spans="1:42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 t="s">
        <v>1</v>
      </c>
      <c r="S7" s="15"/>
      <c r="T7" s="15"/>
      <c r="U7" s="15"/>
      <c r="V7" s="15"/>
      <c r="W7" s="15"/>
      <c r="X7" s="15"/>
      <c r="Y7" s="15"/>
      <c r="Z7" s="15"/>
      <c r="AA7" s="15"/>
    </row>
    <row r="8" spans="1:4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4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0"/>
      <c r="S9" s="10"/>
      <c r="T9" s="10"/>
      <c r="U9" s="10"/>
      <c r="V9" s="10"/>
      <c r="W9" s="10"/>
      <c r="X9" s="10"/>
      <c r="Y9" s="10"/>
      <c r="Z9" s="10"/>
      <c r="AA9" s="11"/>
      <c r="AD9"/>
    </row>
    <row r="10" spans="1:4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0"/>
      <c r="S10" s="10"/>
      <c r="T10" s="10"/>
      <c r="U10" s="10"/>
      <c r="V10" s="10"/>
      <c r="W10" s="10"/>
      <c r="X10" s="10"/>
      <c r="Y10" s="10"/>
      <c r="Z10" s="10"/>
      <c r="AA10" s="11"/>
      <c r="AE10"/>
    </row>
    <row r="11" spans="1:42" ht="18.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0"/>
      <c r="S11" s="10"/>
      <c r="T11" s="10"/>
      <c r="U11" s="10"/>
      <c r="V11" s="10"/>
      <c r="W11" s="10"/>
      <c r="X11" s="10"/>
      <c r="Y11" s="10"/>
      <c r="Z11" s="10"/>
      <c r="AA11" s="1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</row>
    <row r="12" spans="1:4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4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0"/>
      <c r="S13" s="10"/>
      <c r="T13" s="10"/>
      <c r="U13" s="10"/>
      <c r="V13" s="10"/>
      <c r="W13" s="10"/>
      <c r="X13" s="10"/>
      <c r="Y13" s="10"/>
      <c r="Z13" s="10"/>
      <c r="AA13" s="11"/>
      <c r="AC13" s="4" t="str">
        <f>IFERROR(VLOOKUP(A13,('[1]Tray Ref'!#REF!),15,FALSE),"")</f>
        <v/>
      </c>
      <c r="AD13" s="4"/>
      <c r="AE13"/>
    </row>
    <row r="14" spans="1:4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0"/>
      <c r="S14" s="10"/>
      <c r="T14" s="10"/>
      <c r="U14" s="10"/>
      <c r="V14" s="10"/>
      <c r="W14" s="10"/>
      <c r="X14" s="10"/>
      <c r="Y14" s="10"/>
      <c r="Z14" s="10"/>
      <c r="AA14" s="11"/>
      <c r="AD14"/>
      <c r="AE14"/>
      <c r="AF14"/>
    </row>
    <row r="15" spans="1:42" ht="35.2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2"/>
      <c r="S15" s="12"/>
      <c r="T15" s="12"/>
      <c r="U15" s="12"/>
      <c r="V15" s="12"/>
      <c r="W15" s="12"/>
      <c r="X15" s="12"/>
      <c r="Y15" s="12"/>
      <c r="Z15" s="12"/>
      <c r="AA15" s="13"/>
      <c r="AD15"/>
      <c r="AE15"/>
    </row>
    <row r="16" spans="1:42" ht="22.5" customHeight="1" x14ac:dyDescent="0.25">
      <c r="A16" s="7" t="s">
        <v>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6" t="s">
        <v>22</v>
      </c>
      <c r="S16" s="6"/>
      <c r="T16" s="6"/>
      <c r="U16" s="6"/>
      <c r="V16" s="6"/>
      <c r="W16" s="6"/>
      <c r="X16" s="6"/>
      <c r="Y16" s="6"/>
      <c r="Z16" s="6"/>
      <c r="AA16" s="6"/>
      <c r="AC16" s="4"/>
      <c r="AE16" s="4" t="str">
        <f>IFERROR(VLOOKUP(#REF!,('[1]Tray Ref'!#REF!),18,FALSE),"")</f>
        <v/>
      </c>
    </row>
    <row r="17" spans="1:29" ht="23.25" customHeight="1" x14ac:dyDescent="0.25">
      <c r="A17" s="6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 t="s">
        <v>23</v>
      </c>
      <c r="S17" s="7"/>
      <c r="T17" s="7"/>
      <c r="U17" s="7"/>
      <c r="V17" s="7"/>
      <c r="W17" s="7"/>
      <c r="X17" s="7"/>
      <c r="Y17" s="7"/>
      <c r="Z17" s="7"/>
      <c r="AA17" s="7"/>
      <c r="AC17" s="5"/>
    </row>
    <row r="18" spans="1:29" x14ac:dyDescent="0.25">
      <c r="A18" s="3"/>
      <c r="B18" s="33" t="s">
        <v>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9" ht="183" customHeight="1" x14ac:dyDescent="0.25">
      <c r="A19" s="3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C19" s="2"/>
    </row>
    <row r="20" spans="1:29" ht="24.75" customHeight="1" x14ac:dyDescent="0.25">
      <c r="A20" s="35" t="s">
        <v>25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8" t="s">
        <v>27</v>
      </c>
      <c r="V20" s="39"/>
      <c r="W20" s="39"/>
      <c r="X20" s="39"/>
      <c r="Y20" s="39"/>
      <c r="Z20" s="39"/>
      <c r="AA20" s="40"/>
    </row>
    <row r="21" spans="1:29" ht="20.25" customHeight="1" x14ac:dyDescent="0.25">
      <c r="A21" s="31" t="s">
        <v>24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</sheetData>
  <mergeCells count="36"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A21:AA21"/>
    <mergeCell ref="A19:AA19"/>
    <mergeCell ref="B18:AA18"/>
    <mergeCell ref="A20:T20"/>
    <mergeCell ref="U20:AA20"/>
    <mergeCell ref="A7:Q7"/>
    <mergeCell ref="R7:AA7"/>
    <mergeCell ref="A16:Q16"/>
    <mergeCell ref="T4:X4"/>
    <mergeCell ref="A1:E3"/>
    <mergeCell ref="A4:E4"/>
    <mergeCell ref="Y1:AA1"/>
    <mergeCell ref="F4:M4"/>
    <mergeCell ref="N4:P4"/>
    <mergeCell ref="Q4:S4"/>
    <mergeCell ref="A17:Q17"/>
    <mergeCell ref="R16:AA16"/>
    <mergeCell ref="R17:AA17"/>
    <mergeCell ref="R8:AA15"/>
    <mergeCell ref="A8:Q15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2025-01-22T16:51:00Z</cp:lastPrinted>
  <dcterms:created xsi:type="dcterms:W3CDTF">2018-08-01T08:42:18Z</dcterms:created>
  <dcterms:modified xsi:type="dcterms:W3CDTF">2025-02-19T15:37:43Z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