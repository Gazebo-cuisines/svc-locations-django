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0D7F30FF-90E2-4CFF-9181-6C0C30CC36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<sst xmlns="http://schemas.openxmlformats.org/spreadsheetml/2006/main" count="33" uniqueCount="31">
  <si>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</si>
  <si>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</si>
  <si>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</si>
  <si>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</si>
  <si>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</si>
  <si>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</si>
  <si>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</si>
  <si>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</si>
  <si>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</si>
  <si>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</si>
  <si>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</si>
  <si>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</si>
  <si>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</si>
  <si>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STEP 5</t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</si>
  <si>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</si>
  <si>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</si>
  <si>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</si>
  <si>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t>Previous Issue Date</t>
  </si>
  <si>
    <t>Page 1 of 1</t>
  </si>
  <si>
    <t>26 Indian Selection  1020g</t>
  </si>
  <si>
    <t>Total Weight 
1020g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</si>
  <si>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</si>
  <si>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t xml:space="preserve">26 Indian Selection  1020G  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</si>
  <si>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</si>
  <si>
    <t>Tray: HW308/60 - 3 CAVITY TRANS - 352X246X60 - (PKESS001-10)</t>
  </si>
  <si>
    <t>Spicy Tomato Dip Sachets (RMJAR001-01) 
 2 x 40g  |      80g</t>
  </si>
  <si>
    <t>11.07.2025</t>
  </si>
  <si>
    <t>GFF519MC</t>
  </si>
  <si>
    <t>New doc</t>
  </si>
  <si>
    <t>GAZEBO-Danora</t>
  </si>
  <si>
    <t>FINSC2-B26X4TDA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</si>
</sst>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6" fillId="0" borderId="0" xfId="0" applyFont="1" applyAlignment="1">
      <alignment vertical="center"/>
    </xf>
    <xf numFmtId="0" fontId="1" fillId="3" borderId="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1" fontId="8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image" Target="cid:A1F0F154-5E92-43AE-9B36-A1F803DB7B45" TargetMode="External"/><Relationship Id="rId2" Type="http://schemas.openxmlformats.org/officeDocument/2006/relationships/image" Target="cid:8EDFF59C-642B-492D-8B75-031F75E57186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11" Type="http://schemas.openxmlformats.org/officeDocument/2006/relationships/image" Target="../media/image8.png"/><Relationship Id="rId5" Type="http://schemas.openxmlformats.org/officeDocument/2006/relationships/image" Target="cid:EC4F7873-BBE9-487D-8EEB-00CE89BCE8A1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3.jpe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775444</xdr:colOff>
      <xdr:row>7</xdr:row>
      <xdr:rowOff>66672</xdr:rowOff>
    </xdr:from>
    <xdr:to>
      <xdr:col>25</xdr:col>
      <xdr:colOff>266700</xdr:colOff>
      <xdr:row>14</xdr:row>
      <xdr:rowOff>276105</xdr:rowOff>
    </xdr:to>
    <xdr:pic>
      <xdr:nvPicPr>
        <xdr:cNvPr id="20" name="8EDFF59C-642B-492D-8B75-031F75E57186" descr="PHOTO-2022-06-15-16-04-51.jpg">
          <a:extLst>
            <a:ext uri="{FF2B5EF4-FFF2-40B4-BE49-F238E27FC236}">
              <a16:creationId xmlns:a16="http://schemas.microsoft.com/office/drawing/2014/main" id="{F16CD228-C479-E0D9-2DFE-9552048B31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0" t="17883" r="3787" b="15716"/>
        <a:stretch>
          <a:fillRect/>
        </a:stretch>
      </xdr:blipFill>
      <xdr:spPr bwMode="auto">
        <a:xfrm rot="16200000">
          <a:off x="6659993" y="1449698"/>
          <a:ext cx="1590558" cy="2082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66714</xdr:colOff>
      <xdr:row>18</xdr:row>
      <xdr:rowOff>95250</xdr:rowOff>
    </xdr:from>
    <xdr:to>
      <xdr:col>9</xdr:col>
      <xdr:colOff>161925</xdr:colOff>
      <xdr:row>26</xdr:row>
      <xdr:rowOff>203134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CF42D0-01BF-CC2C-E026-580EFC3C9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714" y="4114800"/>
          <a:ext cx="2285961" cy="1631884"/>
        </a:xfrm>
        <a:prstGeom prst="rect">
          <a:avLst/>
        </a:prstGeom>
      </xdr:spPr>
    </xdr:pic>
    <xdr:clientData/>
  </xdr:twoCellAnchor>
  <xdr:twoCellAnchor>
    <xdr:from>
      <xdr:col>10</xdr:col>
      <xdr:colOff>38101</xdr:colOff>
      <xdr:row>18</xdr:row>
      <xdr:rowOff>85728</xdr:rowOff>
    </xdr:from>
    <xdr:to>
      <xdr:col>14</xdr:col>
      <xdr:colOff>171804</xdr:colOff>
      <xdr:row>26</xdr:row>
      <xdr:rowOff>217327</xdr:rowOff>
    </xdr:to>
    <xdr:pic>
      <xdr:nvPicPr>
        <xdr:cNvPr id="25" name="EC4F7873-BBE9-487D-8EEB-00CE89BCE8A1" descr="PHOTO-2022-06-15-15-56-49.jpg">
          <a:extLst>
            <a:ext uri="{FF2B5EF4-FFF2-40B4-BE49-F238E27FC236}">
              <a16:creationId xmlns:a16="http://schemas.microsoft.com/office/drawing/2014/main" id="{CBBF9960-710D-329A-BC87-53710192B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54" t="18968" r="5638" b="16977"/>
        <a:stretch>
          <a:fillRect/>
        </a:stretch>
      </xdr:blipFill>
      <xdr:spPr bwMode="auto">
        <a:xfrm rot="16200000">
          <a:off x="2668053" y="4066126"/>
          <a:ext cx="1655599" cy="213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180979</xdr:colOff>
      <xdr:row>18</xdr:row>
      <xdr:rowOff>19048</xdr:rowOff>
    </xdr:from>
    <xdr:to>
      <xdr:col>23</xdr:col>
      <xdr:colOff>285750</xdr:colOff>
      <xdr:row>26</xdr:row>
      <xdr:rowOff>328794</xdr:rowOff>
    </xdr:to>
    <xdr:pic>
      <xdr:nvPicPr>
        <xdr:cNvPr id="26" name="A1F0F154-5E92-43AE-9B36-A1F803DB7B45" descr="PHOTO-2022-06-15-15-56-49.jpg">
          <a:extLst>
            <a:ext uri="{FF2B5EF4-FFF2-40B4-BE49-F238E27FC236}">
              <a16:creationId xmlns:a16="http://schemas.microsoft.com/office/drawing/2014/main" id="{C112B3CC-6DA0-2B76-6592-8EE0664445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2" t="13952" r="5439" b="22400"/>
        <a:stretch>
          <a:fillRect/>
        </a:stretch>
      </xdr:blipFill>
      <xdr:spPr bwMode="auto">
        <a:xfrm rot="16200000">
          <a:off x="5793492" y="3960110"/>
          <a:ext cx="1833746" cy="2390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twoCellAnchor>
    <xdr:from>
      <xdr:col>0</xdr:col>
      <xdr:colOff>85725</xdr:colOff>
      <xdr:row>7</xdr:row>
      <xdr:rowOff>28573</xdr:rowOff>
    </xdr:from>
    <xdr:to>
      <xdr:col>9</xdr:col>
      <xdr:colOff>19050</xdr:colOff>
      <xdr:row>14</xdr:row>
      <xdr:rowOff>243651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A7A-D2BC-4FE5-A8A2-267AEBEA6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349661" y="1393412"/>
          <a:ext cx="1596203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142876</xdr:colOff>
      <xdr:row>7</xdr:row>
      <xdr:rowOff>19050</xdr:rowOff>
    </xdr:from>
    <xdr:to>
      <xdr:col>11</xdr:col>
      <xdr:colOff>104776</xdr:colOff>
      <xdr:row>12</xdr:row>
      <xdr:rowOff>66675</xdr:rowOff>
    </xdr:to>
    <xdr:pic>
      <xdr:nvPicPr>
        <xdr:cNvPr id="10" name="Picture 9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B6665CF2-F51C-4D93-ABD4-557FE41DF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33626" y="1647825"/>
          <a:ext cx="971550" cy="1047750"/>
        </a:xfrm>
        <a:prstGeom prst="rect">
          <a:avLst/>
        </a:prstGeom>
      </xdr:spPr>
    </xdr:pic>
    <xdr:clientData/>
  </xdr:twoCellAnchor>
  <xdr:oneCellAnchor>
    <xdr:from>
      <xdr:col>12</xdr:col>
      <xdr:colOff>19050</xdr:colOff>
      <xdr:row>10</xdr:row>
      <xdr:rowOff>57150</xdr:rowOff>
    </xdr:from>
    <xdr:ext cx="1438275" cy="8096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675414-0A69-43EA-B173-568019CC6053}"/>
            </a:ext>
          </a:extLst>
        </xdr:cNvPr>
        <xdr:cNvSpPr txBox="1"/>
      </xdr:nvSpPr>
      <xdr:spPr>
        <a:xfrm>
          <a:off x="3438525" y="2257425"/>
          <a:ext cx="1438275" cy="8096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Fajita</v>
          </cell>
        </row>
        <row r="24">
          <cell r="B24" t="str">
            <v>SK4-Plain Clear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Ind Meal Box</v>
          </cell>
        </row>
        <row r="30">
          <cell r="B30" t="str">
            <v>Ok Meal Box</v>
          </cell>
        </row>
        <row r="31">
          <cell r="B31" t="str">
            <v>Tub-Lead</v>
          </cell>
        </row>
        <row r="32">
          <cell r="B32" t="str">
            <v>Meal Box For 2 H</v>
          </cell>
        </row>
        <row r="33">
          <cell r="B33" t="str">
            <v>OR Meal Box - 1</v>
          </cell>
        </row>
        <row r="34">
          <cell r="B34" t="str">
            <v>OR Meal Box for 1</v>
          </cell>
        </row>
        <row r="35">
          <cell r="B35" t="str">
            <v>SC109-650-POT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HW308/60-3 X CAV</v>
          </cell>
        </row>
        <row r="43">
          <cell r="B43" t="str">
            <v>Trapezoid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H3H 50 - CLEAR</v>
          </cell>
        </row>
        <row r="54">
          <cell r="B54" t="str">
            <v>2200-2B</v>
          </cell>
        </row>
        <row r="55">
          <cell r="B55" t="str">
            <v>2200-2C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Duo-Pot</v>
          </cell>
        </row>
        <row r="68">
          <cell r="B68" t="str">
            <v>Trapezoid</v>
          </cell>
        </row>
        <row r="69">
          <cell r="B69" t="str">
            <v>Trapezoid</v>
          </cell>
        </row>
        <row r="70">
          <cell r="B70" t="str">
            <v>H3H 50 - CLEAR</v>
          </cell>
        </row>
        <row r="71">
          <cell r="B71" t="str">
            <v>H320/60 -CLEAR (596)</v>
          </cell>
        </row>
        <row r="72">
          <cell r="B72" t="str">
            <v>SK4-CLEAR (C4 CLEAR R-PET)</v>
          </cell>
        </row>
        <row r="73">
          <cell r="B73" t="str">
            <v>H320/60 -CLEAR (596)</v>
          </cell>
        </row>
        <row r="74">
          <cell r="B74" t="str">
            <v>2200-1D</v>
          </cell>
        </row>
        <row r="75">
          <cell r="B75" t="str">
            <v>2200-1E</v>
          </cell>
        </row>
        <row r="76">
          <cell r="B76">
            <v>554</v>
          </cell>
        </row>
        <row r="77">
          <cell r="B77" t="str">
            <v>2200-1B</v>
          </cell>
        </row>
        <row r="78">
          <cell r="B78" t="str">
            <v>2200-1B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>
            <v>596</v>
          </cell>
        </row>
        <row r="85">
          <cell r="B85" t="str">
            <v>EVOLVE CPET 2200-2B</v>
          </cell>
        </row>
        <row r="86">
          <cell r="B86" t="str">
            <v>EVOLVE CPET 2200-2F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SC700</v>
          </cell>
        </row>
        <row r="91">
          <cell r="B91" t="str">
            <v>Trapezoid - Plain</v>
          </cell>
        </row>
        <row r="92">
          <cell r="B92" t="str">
            <v>SK5-Plain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>
            <v>551</v>
          </cell>
        </row>
        <row r="96">
          <cell r="B96" t="str">
            <v>EVOLVE CPET 2200-2B</v>
          </cell>
        </row>
        <row r="97">
          <cell r="B97" t="str">
            <v>Duo-Pot</v>
          </cell>
        </row>
        <row r="98">
          <cell r="B98" t="str">
            <v>EVOLVE CPET 2171-1F</v>
          </cell>
        </row>
        <row r="99">
          <cell r="B99" t="str">
            <v>H320/115-CLEAR (554)</v>
          </cell>
        </row>
        <row r="100">
          <cell r="B100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G13" sqref="AG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69"/>
      <c r="B1" s="70"/>
      <c r="C1" s="70"/>
      <c r="D1" s="70"/>
      <c r="E1" s="71"/>
      <c r="F1" s="22" t="s">
        <v>4</v>
      </c>
      <c r="G1" s="22"/>
      <c r="H1" s="22"/>
      <c r="I1" s="22"/>
      <c r="J1" s="22"/>
      <c r="K1" s="16"/>
      <c r="L1" s="16" t="s">
        <v>5</v>
      </c>
      <c r="M1" s="18"/>
      <c r="N1" s="16" t="s">
        <v>7</v>
      </c>
      <c r="O1" s="17"/>
      <c r="P1" s="17"/>
      <c r="Q1" s="18"/>
      <c r="R1" s="16" t="s">
        <v>6</v>
      </c>
      <c r="S1" s="17"/>
      <c r="T1" s="17"/>
      <c r="U1" s="17"/>
      <c r="V1" s="17"/>
      <c r="W1" s="17"/>
      <c r="X1" s="18"/>
      <c r="Y1" s="22" t="s">
        <v>9</v>
      </c>
      <c r="Z1" s="22"/>
      <c r="AA1" s="76"/>
    </row>
    <row r="2" spans="1:42" x14ac:dyDescent="0.25">
      <c r="A2" s="72"/>
      <c r="B2" s="54"/>
      <c r="C2" s="54"/>
      <c r="D2" s="54"/>
      <c r="E2" s="55"/>
      <c r="F2" s="23" t="s">
        <v>27</v>
      </c>
      <c r="G2" s="23"/>
      <c r="H2" s="23"/>
      <c r="I2" s="23"/>
      <c r="J2" s="23"/>
      <c r="K2" s="24"/>
      <c r="L2" s="24">
        <v>1</v>
      </c>
      <c r="M2" s="26"/>
      <c r="N2" s="24" t="s">
        <v>26</v>
      </c>
      <c r="O2" s="25"/>
      <c r="P2" s="25"/>
      <c r="Q2" s="26"/>
      <c r="R2" s="19" t="s">
        <v>28</v>
      </c>
      <c r="S2" s="20"/>
      <c r="T2" s="20"/>
      <c r="U2" s="20"/>
      <c r="V2" s="20"/>
      <c r="W2" s="20"/>
      <c r="X2" s="21"/>
      <c r="Y2" s="27" t="s">
        <v>12</v>
      </c>
      <c r="Z2" s="28"/>
      <c r="AA2" s="29"/>
    </row>
    <row r="3" spans="1:42" ht="26.25" customHeight="1" x14ac:dyDescent="0.25">
      <c r="A3" s="72"/>
      <c r="B3" s="54"/>
      <c r="C3" s="54"/>
      <c r="D3" s="54"/>
      <c r="E3" s="55"/>
      <c r="F3" s="35" t="s">
        <v>8</v>
      </c>
      <c r="G3" s="35"/>
      <c r="H3" s="35"/>
      <c r="I3" s="35"/>
      <c r="J3" s="35"/>
      <c r="K3" s="36"/>
      <c r="L3" s="43" t="s">
        <v>19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5"/>
      <c r="Y3" s="30"/>
      <c r="Z3" s="31"/>
      <c r="AA3" s="32"/>
    </row>
    <row r="4" spans="1:42" ht="28.5" customHeight="1" thickBot="1" x14ac:dyDescent="0.3">
      <c r="A4" s="73" t="s">
        <v>10</v>
      </c>
      <c r="B4" s="74"/>
      <c r="C4" s="74"/>
      <c r="D4" s="74"/>
      <c r="E4" s="75"/>
      <c r="F4" s="77" t="s">
        <v>28</v>
      </c>
      <c r="G4" s="78"/>
      <c r="H4" s="78"/>
      <c r="I4" s="78"/>
      <c r="J4" s="78"/>
      <c r="K4" s="78"/>
      <c r="L4" s="78"/>
      <c r="M4" s="79"/>
      <c r="N4" s="77" t="s">
        <v>18</v>
      </c>
      <c r="O4" s="78"/>
      <c r="P4" s="79"/>
      <c r="Q4" s="66" t="s">
        <v>17</v>
      </c>
      <c r="R4" s="67"/>
      <c r="S4" s="68"/>
      <c r="T4" s="66" t="s">
        <v>28</v>
      </c>
      <c r="U4" s="67"/>
      <c r="V4" s="67"/>
      <c r="W4" s="67"/>
      <c r="X4" s="68"/>
      <c r="Y4" s="33" t="s">
        <v>11</v>
      </c>
      <c r="Z4" s="33"/>
      <c r="AA4" s="34"/>
    </row>
    <row r="5" spans="1:42" ht="6.75" customHeight="1" thickTop="1" x14ac:dyDescent="0.25"/>
    <row r="6" spans="1:42" ht="21" x14ac:dyDescent="0.3">
      <c r="A6" s="37" t="s">
        <v>30</v>
      </c>
      <c r="B6" s="38"/>
      <c r="C6" s="38"/>
      <c r="D6" s="38"/>
      <c r="E6" s="38"/>
      <c r="F6" s="38"/>
      <c r="G6" s="38"/>
      <c r="H6" s="39"/>
      <c r="I6" s="40" t="s">
        <v>29</v>
      </c>
      <c r="J6" s="41"/>
      <c r="K6" s="41"/>
      <c r="L6" s="41"/>
      <c r="M6" s="41"/>
      <c r="N6" s="42"/>
      <c r="O6" s="40" t="s">
        <v>22</v>
      </c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2"/>
    </row>
    <row r="7" spans="1:42" x14ac:dyDescent="0.25">
      <c r="A7" s="81" t="s">
        <v>0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 t="s">
        <v>1</v>
      </c>
      <c r="S7" s="81"/>
      <c r="T7" s="81"/>
      <c r="U7" s="81"/>
      <c r="V7" s="81"/>
      <c r="W7" s="81"/>
      <c r="X7" s="81"/>
      <c r="Y7" s="81"/>
      <c r="Z7" s="81"/>
      <c r="AA7" s="81"/>
      <c r="AC7"/>
    </row>
    <row r="8" spans="1:42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51"/>
      <c r="S8" s="51"/>
      <c r="T8" s="51"/>
      <c r="U8" s="51"/>
      <c r="V8" s="51"/>
      <c r="W8" s="51"/>
      <c r="X8" s="51"/>
      <c r="Y8" s="51"/>
      <c r="Z8" s="51"/>
      <c r="AA8" s="52"/>
    </row>
    <row r="9" spans="1:42" x14ac:dyDescent="0.25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54"/>
      <c r="S9" s="54"/>
      <c r="T9" s="54"/>
      <c r="U9" s="54"/>
      <c r="V9" s="54"/>
      <c r="W9" s="54"/>
      <c r="X9" s="54"/>
      <c r="Y9" s="54"/>
      <c r="Z9" s="54"/>
      <c r="AA9" s="55"/>
      <c r="AD9"/>
    </row>
    <row r="10" spans="1:42" x14ac:dyDescent="0.2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54"/>
      <c r="S10" s="54"/>
      <c r="T10" s="54"/>
      <c r="U10" s="54"/>
      <c r="V10" s="54"/>
      <c r="W10" s="54"/>
      <c r="X10" s="54"/>
      <c r="Y10" s="54"/>
      <c r="Z10" s="54"/>
      <c r="AA10" s="55"/>
      <c r="AE10"/>
    </row>
    <row r="11" spans="1:42" ht="18.75" x14ac:dyDescent="0.2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54"/>
      <c r="S11" s="54"/>
      <c r="T11" s="54"/>
      <c r="U11" s="54"/>
      <c r="V11" s="54"/>
      <c r="W11" s="54"/>
      <c r="X11" s="54"/>
      <c r="Y11" s="54"/>
      <c r="Z11" s="54"/>
      <c r="AA11" s="5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54"/>
      <c r="S12" s="54"/>
      <c r="T12" s="54"/>
      <c r="U12" s="54"/>
      <c r="V12" s="54"/>
      <c r="W12" s="54"/>
      <c r="X12" s="54"/>
      <c r="Y12" s="54"/>
      <c r="Z12" s="54"/>
      <c r="AA12" s="55"/>
    </row>
    <row r="13" spans="1:42" x14ac:dyDescent="0.2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54"/>
      <c r="S13" s="54"/>
      <c r="T13" s="54"/>
      <c r="U13" s="54"/>
      <c r="V13" s="54"/>
      <c r="W13" s="54"/>
      <c r="X13" s="54"/>
      <c r="Y13" s="54"/>
      <c r="Z13" s="54"/>
      <c r="AA13" s="55"/>
      <c r="AC13" s="13" t="str">
        <f>IFERROR(VLOOKUP(A13,('[1]Tray Ref'!#REF!),15,FALSE),"")</f>
        <v/>
      </c>
      <c r="AD13" s="13"/>
      <c r="AE13"/>
    </row>
    <row r="14" spans="1:42" x14ac:dyDescent="0.25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54"/>
      <c r="S14" s="54"/>
      <c r="T14" s="54"/>
      <c r="U14" s="54"/>
      <c r="V14" s="54"/>
      <c r="W14" s="54"/>
      <c r="X14" s="54"/>
      <c r="Y14" s="54"/>
      <c r="Z14" s="54"/>
      <c r="AA14" s="55"/>
      <c r="AD14"/>
      <c r="AE14"/>
      <c r="AF14"/>
    </row>
    <row r="15" spans="1:42" ht="23.25" customHeight="1" x14ac:dyDescent="0.2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57"/>
      <c r="S15" s="57"/>
      <c r="T15" s="57"/>
      <c r="U15" s="57"/>
      <c r="V15" s="57"/>
      <c r="W15" s="57"/>
      <c r="X15" s="57"/>
      <c r="Y15" s="57"/>
      <c r="Z15" s="57"/>
      <c r="AA15" s="58"/>
    </row>
    <row r="16" spans="1:42" ht="18" customHeight="1" x14ac:dyDescent="0.25">
      <c r="A16" s="82" t="s">
        <v>24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60" t="s">
        <v>25</v>
      </c>
      <c r="S16" s="60"/>
      <c r="T16" s="60"/>
      <c r="U16" s="60"/>
      <c r="V16" s="60"/>
      <c r="W16" s="60"/>
      <c r="X16" s="60"/>
      <c r="Y16" s="60"/>
      <c r="Z16" s="60"/>
      <c r="AA16" s="61"/>
      <c r="AC16" s="13"/>
      <c r="AE16" s="13" t="str">
        <f>IFERROR(VLOOKUP(#REF!,('[1]Tray Ref'!#REF!),18,FALSE),"")</f>
        <v/>
      </c>
    </row>
    <row r="17" spans="1:30" ht="23.25" customHeight="1" x14ac:dyDescent="0.25">
      <c r="A17" s="83" t="s">
        <v>21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63"/>
      <c r="S17" s="63"/>
      <c r="T17" s="63"/>
      <c r="U17" s="63"/>
      <c r="V17" s="63"/>
      <c r="W17" s="63"/>
      <c r="X17" s="63"/>
      <c r="Y17" s="63"/>
      <c r="Z17" s="63"/>
      <c r="AA17" s="64"/>
      <c r="AC17" s="14"/>
    </row>
    <row r="18" spans="1:30" x14ac:dyDescent="0.25">
      <c r="A18" s="5"/>
      <c r="B18" s="48" t="s">
        <v>2</v>
      </c>
      <c r="C18" s="48"/>
      <c r="D18" s="48"/>
      <c r="E18" s="48"/>
      <c r="F18" s="48"/>
      <c r="G18" s="48"/>
      <c r="H18" s="48"/>
      <c r="I18" s="48"/>
      <c r="J18" s="48"/>
      <c r="K18" s="48" t="s">
        <v>3</v>
      </c>
      <c r="L18" s="48"/>
      <c r="M18" s="48"/>
      <c r="N18" s="48"/>
      <c r="O18" s="49"/>
      <c r="P18" s="47" t="s">
        <v>13</v>
      </c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30" x14ac:dyDescent="0.25">
      <c r="A19" s="6"/>
      <c r="B19" s="7"/>
      <c r="C19" s="7"/>
      <c r="D19" s="7"/>
      <c r="E19" s="7"/>
      <c r="F19" s="7"/>
      <c r="G19" s="7"/>
      <c r="H19" s="7"/>
      <c r="I19" s="7"/>
      <c r="J19" s="8"/>
      <c r="K19" s="7"/>
      <c r="L19" s="7"/>
      <c r="M19" s="7"/>
      <c r="N19" s="7"/>
      <c r="O19" s="8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  <c r="AC19" s="4" t="str">
        <f>IFERROR(VLOOKUP(#REF!,('[1]Tray Ref'!#REF!),18,FALSE),"")</f>
        <v/>
      </c>
    </row>
    <row r="20" spans="1:30" x14ac:dyDescent="0.25">
      <c r="A20" s="2"/>
      <c r="J20" s="3"/>
      <c r="O20" s="3"/>
      <c r="P20" s="53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5"/>
    </row>
    <row r="21" spans="1:30" x14ac:dyDescent="0.25">
      <c r="A21" s="2"/>
      <c r="J21" s="3"/>
      <c r="O21" s="3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5"/>
      <c r="AD21" s="12"/>
    </row>
    <row r="22" spans="1:30" x14ac:dyDescent="0.25">
      <c r="A22" s="2"/>
      <c r="J22" s="3"/>
      <c r="O22" s="3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5"/>
    </row>
    <row r="23" spans="1:30" x14ac:dyDescent="0.25">
      <c r="A23" s="2"/>
      <c r="J23" s="3"/>
      <c r="O23" s="3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5"/>
    </row>
    <row r="24" spans="1:30" x14ac:dyDescent="0.25">
      <c r="A24" s="2"/>
      <c r="J24" s="3"/>
      <c r="O24" s="3"/>
      <c r="P24" s="53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5"/>
      <c r="AC24" s="12"/>
    </row>
    <row r="25" spans="1:30" x14ac:dyDescent="0.25">
      <c r="A25" s="2"/>
      <c r="J25" s="3"/>
      <c r="O25" s="3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5"/>
    </row>
    <row r="26" spans="1:30" x14ac:dyDescent="0.25">
      <c r="A26" s="2"/>
      <c r="J26" s="3"/>
      <c r="O26" s="3"/>
      <c r="P26" s="53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5"/>
      <c r="AC26" s="12"/>
    </row>
    <row r="27" spans="1:30" ht="28.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1"/>
      <c r="K27" s="10"/>
      <c r="L27" s="10"/>
      <c r="M27" s="10"/>
      <c r="N27" s="10"/>
      <c r="O27" s="11"/>
      <c r="P27" s="56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8"/>
    </row>
    <row r="28" spans="1:30" ht="15" hidden="1" customHeight="1" x14ac:dyDescent="0.25">
      <c r="A28" s="2"/>
      <c r="O28" s="3"/>
      <c r="P28" s="2"/>
      <c r="AA28" s="3"/>
    </row>
    <row r="29" spans="1:30" ht="39.75" customHeight="1" x14ac:dyDescent="0.25">
      <c r="A29" s="59" t="s">
        <v>15</v>
      </c>
      <c r="B29" s="60"/>
      <c r="C29" s="60"/>
      <c r="D29" s="60"/>
      <c r="E29" s="60"/>
      <c r="F29" s="60"/>
      <c r="G29" s="60"/>
      <c r="H29" s="60"/>
      <c r="I29" s="60"/>
      <c r="J29" s="61"/>
      <c r="K29" s="59" t="s">
        <v>16</v>
      </c>
      <c r="L29" s="60"/>
      <c r="M29" s="60"/>
      <c r="N29" s="60"/>
      <c r="O29" s="61"/>
      <c r="P29" s="59" t="s">
        <v>14</v>
      </c>
      <c r="Q29" s="60"/>
      <c r="R29" s="60"/>
      <c r="S29" s="60"/>
      <c r="T29" s="60"/>
      <c r="U29" s="60"/>
      <c r="V29" s="60"/>
      <c r="W29" s="60"/>
      <c r="X29" s="61"/>
      <c r="Y29" s="65" t="s">
        <v>20</v>
      </c>
      <c r="Z29" s="65"/>
      <c r="AA29" s="65"/>
    </row>
    <row r="30" spans="1:30" ht="20.25" hidden="1" customHeight="1" x14ac:dyDescent="0.25">
      <c r="A30" s="62"/>
      <c r="B30" s="63"/>
      <c r="C30" s="63"/>
      <c r="D30" s="63"/>
      <c r="E30" s="63"/>
      <c r="F30" s="63"/>
      <c r="G30" s="63"/>
      <c r="H30" s="63"/>
      <c r="I30" s="63"/>
      <c r="J30" s="64"/>
      <c r="K30" s="62"/>
      <c r="L30" s="63"/>
      <c r="M30" s="63"/>
      <c r="N30" s="63"/>
      <c r="O30" s="64"/>
      <c r="P30" s="62"/>
      <c r="Q30" s="63"/>
      <c r="R30" s="63"/>
      <c r="S30" s="63"/>
      <c r="T30" s="63"/>
      <c r="U30" s="63"/>
      <c r="V30" s="63"/>
      <c r="W30" s="63"/>
      <c r="X30" s="64"/>
      <c r="Y30" s="65"/>
      <c r="Z30" s="65"/>
      <c r="AA30" s="65"/>
    </row>
    <row r="31" spans="1:30" ht="12.75" customHeight="1" x14ac:dyDescent="0.25">
      <c r="A31" s="46" t="s">
        <v>23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30" ht="8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9">
    <mergeCell ref="R8:AA15"/>
    <mergeCell ref="A8:Q15"/>
    <mergeCell ref="A7:Q7"/>
    <mergeCell ref="R7:AA7"/>
    <mergeCell ref="R16:AA17"/>
    <mergeCell ref="A16:Q16"/>
    <mergeCell ref="A17:Q17"/>
    <mergeCell ref="T4:X4"/>
    <mergeCell ref="A1:E3"/>
    <mergeCell ref="A4:E4"/>
    <mergeCell ref="Y1:AA1"/>
    <mergeCell ref="F4:M4"/>
    <mergeCell ref="N4:P4"/>
    <mergeCell ref="Q4:S4"/>
    <mergeCell ref="A31:AA32"/>
    <mergeCell ref="P18:AA18"/>
    <mergeCell ref="P19:AA27"/>
    <mergeCell ref="P29:X30"/>
    <mergeCell ref="Y29:AA30"/>
    <mergeCell ref="B18:J18"/>
    <mergeCell ref="K18:O18"/>
    <mergeCell ref="A29:J30"/>
    <mergeCell ref="K29:O30"/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2025-07-25T14:00:27Z</cp:lastPrinted>
  <dcterms:created xsi:type="dcterms:W3CDTF">2018-08-01T08:42:18Z</dcterms:created>
  <dcterms:modified xsi:type="dcterms:W3CDTF">2025-07-25T14:00:33Z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