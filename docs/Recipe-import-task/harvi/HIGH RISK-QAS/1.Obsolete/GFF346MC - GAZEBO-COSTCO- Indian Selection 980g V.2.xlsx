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290BA725-A723-4577-8DA6-E9E8F2BB121F}" xr6:coauthVersionLast="47" xr6:coauthVersionMax="47" xr10:uidLastSave="{00000000-0000-0000-0000-000000000000}"/>
  <bookViews>
    <workbookView xWindow="1560" yWindow="1560" windowWidth="18045" windowHeight="130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<sst xmlns="http://schemas.openxmlformats.org/spreadsheetml/2006/main" count="33" uniqueCount="32">
  <si>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</si>
  <si>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</si>
  <si>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</si>
  <si>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</si>
  <si>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</si>
  <si>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</si>
  <si>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</si>
  <si>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</si>
  <si>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</si>
  <si>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</si>
  <si>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</si>
  <si>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</si>
  <si>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</si>
  <si>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CINS1C-B26X8T</t>
  </si>
  <si>
    <t>STEP 5</t>
  </si>
  <si>
    <t>Total Weight 980 g</t>
  </si>
  <si>
    <r>
      <t xml:space="preserve">10 x Vegetable Pakora Cocktail 30g </t>
    </r>
    <r>
      <rPr>
        <sz val="14"/>
        <color theme="1"/>
        <rFont val="Calibri"/>
        <family val="2"/>
        <scheme val="minor"/>
      </rPr>
      <t>(GFF122R)</t>
    </r>
  </si>
  <si>
    <t>COSTCO</t>
  </si>
  <si>
    <t>GFF346MC</t>
  </si>
  <si>
    <t>26 Indian Selection  980g</t>
  </si>
  <si>
    <t>26 Indian Selection  980G    |  CHILLED</t>
  </si>
  <si>
    <r>
      <t xml:space="preserve">8 x Onion Bhaji Cocktail 40g </t>
    </r>
    <r>
      <rPr>
        <sz val="14"/>
        <color theme="1"/>
        <rFont val="Calibri"/>
        <family val="2"/>
        <scheme val="minor"/>
      </rPr>
      <t>(GFF121R)</t>
    </r>
  </si>
  <si>
    <r>
      <t xml:space="preserve">8 x Vegetable Samosas 40g </t>
    </r>
    <r>
      <rPr>
        <sz val="14"/>
        <color theme="1"/>
        <rFont val="Calibri"/>
        <family val="2"/>
        <scheme val="minor"/>
      </rPr>
      <t>(GFF123R)</t>
    </r>
  </si>
  <si>
    <t>28.10.2021</t>
  </si>
  <si>
    <t>Previous Issue Date</t>
  </si>
  <si>
    <t>Page 1 of 1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</si>
  <si>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</si>
  <si>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</si>
  <si>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TRAY H320/60-CLEAR(596)  </t>
    </r>
    <r>
      <rPr>
        <b/>
        <sz val="12"/>
        <color theme="1"/>
        <rFont val="Calibri"/>
        <family val="2"/>
        <scheme val="minor"/>
      </rPr>
      <t xml:space="preserve">(PKNUT001-05) </t>
    </r>
    <r>
      <rPr>
        <sz val="12"/>
        <rFont val="Calibri"/>
        <family val="2"/>
        <scheme val="minor"/>
      </rPr>
      <t xml:space="preserve"> 
+ PLASTIC TRAY DIVIDER  </t>
    </r>
    <r>
      <rPr>
        <b/>
        <sz val="12"/>
        <rFont val="Calibri"/>
        <family val="2"/>
        <scheme val="minor"/>
      </rPr>
      <t>(PKKIN001-06)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</si>
  <si>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</si>
  <si>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t>Spicy Tomato Dip  (GFF124R)   40g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</si>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</sst>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8" fillId="0" borderId="0" xfId="0" applyFont="1" applyAlignment="1">
      <alignment vertical="center"/>
    </xf>
    <xf numFmtId="0" fontId="1" fillId="3" borderId="2" xfId="0" applyFont="1" applyFill="1" applyBorder="1" applyAlignment="1"/>
    <xf numFmtId="0" fontId="0" fillId="2" borderId="6" xfId="0" applyFill="1" applyBorder="1" applyAlignment="1"/>
    <xf numFmtId="0" fontId="0" fillId="2" borderId="5" xfId="0" applyFill="1" applyBorder="1" applyAlignment="1"/>
    <xf numFmtId="0" fontId="0" fillId="2" borderId="12" xfId="0" applyFill="1" applyBorder="1" applyAlignment="1"/>
    <xf numFmtId="0" fontId="0" fillId="2" borderId="0" xfId="0" applyFill="1" applyBorder="1" applyAlignment="1"/>
    <xf numFmtId="0" fontId="0" fillId="2" borderId="9" xfId="0" applyFill="1" applyBorder="1" applyAlignment="1"/>
    <xf numFmtId="0" fontId="0" fillId="2" borderId="8" xfId="0" applyFill="1" applyBorder="1" applyAlignment="1"/>
    <xf numFmtId="0" fontId="0" fillId="2" borderId="10" xfId="0" applyFill="1" applyBorder="1" applyAlignment="1"/>
    <xf numFmtId="1" fontId="10" fillId="2" borderId="0" xfId="0" applyNumberFormat="1" applyFont="1" applyFill="1" applyAlignment="1">
      <alignment vertical="center"/>
    </xf>
    <xf numFmtId="0" fontId="0" fillId="2" borderId="0" xfId="0" applyFill="1" applyBorder="1"/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0affce1-c656-4e2b-89b1-4f8653b012bb@eurprd07.prod.outlook.com" TargetMode="External"/><Relationship Id="rId13" Type="http://schemas.openxmlformats.org/officeDocument/2006/relationships/image" Target="../media/image9.png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12" Type="http://schemas.openxmlformats.org/officeDocument/2006/relationships/image" Target="cid:5d069936-72c6-4a1d-bcee-b98f41e48295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3a841aa7-228f-4c6e-bbce-14a66a33ca3e@eurprd07.prod.outlook.com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5.jpeg"/><Relationship Id="rId10" Type="http://schemas.openxmlformats.org/officeDocument/2006/relationships/image" Target="cid:a7b710cf-ad38-46b1-967f-d831f033981f@eurprd07.prod.outlook.com" TargetMode="External"/><Relationship Id="rId4" Type="http://schemas.openxmlformats.org/officeDocument/2006/relationships/image" Target="../media/image4.emf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190501</xdr:colOff>
      <xdr:row>7</xdr:row>
      <xdr:rowOff>47626</xdr:rowOff>
    </xdr:from>
    <xdr:to>
      <xdr:col>10</xdr:col>
      <xdr:colOff>57150</xdr:colOff>
      <xdr:row>14</xdr:row>
      <xdr:rowOff>212837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A9400C-F93B-41BA-90D1-1732D0A76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1" y="1819276"/>
          <a:ext cx="2028824" cy="1546336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8</xdr:row>
      <xdr:rowOff>9525</xdr:rowOff>
    </xdr:from>
    <xdr:to>
      <xdr:col>12</xdr:col>
      <xdr:colOff>9927</xdr:colOff>
      <xdr:row>11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1781175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104775</xdr:colOff>
      <xdr:row>8</xdr:row>
      <xdr:rowOff>38100</xdr:rowOff>
    </xdr:from>
    <xdr:to>
      <xdr:col>13</xdr:col>
      <xdr:colOff>238124</xdr:colOff>
      <xdr:row>11</xdr:row>
      <xdr:rowOff>133350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1809750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57150</xdr:colOff>
      <xdr:row>12</xdr:row>
      <xdr:rowOff>57151</xdr:rowOff>
    </xdr:from>
    <xdr:to>
      <xdr:col>12</xdr:col>
      <xdr:colOff>638176</xdr:colOff>
      <xdr:row>14</xdr:row>
      <xdr:rowOff>257177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2638426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295274</xdr:colOff>
      <xdr:row>7</xdr:row>
      <xdr:rowOff>47624</xdr:rowOff>
    </xdr:from>
    <xdr:to>
      <xdr:col>25</xdr:col>
      <xdr:colOff>95249</xdr:colOff>
      <xdr:row>14</xdr:row>
      <xdr:rowOff>238124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4C3DD38-9774-4EE5-B0A0-F6DA4BB40BF7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7" t="6647" r="12419" b="8493"/>
        <a:stretch/>
      </xdr:blipFill>
      <xdr:spPr bwMode="auto">
        <a:xfrm rot="10800000">
          <a:off x="5934074" y="1628774"/>
          <a:ext cx="2390775" cy="1571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161928</xdr:colOff>
      <xdr:row>19</xdr:row>
      <xdr:rowOff>39370</xdr:rowOff>
    </xdr:from>
    <xdr:to>
      <xdr:col>9</xdr:col>
      <xdr:colOff>76203</xdr:colOff>
      <xdr:row>26</xdr:row>
      <xdr:rowOff>190500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BE794FA-6EBC-4F9C-B944-35B28D11130B}"/>
            </a:ext>
          </a:extLst>
        </xdr:cNvPr>
        <xdr:cNvPicPr/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67" t="3405" r="3389" b="6094"/>
        <a:stretch/>
      </xdr:blipFill>
      <xdr:spPr bwMode="auto">
        <a:xfrm rot="16200000">
          <a:off x="472126" y="4139247"/>
          <a:ext cx="1484630" cy="21050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66678</xdr:colOff>
      <xdr:row>19</xdr:row>
      <xdr:rowOff>9527</xdr:rowOff>
    </xdr:from>
    <xdr:to>
      <xdr:col>14</xdr:col>
      <xdr:colOff>19054</xdr:colOff>
      <xdr:row>26</xdr:row>
      <xdr:rowOff>209552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B27C21E-86AB-47B3-8396-48ECBADA1E0E}"/>
            </a:ext>
          </a:extLst>
        </xdr:cNvPr>
        <xdr:cNvPicPr/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9" t="5283" r="5385" b="6970"/>
        <a:stretch>
          <a:fillRect/>
        </a:stretch>
      </xdr:blipFill>
      <xdr:spPr bwMode="auto">
        <a:xfrm rot="16200000">
          <a:off x="2667003" y="4210052"/>
          <a:ext cx="1533525" cy="195262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180660</xdr:colOff>
      <xdr:row>18</xdr:row>
      <xdr:rowOff>76517</xdr:rowOff>
    </xdr:from>
    <xdr:to>
      <xdr:col>24</xdr:col>
      <xdr:colOff>114303</xdr:colOff>
      <xdr:row>26</xdr:row>
      <xdr:rowOff>303212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1DCF83C-0881-4C6C-A24B-1CAEFC423A27}"/>
            </a:ext>
          </a:extLst>
        </xdr:cNvPr>
        <xdr:cNvPicPr/>
      </xdr:nvPicPr>
      <xdr:blipFill rotWithShape="1"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9" t="3438" r="2916" b="3438"/>
        <a:stretch/>
      </xdr:blipFill>
      <xdr:spPr bwMode="auto">
        <a:xfrm rot="16200000">
          <a:off x="5915821" y="3875881"/>
          <a:ext cx="1750695" cy="255301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38101</xdr:rowOff>
    </xdr:from>
    <xdr:to>
      <xdr:col>4</xdr:col>
      <xdr:colOff>114300</xdr:colOff>
      <xdr:row>2</xdr:row>
      <xdr:rowOff>314326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F7AB763-F519-4A38-8929-F05B648B0888}"/>
            </a:ext>
          </a:extLst>
        </xdr:cNvPr>
        <xdr:cNvPicPr/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8101"/>
          <a:ext cx="1133475" cy="6667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  <sheetName val="MASTER PRODUCT FILE 2015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2OZ DIP POT/LID</v>
          </cell>
        </row>
        <row r="4">
          <cell r="B4" t="str">
            <v>Bucket 10kg</v>
          </cell>
        </row>
        <row r="5">
          <cell r="B5" t="str">
            <v>Fajita</v>
          </cell>
        </row>
        <row r="6">
          <cell r="B6" t="str">
            <v>Ind Meal Box</v>
          </cell>
        </row>
        <row r="7">
          <cell r="B7" t="str">
            <v>Ind Meal Box - 1</v>
          </cell>
        </row>
        <row r="8">
          <cell r="B8" t="str">
            <v>Ind Meal Box - 2</v>
          </cell>
        </row>
        <row r="9">
          <cell r="B9" t="str">
            <v>Ind Meal Box for 1</v>
          </cell>
        </row>
        <row r="10">
          <cell r="B10" t="str">
            <v>Lid-Base</v>
          </cell>
        </row>
        <row r="11">
          <cell r="B11" t="str">
            <v>Meal Box For 2 H</v>
          </cell>
        </row>
        <row r="12">
          <cell r="B12" t="str">
            <v>Ok Meal Box</v>
          </cell>
        </row>
        <row r="13">
          <cell r="B13" t="str">
            <v>OR Meal Box - 1</v>
          </cell>
        </row>
        <row r="14">
          <cell r="B14" t="str">
            <v>OR Meal Box for 1</v>
          </cell>
        </row>
        <row r="15">
          <cell r="B15" t="str">
            <v>SC109-650-POT</v>
          </cell>
        </row>
        <row r="16">
          <cell r="B16" t="str">
            <v>Tub-Lead</v>
          </cell>
        </row>
        <row r="17">
          <cell r="B17" t="str">
            <v>SK5-Tex</v>
          </cell>
        </row>
        <row r="18">
          <cell r="B18" t="str">
            <v>SK4-Plain Clear</v>
          </cell>
        </row>
        <row r="19">
          <cell r="B19" t="str">
            <v>SK4-Split Clear</v>
          </cell>
        </row>
        <row r="20">
          <cell r="B20" t="str">
            <v>SIX500 ENTRÉE SMALL BLK</v>
          </cell>
        </row>
        <row r="21">
          <cell r="B21" t="str">
            <v>C5-Cav Rnd</v>
          </cell>
        </row>
        <row r="22">
          <cell r="B22" t="str">
            <v>SK4-CLEAR (C4 CLEAR R-PET)</v>
          </cell>
        </row>
        <row r="23">
          <cell r="B23" t="str">
            <v>C5 12 CAV Rnd - Clear</v>
          </cell>
        </row>
        <row r="24">
          <cell r="B24" t="str">
            <v>COOK BOX TRAY</v>
          </cell>
        </row>
        <row r="25">
          <cell r="B25" t="str">
            <v>Trapezoid</v>
          </cell>
        </row>
        <row r="26">
          <cell r="B26" t="str">
            <v>Trapezoid</v>
          </cell>
        </row>
        <row r="27">
          <cell r="B27" t="str">
            <v>Duo-Pot</v>
          </cell>
        </row>
        <row r="28">
          <cell r="B28" t="str">
            <v>Duo-Pot</v>
          </cell>
        </row>
        <row r="29">
          <cell r="B29" t="str">
            <v>Duo-Pot</v>
          </cell>
        </row>
        <row r="30">
          <cell r="B30" t="str">
            <v xml:space="preserve">SINGLE CAVITY/F145 </v>
          </cell>
        </row>
        <row r="31">
          <cell r="B31" t="str">
            <v xml:space="preserve">SINGLE CAVITY/F145 </v>
          </cell>
        </row>
        <row r="32">
          <cell r="B32" t="str">
            <v>H320/60 -CLEAR (596)</v>
          </cell>
        </row>
        <row r="33">
          <cell r="B33" t="str">
            <v>H320/60 -CLEAR (596)</v>
          </cell>
        </row>
        <row r="34">
          <cell r="B34" t="str">
            <v>H3H 50 - CLEAR</v>
          </cell>
        </row>
        <row r="35">
          <cell r="B35" t="str">
            <v>H3H 50 - CLEAR</v>
          </cell>
        </row>
        <row r="36">
          <cell r="B36" t="str">
            <v>2200-1B</v>
          </cell>
        </row>
        <row r="37">
          <cell r="B37" t="str">
            <v>2200-1B</v>
          </cell>
        </row>
        <row r="38">
          <cell r="B38" t="str">
            <v>2200-1B</v>
          </cell>
        </row>
        <row r="39">
          <cell r="B39" t="str">
            <v>EVOLVE CPET 2200-1E</v>
          </cell>
        </row>
        <row r="40">
          <cell r="B40" t="str">
            <v>EVOLVE CPET 2200-1E</v>
          </cell>
        </row>
        <row r="41">
          <cell r="B41" t="str">
            <v>EVOLVE CPET 2200-1E</v>
          </cell>
        </row>
        <row r="42">
          <cell r="B42" t="str">
            <v>EVOLVE CPET 2200-1D</v>
          </cell>
        </row>
        <row r="43">
          <cell r="B43" t="str">
            <v>EVOLVE CPET 2200-1D</v>
          </cell>
        </row>
        <row r="44">
          <cell r="B44" t="str">
            <v>EVOLVE CPET 2200-1D</v>
          </cell>
        </row>
        <row r="45">
          <cell r="B45" t="str">
            <v>EVOLVE CPET 2200-2F</v>
          </cell>
        </row>
        <row r="46">
          <cell r="B46" t="str">
            <v>EVOLVE CPET 2200-2F</v>
          </cell>
        </row>
        <row r="47">
          <cell r="B47" t="str">
            <v>EVOLVE CPET 2200-2F</v>
          </cell>
        </row>
        <row r="48">
          <cell r="B48" t="str">
            <v>EVOLVE CPET 2200-2B</v>
          </cell>
        </row>
        <row r="49">
          <cell r="B49" t="str">
            <v>EVOLVE CPET 2200-2B</v>
          </cell>
        </row>
        <row r="50">
          <cell r="B50" t="str">
            <v>EVOLVE CPET 2200-2B</v>
          </cell>
        </row>
        <row r="51">
          <cell r="B51" t="str">
            <v>EVOLVE CPET 2200-2C</v>
          </cell>
        </row>
        <row r="52">
          <cell r="B52" t="str">
            <v>EVOLVE CPET 2200-2C</v>
          </cell>
        </row>
        <row r="53">
          <cell r="B53" t="str">
            <v>EVOLVE CPET 2200-2C</v>
          </cell>
        </row>
        <row r="54">
          <cell r="B54" t="str">
            <v>SC700</v>
          </cell>
        </row>
        <row r="55">
          <cell r="B55" t="str">
            <v>SC700</v>
          </cell>
        </row>
        <row r="56">
          <cell r="B56" t="str">
            <v>SC700</v>
          </cell>
        </row>
        <row r="57">
          <cell r="B57" t="str">
            <v>SC17</v>
          </cell>
        </row>
        <row r="58">
          <cell r="B58" t="str">
            <v>Prepacked</v>
          </cell>
        </row>
        <row r="59">
          <cell r="B59" t="str">
            <v>Bag/Box</v>
          </cell>
        </row>
        <row r="60">
          <cell r="B60" t="str">
            <v>BLUE BAG 45MU</v>
          </cell>
        </row>
        <row r="61">
          <cell r="B61" t="str">
            <v>Trapezoid - Plain</v>
          </cell>
        </row>
        <row r="62">
          <cell r="B62" t="str">
            <v>Trapezoid - Plain</v>
          </cell>
        </row>
        <row r="63">
          <cell r="B63" t="str">
            <v>C5E CLEAR</v>
          </cell>
        </row>
        <row r="64">
          <cell r="B64" t="str">
            <v>H320/115-CLEAR (554)</v>
          </cell>
        </row>
        <row r="65">
          <cell r="B65" t="str">
            <v>H320/115-CLEAR (554)</v>
          </cell>
        </row>
        <row r="66">
          <cell r="B66" t="str">
            <v>EVOLVE CPET 2171-1F</v>
          </cell>
        </row>
        <row r="67">
          <cell r="B67" t="str">
            <v>SK5-Plain</v>
          </cell>
        </row>
        <row r="68">
          <cell r="B68" t="str">
            <v>H320/100-CLEAR (554)</v>
          </cell>
        </row>
        <row r="69">
          <cell r="B69" t="str">
            <v>H320/100-CLEAR (554)</v>
          </cell>
        </row>
        <row r="70">
          <cell r="B70">
            <v>551</v>
          </cell>
        </row>
        <row r="71">
          <cell r="B71">
            <v>554</v>
          </cell>
        </row>
        <row r="72">
          <cell r="B72">
            <v>596</v>
          </cell>
        </row>
        <row r="73">
          <cell r="B73" t="str">
            <v>2200-1D</v>
          </cell>
        </row>
        <row r="74">
          <cell r="B74" t="str">
            <v>2200-1E</v>
          </cell>
        </row>
        <row r="75">
          <cell r="B75" t="str">
            <v>2200-2B</v>
          </cell>
        </row>
        <row r="76">
          <cell r="B76" t="str">
            <v>2200-2C</v>
          </cell>
        </row>
        <row r="77">
          <cell r="B77" t="str">
            <v>2200-2F</v>
          </cell>
        </row>
        <row r="78">
          <cell r="B78" t="str">
            <v>A-650</v>
          </cell>
        </row>
        <row r="79">
          <cell r="B79" t="str">
            <v>C5-Cav Sqr</v>
          </cell>
        </row>
        <row r="80">
          <cell r="B80" t="str">
            <v>C-650</v>
          </cell>
        </row>
        <row r="81">
          <cell r="B81" t="str">
            <v>FW-30-Split</v>
          </cell>
        </row>
        <row r="82">
          <cell r="B82" t="str">
            <v>HW3-50 Div</v>
          </cell>
        </row>
        <row r="83">
          <cell r="B83" t="str">
            <v>SK4-Div</v>
          </cell>
        </row>
        <row r="84">
          <cell r="B84" t="str">
            <v>SK4-Plain</v>
          </cell>
        </row>
        <row r="85">
          <cell r="B85" t="str">
            <v>SK4-Split</v>
          </cell>
        </row>
        <row r="86">
          <cell r="B86" t="str">
            <v>SK5-Split</v>
          </cell>
        </row>
        <row r="87">
          <cell r="B87" t="str">
            <v>Bag/Box</v>
          </cell>
        </row>
        <row r="88">
          <cell r="B88" t="str">
            <v>EVOLVE CPET 2171-1F</v>
          </cell>
        </row>
        <row r="89">
          <cell r="B89" t="str">
            <v>EV 2200-1E-FROST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4" sqref="A4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83"/>
      <c r="B1" s="84"/>
      <c r="C1" s="84"/>
      <c r="D1" s="84"/>
      <c r="E1" s="85"/>
      <c r="F1" s="30" t="s">
        <v>4</v>
      </c>
      <c r="G1" s="30"/>
      <c r="H1" s="30"/>
      <c r="I1" s="30"/>
      <c r="J1" s="30"/>
      <c r="K1" s="24"/>
      <c r="L1" s="24" t="s">
        <v>5</v>
      </c>
      <c r="M1" s="26"/>
      <c r="N1" s="24" t="s">
        <v>7</v>
      </c>
      <c r="O1" s="25"/>
      <c r="P1" s="25"/>
      <c r="Q1" s="26"/>
      <c r="R1" s="24" t="s">
        <v>6</v>
      </c>
      <c r="S1" s="25"/>
      <c r="T1" s="25"/>
      <c r="U1" s="25"/>
      <c r="V1" s="25"/>
      <c r="W1" s="25"/>
      <c r="X1" s="26"/>
      <c r="Y1" s="30" t="s">
        <v>9</v>
      </c>
      <c r="Z1" s="30"/>
      <c r="AA1" s="90"/>
    </row>
    <row r="2" spans="1:42" x14ac:dyDescent="0.25">
      <c r="A2" s="86"/>
      <c r="B2" s="36"/>
      <c r="C2" s="36"/>
      <c r="D2" s="36"/>
      <c r="E2" s="37"/>
      <c r="F2" s="31" t="s">
        <v>18</v>
      </c>
      <c r="G2" s="31"/>
      <c r="H2" s="31"/>
      <c r="I2" s="31"/>
      <c r="J2" s="31"/>
      <c r="K2" s="27"/>
      <c r="L2" s="27">
        <v>2</v>
      </c>
      <c r="M2" s="29"/>
      <c r="N2" s="27" t="s">
        <v>23</v>
      </c>
      <c r="O2" s="28"/>
      <c r="P2" s="28"/>
      <c r="Q2" s="29"/>
      <c r="R2" s="27" t="s">
        <v>26</v>
      </c>
      <c r="S2" s="28"/>
      <c r="T2" s="28"/>
      <c r="U2" s="28"/>
      <c r="V2" s="28"/>
      <c r="W2" s="28"/>
      <c r="X2" s="29"/>
      <c r="Y2" s="41" t="s">
        <v>12</v>
      </c>
      <c r="Z2" s="42"/>
      <c r="AA2" s="43"/>
    </row>
    <row r="3" spans="1:42" ht="26.25" customHeight="1" x14ac:dyDescent="0.25">
      <c r="A3" s="86"/>
      <c r="B3" s="36"/>
      <c r="C3" s="36"/>
      <c r="D3" s="36"/>
      <c r="E3" s="37"/>
      <c r="F3" s="49" t="s">
        <v>8</v>
      </c>
      <c r="G3" s="49"/>
      <c r="H3" s="49"/>
      <c r="I3" s="49"/>
      <c r="J3" s="49"/>
      <c r="K3" s="50"/>
      <c r="L3" s="77" t="s">
        <v>19</v>
      </c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9"/>
      <c r="Y3" s="44"/>
      <c r="Z3" s="45"/>
      <c r="AA3" s="46"/>
    </row>
    <row r="4" spans="1:42" ht="28.5" customHeight="1" thickBot="1" x14ac:dyDescent="0.3">
      <c r="A4" s="87" t="s">
        <v>10</v>
      </c>
      <c r="B4" s="88"/>
      <c r="C4" s="88"/>
      <c r="D4" s="88"/>
      <c r="E4" s="89"/>
      <c r="F4" s="91" t="s">
        <v>27</v>
      </c>
      <c r="G4" s="92"/>
      <c r="H4" s="92"/>
      <c r="I4" s="92"/>
      <c r="J4" s="92"/>
      <c r="K4" s="92"/>
      <c r="L4" s="92"/>
      <c r="M4" s="93"/>
      <c r="N4" s="91" t="s">
        <v>25</v>
      </c>
      <c r="O4" s="92"/>
      <c r="P4" s="93"/>
      <c r="Q4" s="80" t="s">
        <v>24</v>
      </c>
      <c r="R4" s="81"/>
      <c r="S4" s="82"/>
      <c r="T4" s="80" t="s">
        <v>23</v>
      </c>
      <c r="U4" s="81"/>
      <c r="V4" s="81"/>
      <c r="W4" s="81"/>
      <c r="X4" s="82"/>
      <c r="Y4" s="47" t="s">
        <v>11</v>
      </c>
      <c r="Z4" s="47"/>
      <c r="AA4" s="48"/>
    </row>
    <row r="5" spans="1:42" ht="6.75" customHeight="1" thickTop="1" x14ac:dyDescent="0.25"/>
    <row r="6" spans="1:42" ht="18.75" x14ac:dyDescent="0.3">
      <c r="A6" s="71" t="s">
        <v>13</v>
      </c>
      <c r="B6" s="72"/>
      <c r="C6" s="72"/>
      <c r="D6" s="72"/>
      <c r="E6" s="72"/>
      <c r="F6" s="72"/>
      <c r="G6" s="72"/>
      <c r="H6" s="73"/>
      <c r="I6" s="74" t="s">
        <v>17</v>
      </c>
      <c r="J6" s="75"/>
      <c r="K6" s="75"/>
      <c r="L6" s="75"/>
      <c r="M6" s="75"/>
      <c r="N6" s="76"/>
      <c r="O6" s="74" t="s">
        <v>20</v>
      </c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6"/>
    </row>
    <row r="7" spans="1:42" x14ac:dyDescent="0.25">
      <c r="A7" s="19" t="s">
        <v>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1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3"/>
    </row>
    <row r="8" spans="1:42" x14ac:dyDescent="0.25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4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4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x14ac:dyDescent="0.25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7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1:42" x14ac:dyDescent="0.25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7"/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7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1:42" ht="18.75" x14ac:dyDescent="0.25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7"/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7"/>
      <c r="AC11" s="15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x14ac:dyDescent="0.25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x14ac:dyDescent="0.25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7"/>
      <c r="AC13" s="16" t="str">
        <f>IFERROR(VLOOKUP(A13,('[1]Tray Ref'!#REF!),15,FALSE),"")</f>
        <v/>
      </c>
      <c r="AD13" s="16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x14ac:dyDescent="0.25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7"/>
      <c r="AC14" s="15"/>
      <c r="AD14" s="16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23.25" customHeight="1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0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36" customHeight="1" x14ac:dyDescent="0.25">
      <c r="A16" s="66" t="s">
        <v>28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8"/>
      <c r="P16" s="52" t="s">
        <v>30</v>
      </c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4"/>
      <c r="AC16" s="16"/>
      <c r="AD16" s="15"/>
      <c r="AE16" s="16" t="str">
        <f>IFERROR(VLOOKUP(#REF!,('[1]Tray Ref'!#REF!),18,FALSE),"")</f>
        <v/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ht="23.25" customHeight="1" x14ac:dyDescent="0.25">
      <c r="A17" s="69" t="s">
        <v>29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55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C17" s="17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x14ac:dyDescent="0.25">
      <c r="A18" s="6"/>
      <c r="B18" s="22" t="s">
        <v>2</v>
      </c>
      <c r="C18" s="22"/>
      <c r="D18" s="22"/>
      <c r="E18" s="22"/>
      <c r="F18" s="22"/>
      <c r="G18" s="22"/>
      <c r="H18" s="22"/>
      <c r="I18" s="22"/>
      <c r="J18" s="22"/>
      <c r="K18" s="22" t="s">
        <v>3</v>
      </c>
      <c r="L18" s="22"/>
      <c r="M18" s="22"/>
      <c r="N18" s="22"/>
      <c r="O18" s="23"/>
      <c r="P18" s="21" t="s">
        <v>14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42" x14ac:dyDescent="0.25">
      <c r="A19" s="7"/>
      <c r="B19" s="8"/>
      <c r="C19" s="8"/>
      <c r="D19" s="8"/>
      <c r="E19" s="8"/>
      <c r="F19" s="8"/>
      <c r="G19" s="8"/>
      <c r="H19" s="8"/>
      <c r="I19" s="8"/>
      <c r="J19" s="9"/>
      <c r="K19" s="8"/>
      <c r="L19" s="8"/>
      <c r="M19" s="8"/>
      <c r="N19" s="8"/>
      <c r="O19" s="9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  <c r="AC19" s="5" t="str">
        <f>IFERROR(VLOOKUP(#REF!,('[1]Tray Ref'!#REF!),18,FALSE),"")</f>
        <v/>
      </c>
    </row>
    <row r="20" spans="1:42" x14ac:dyDescent="0.25">
      <c r="A20" s="2"/>
      <c r="B20" s="10"/>
      <c r="C20" s="10"/>
      <c r="D20" s="10"/>
      <c r="E20" s="10"/>
      <c r="F20" s="10"/>
      <c r="G20" s="10"/>
      <c r="H20" s="10"/>
      <c r="I20" s="10"/>
      <c r="J20" s="4"/>
      <c r="K20" s="10"/>
      <c r="L20" s="10"/>
      <c r="M20" s="10"/>
      <c r="N20" s="10"/>
      <c r="O20" s="4"/>
      <c r="P20" s="35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37"/>
    </row>
    <row r="21" spans="1:42" x14ac:dyDescent="0.25">
      <c r="A21" s="2"/>
      <c r="B21" s="10"/>
      <c r="C21" s="10"/>
      <c r="D21" s="10"/>
      <c r="E21" s="10"/>
      <c r="F21" s="10"/>
      <c r="G21" s="10"/>
      <c r="H21" s="10"/>
      <c r="I21" s="10"/>
      <c r="J21" s="4"/>
      <c r="K21" s="10"/>
      <c r="L21" s="10"/>
      <c r="M21" s="10"/>
      <c r="N21" s="10"/>
      <c r="O21" s="4"/>
      <c r="P21" s="35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37"/>
      <c r="AD21" s="14"/>
    </row>
    <row r="22" spans="1:42" x14ac:dyDescent="0.25">
      <c r="A22" s="2"/>
      <c r="B22" s="10"/>
      <c r="C22" s="10"/>
      <c r="D22" s="10"/>
      <c r="E22" s="10"/>
      <c r="F22" s="10"/>
      <c r="G22" s="10"/>
      <c r="H22" s="10"/>
      <c r="I22" s="10"/>
      <c r="J22" s="4"/>
      <c r="K22" s="10"/>
      <c r="L22" s="10"/>
      <c r="M22" s="10"/>
      <c r="N22" s="10"/>
      <c r="O22" s="4"/>
      <c r="P22" s="35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37"/>
    </row>
    <row r="23" spans="1:42" x14ac:dyDescent="0.25">
      <c r="A23" s="2"/>
      <c r="B23" s="10"/>
      <c r="C23" s="10"/>
      <c r="D23" s="10"/>
      <c r="E23" s="10"/>
      <c r="F23" s="10"/>
      <c r="G23" s="10"/>
      <c r="H23" s="10"/>
      <c r="I23" s="10"/>
      <c r="J23" s="4"/>
      <c r="K23" s="10"/>
      <c r="L23" s="10"/>
      <c r="M23" s="10"/>
      <c r="N23" s="10"/>
      <c r="O23" s="4"/>
      <c r="P23" s="35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37"/>
    </row>
    <row r="24" spans="1:42" x14ac:dyDescent="0.25">
      <c r="A24" s="2"/>
      <c r="B24" s="10"/>
      <c r="C24" s="10"/>
      <c r="D24" s="10"/>
      <c r="E24" s="10"/>
      <c r="F24" s="10"/>
      <c r="G24" s="10"/>
      <c r="H24" s="10"/>
      <c r="I24" s="10"/>
      <c r="J24" s="4"/>
      <c r="K24" s="10"/>
      <c r="L24" s="10"/>
      <c r="M24" s="10"/>
      <c r="N24" s="10"/>
      <c r="O24" s="4"/>
      <c r="P24" s="35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37"/>
      <c r="AC24" s="14"/>
    </row>
    <row r="25" spans="1:42" x14ac:dyDescent="0.25">
      <c r="A25" s="2"/>
      <c r="B25" s="10"/>
      <c r="C25" s="10"/>
      <c r="D25" s="10"/>
      <c r="E25" s="10"/>
      <c r="F25" s="10"/>
      <c r="G25" s="10"/>
      <c r="H25" s="10"/>
      <c r="I25" s="10"/>
      <c r="J25" s="4"/>
      <c r="K25" s="10"/>
      <c r="L25" s="10"/>
      <c r="M25" s="10"/>
      <c r="N25" s="10"/>
      <c r="O25" s="4"/>
      <c r="P25" s="35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37"/>
    </row>
    <row r="26" spans="1:42" x14ac:dyDescent="0.25">
      <c r="A26" s="2"/>
      <c r="B26" s="10"/>
      <c r="C26" s="10"/>
      <c r="D26" s="10"/>
      <c r="E26" s="10"/>
      <c r="F26" s="10"/>
      <c r="G26" s="10"/>
      <c r="H26" s="10"/>
      <c r="I26" s="10"/>
      <c r="J26" s="4"/>
      <c r="K26" s="10"/>
      <c r="L26" s="10"/>
      <c r="M26" s="10"/>
      <c r="N26" s="10"/>
      <c r="O26" s="4"/>
      <c r="P26" s="35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37"/>
      <c r="AC26" s="14"/>
    </row>
    <row r="27" spans="1:42" ht="28.5" customHeigh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3"/>
      <c r="K27" s="12"/>
      <c r="L27" s="12"/>
      <c r="M27" s="12"/>
      <c r="N27" s="12"/>
      <c r="O27" s="13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42" ht="15" hidden="1" customHeight="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42" ht="39.75" customHeight="1" x14ac:dyDescent="0.25">
      <c r="A29" s="59" t="s">
        <v>21</v>
      </c>
      <c r="B29" s="60"/>
      <c r="C29" s="60"/>
      <c r="D29" s="60"/>
      <c r="E29" s="60"/>
      <c r="F29" s="60"/>
      <c r="G29" s="60"/>
      <c r="H29" s="60"/>
      <c r="I29" s="60"/>
      <c r="J29" s="61"/>
      <c r="K29" s="59" t="s">
        <v>22</v>
      </c>
      <c r="L29" s="60"/>
      <c r="M29" s="60"/>
      <c r="N29" s="60"/>
      <c r="O29" s="61"/>
      <c r="P29" s="59" t="s">
        <v>16</v>
      </c>
      <c r="Q29" s="60"/>
      <c r="R29" s="60"/>
      <c r="S29" s="60"/>
      <c r="T29" s="60"/>
      <c r="U29" s="60"/>
      <c r="V29" s="60"/>
      <c r="W29" s="60"/>
      <c r="X29" s="61"/>
      <c r="Y29" s="65" t="s">
        <v>15</v>
      </c>
      <c r="Z29" s="65"/>
      <c r="AA29" s="65"/>
    </row>
    <row r="30" spans="1:42" ht="20.25" hidden="1" customHeight="1" x14ac:dyDescent="0.25">
      <c r="A30" s="62"/>
      <c r="B30" s="63"/>
      <c r="C30" s="63"/>
      <c r="D30" s="63"/>
      <c r="E30" s="63"/>
      <c r="F30" s="63"/>
      <c r="G30" s="63"/>
      <c r="H30" s="63"/>
      <c r="I30" s="63"/>
      <c r="J30" s="64"/>
      <c r="K30" s="62"/>
      <c r="L30" s="63"/>
      <c r="M30" s="63"/>
      <c r="N30" s="63"/>
      <c r="O30" s="64"/>
      <c r="P30" s="62"/>
      <c r="Q30" s="63"/>
      <c r="R30" s="63"/>
      <c r="S30" s="63"/>
      <c r="T30" s="63"/>
      <c r="U30" s="63"/>
      <c r="V30" s="63"/>
      <c r="W30" s="63"/>
      <c r="X30" s="64"/>
      <c r="Y30" s="65"/>
      <c r="Z30" s="65"/>
      <c r="AA30" s="65"/>
    </row>
    <row r="31" spans="1:42" ht="12.75" customHeight="1" x14ac:dyDescent="0.25">
      <c r="A31" s="51" t="s">
        <v>31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spans="1:42" ht="8.25" customHeight="1" x14ac:dyDescent="0.2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</sheetData>
  <mergeCells count="39">
    <mergeCell ref="A6:H6"/>
    <mergeCell ref="I6:N6"/>
    <mergeCell ref="O6:AA6"/>
    <mergeCell ref="L3:X3"/>
    <mergeCell ref="T4:X4"/>
    <mergeCell ref="A1:E3"/>
    <mergeCell ref="A4:E4"/>
    <mergeCell ref="Y1:AA1"/>
    <mergeCell ref="F4:M4"/>
    <mergeCell ref="N4:P4"/>
    <mergeCell ref="Q4:S4"/>
    <mergeCell ref="A31:AA32"/>
    <mergeCell ref="P16:AA17"/>
    <mergeCell ref="P18:AA18"/>
    <mergeCell ref="P19:AA27"/>
    <mergeCell ref="P29:X30"/>
    <mergeCell ref="Y29:AA30"/>
    <mergeCell ref="A16:O16"/>
    <mergeCell ref="A17:O17"/>
    <mergeCell ref="B18:J18"/>
    <mergeCell ref="K18:O18"/>
    <mergeCell ref="A29:J30"/>
    <mergeCell ref="K29:O30"/>
    <mergeCell ref="AD11:AP11"/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  <mergeCell ref="A8:O15"/>
    <mergeCell ref="P8:AA15"/>
    <mergeCell ref="Y2:AA3"/>
    <mergeCell ref="Y4:AA4"/>
    <mergeCell ref="F3:K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2020-12-01T10:59:21Z</cp:lastPrinted>
  <dcterms:created xsi:type="dcterms:W3CDTF">2018-08-01T08:42:18Z</dcterms:created>
  <dcterms:modified xsi:type="dcterms:W3CDTF">2021-12-30T15:17:22Z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