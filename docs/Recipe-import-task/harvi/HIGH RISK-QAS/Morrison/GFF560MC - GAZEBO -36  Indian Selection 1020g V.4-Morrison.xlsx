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Morrison\"/>
    </mc:Choice>
  </mc:AlternateContent>
  <xr:revisionPtr revIDLastSave="0" documentId="13_ncr:1_{D3D183A7-9A38-4A03-8583-07850445A3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externalReferences>
    <externalReference r:id="rId2"/>
  </externalReferences>
  <definedNames>
    <definedName name="Tray_Ref">'[1]Tray Ref'!$B$2:$B$1048576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9" i="1" l="1"/>
  <c r="AC13" i="1" l="1"/>
</calcChain>
</file>

<file path=xl/sharedStrings.xml><?xml version="1.0" encoding="utf-8"?>
<sst xmlns="http://schemas.openxmlformats.org/spreadsheetml/2006/main" count="31" uniqueCount="31">
  <si>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</si>
  <si>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</si>
  <si>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</si>
  <si>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</si>
  <si>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</si>
  <si>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</si>
  <si>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</si>
  <si>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</si>
  <si>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</si>
  <si>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Authorised By</t>
  </si>
  <si>
    <t>Document amendments reason for change</t>
  </si>
  <si>
    <t>Uncontrolled copy unless signed original</t>
  </si>
  <si>
    <t>Magda Shah</t>
  </si>
  <si>
    <t>Previous Issue Date</t>
  </si>
  <si>
    <t>Page 1 of 1</t>
  </si>
  <si>
    <t>Total Weight 
1020g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</si>
  <si>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Wheat (Gluten)</t>
    </r>
  </si>
  <si>
    <t>Tray: HW308/60 - 3 CAVITY TRANS - 352X246X60 - (PKESS001-10)</t>
  </si>
  <si>
    <t>GFF560MC</t>
  </si>
  <si>
    <t>17.04.2026</t>
  </si>
  <si>
    <t>CINSC4-B36X2T</t>
  </si>
  <si>
    <t xml:space="preserve">Gazebo- Morrison </t>
  </si>
  <si>
    <t>36 Indian Selection  1020g</t>
  </si>
  <si>
    <t xml:space="preserve">36 Indian Selection  1020G   </t>
  </si>
  <si>
    <t>12 x Vegetable Pakora Cocktail : 30g (GFF122R)</t>
  </si>
  <si>
    <t>29.06.2026</t>
  </si>
  <si>
    <t>Film: 25mu Weld Seal Mono PET Film(340mm x 1000lm)-(PKCLI001-04)- Clifton Packaging</t>
  </si>
  <si>
    <t>12 x Vegetable Samosas 25g - (RMSRI001-04)</t>
  </si>
  <si>
    <t>12 x Onion Bhaji Cocktail 30G - (RMSRI001-02)</t>
  </si>
  <si>
    <t>30.07.2026</t>
  </si>
  <si>
    <t>Updated the Veg Samosa 25g from the in-house recipe to the India Veg samosa 25g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</si>
</sst>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2" borderId="0" xfId="0" applyFill="1"/>
    <xf numFmtId="0" fontId="5" fillId="0" borderId="0" xfId="0" applyFont="1" applyAlignment="1">
      <alignment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4" fillId="0" borderId="0" xfId="0" applyFont="1"/>
    <xf numFmtId="0" fontId="1" fillId="3" borderId="1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7" fillId="6" borderId="6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7" fillId="6" borderId="12" xfId="0" applyFont="1" applyFill="1" applyBorder="1" applyAlignment="1">
      <alignment horizontal="center" vertical="center" wrapText="1"/>
    </xf>
    <xf numFmtId="0" fontId="7" fillId="6" borderId="7" xfId="0" applyFont="1" applyFill="1" applyBorder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7" fillId="6" borderId="11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4" fillId="2" borderId="23" xfId="0" applyFont="1" applyFill="1" applyBorder="1" applyAlignment="1">
      <alignment horizontal="center" wrapText="1"/>
    </xf>
    <xf numFmtId="0" fontId="4" fillId="2" borderId="24" xfId="0" applyFont="1" applyFill="1" applyBorder="1" applyAlignment="1">
      <alignment horizontal="center" wrapText="1"/>
    </xf>
    <xf numFmtId="0" fontId="4" fillId="2" borderId="25" xfId="0" applyFont="1" applyFill="1" applyBorder="1" applyAlignment="1">
      <alignment horizontal="center" wrapText="1"/>
    </xf>
    <xf numFmtId="0" fontId="4" fillId="2" borderId="16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26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 wrapText="1"/>
    </xf>
    <xf numFmtId="0" fontId="4" fillId="2" borderId="28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5" borderId="1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png"/><Relationship Id="rId7" Type="http://schemas.openxmlformats.org/officeDocument/2006/relationships/image" Target="cid:987a4c1f-f696-4656-b737-41c061036da0@eurprd07.prod.outlook.com" TargetMode="External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png"/><Relationship Id="rId9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333375</xdr:colOff>
      <xdr:row>7</xdr:row>
      <xdr:rowOff>161925</xdr:rowOff>
    </xdr:from>
    <xdr:to>
      <xdr:col>12</xdr:col>
      <xdr:colOff>104774</xdr:colOff>
      <xdr:row>11</xdr:row>
      <xdr:rowOff>66675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73C95A1-6D23-4B95-86EF-04EEC1496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4150" y="1743075"/>
          <a:ext cx="800099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304799</xdr:colOff>
      <xdr:row>7</xdr:row>
      <xdr:rowOff>142876</xdr:rowOff>
    </xdr:from>
    <xdr:to>
      <xdr:col>14</xdr:col>
      <xdr:colOff>66672</xdr:colOff>
      <xdr:row>11</xdr:row>
      <xdr:rowOff>66674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23230CD-96D6-4CA8-97EC-B9328952F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24274" y="1771651"/>
          <a:ext cx="733423" cy="7334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19050</xdr:colOff>
      <xdr:row>1</xdr:row>
      <xdr:rowOff>28575</xdr:rowOff>
    </xdr:from>
    <xdr:to>
      <xdr:col>26</xdr:col>
      <xdr:colOff>619125</xdr:colOff>
      <xdr:row>2</xdr:row>
      <xdr:rowOff>172975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C5BE6B-0CE6-615D-964B-B5E715360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48650" y="228600"/>
          <a:ext cx="990600" cy="334900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0</xdr:row>
      <xdr:rowOff>57150</xdr:rowOff>
    </xdr:from>
    <xdr:to>
      <xdr:col>3</xdr:col>
      <xdr:colOff>335664</xdr:colOff>
      <xdr:row>2</xdr:row>
      <xdr:rowOff>257175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501F6D0-6095-931F-65FC-03BB6F83EF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1450" y="57150"/>
          <a:ext cx="964314" cy="590550"/>
        </a:xfrm>
        <a:prstGeom prst="rect">
          <a:avLst/>
        </a:prstGeom>
      </xdr:spPr>
    </xdr:pic>
    <xdr:clientData/>
  </xdr:twoCellAnchor>
  <xdr:twoCellAnchor>
    <xdr:from>
      <xdr:col>11</xdr:col>
      <xdr:colOff>190500</xdr:colOff>
      <xdr:row>12</xdr:row>
      <xdr:rowOff>9525</xdr:rowOff>
    </xdr:from>
    <xdr:to>
      <xdr:col>16</xdr:col>
      <xdr:colOff>333375</xdr:colOff>
      <xdr:row>14</xdr:row>
      <xdr:rowOff>257175</xdr:rowOff>
    </xdr:to>
    <xdr:sp macro="" textlink="">
      <xdr:nvSpPr>
        <xdr:cNvPr id="5" name="TextBox 6">
          <a:extLst>
            <a:ext uri="{FF2B5EF4-FFF2-40B4-BE49-F238E27FC236}">
              <a16:creationId xmlns:a16="http://schemas.microsoft.com/office/drawing/2014/main" id="{E419C525-85CF-4396-985A-1DA95099150C}"/>
            </a:ext>
          </a:extLst>
        </xdr:cNvPr>
        <xdr:cNvSpPr txBox="1"/>
      </xdr:nvSpPr>
      <xdr:spPr>
        <a:xfrm>
          <a:off x="3390900" y="2590800"/>
          <a:ext cx="1838325" cy="6286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n-GB" sz="1400" b="1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PACK DAY + 1 YEAR</a:t>
          </a:r>
          <a:endParaRPr lang="en-GB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07000"/>
            </a:lnSpc>
            <a:spcAft>
              <a:spcPts val="800"/>
            </a:spcAft>
          </a:pPr>
          <a:r>
            <a:rPr lang="en-GB" sz="1400" b="1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GAS FLUSH</a:t>
          </a:r>
          <a:endParaRPr lang="en-GB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oneCellAnchor>
    <xdr:from>
      <xdr:col>9</xdr:col>
      <xdr:colOff>57150</xdr:colOff>
      <xdr:row>7</xdr:row>
      <xdr:rowOff>152400</xdr:rowOff>
    </xdr:from>
    <xdr:ext cx="723900" cy="3788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2010A29-D311-D894-A9E4-5AB860ED7C5C}"/>
            </a:ext>
          </a:extLst>
        </xdr:cNvPr>
        <xdr:cNvSpPr txBox="1"/>
      </xdr:nvSpPr>
      <xdr:spPr>
        <a:xfrm>
          <a:off x="2247900" y="1781175"/>
          <a:ext cx="723900" cy="3788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GB" sz="1100" kern="1200"/>
        </a:p>
      </xdr:txBody>
    </xdr:sp>
    <xdr:clientData/>
  </xdr:oneCellAnchor>
  <xdr:oneCellAnchor>
    <xdr:from>
      <xdr:col>10</xdr:col>
      <xdr:colOff>161925</xdr:colOff>
      <xdr:row>12</xdr:row>
      <xdr:rowOff>142875</xdr:rowOff>
    </xdr:from>
    <xdr:ext cx="876300" cy="3788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46CA52B-0C5C-460A-97FE-672148584124}"/>
            </a:ext>
          </a:extLst>
        </xdr:cNvPr>
        <xdr:cNvSpPr txBox="1"/>
      </xdr:nvSpPr>
      <xdr:spPr>
        <a:xfrm>
          <a:off x="2552700" y="2724150"/>
          <a:ext cx="876300" cy="3788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 kern="1200"/>
            <a:t>FROZEN</a:t>
          </a:r>
        </a:p>
      </xdr:txBody>
    </xdr:sp>
    <xdr:clientData/>
  </xdr:oneCellAnchor>
  <xdr:twoCellAnchor>
    <xdr:from>
      <xdr:col>1</xdr:col>
      <xdr:colOff>4</xdr:colOff>
      <xdr:row>7</xdr:row>
      <xdr:rowOff>57152</xdr:rowOff>
    </xdr:from>
    <xdr:to>
      <xdr:col>9</xdr:col>
      <xdr:colOff>85729</xdr:colOff>
      <xdr:row>14</xdr:row>
      <xdr:rowOff>276225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5E2EA7A-D2BC-4FE5-A8A2-267AEBEA6E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37" t="7869" r="6707" b="10855"/>
        <a:stretch/>
      </xdr:blipFill>
      <xdr:spPr bwMode="auto">
        <a:xfrm rot="16200000">
          <a:off x="452443" y="1414463"/>
          <a:ext cx="1600198" cy="2047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</xdr:col>
      <xdr:colOff>123823</xdr:colOff>
      <xdr:row>7</xdr:row>
      <xdr:rowOff>95254</xdr:rowOff>
    </xdr:from>
    <xdr:to>
      <xdr:col>23</xdr:col>
      <xdr:colOff>285749</xdr:colOff>
      <xdr:row>14</xdr:row>
      <xdr:rowOff>247654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D5C19CD-4199-3C3B-B698-5C5AD0CAAF8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377" r="2726" b="15391"/>
        <a:stretch>
          <a:fillRect/>
        </a:stretch>
      </xdr:blipFill>
      <xdr:spPr bwMode="auto">
        <a:xfrm rot="5400000">
          <a:off x="5915023" y="1219204"/>
          <a:ext cx="1533525" cy="24479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133351</xdr:colOff>
      <xdr:row>18</xdr:row>
      <xdr:rowOff>49899</xdr:rowOff>
    </xdr:from>
    <xdr:to>
      <xdr:col>10</xdr:col>
      <xdr:colOff>600076</xdr:colOff>
      <xdr:row>18</xdr:row>
      <xdr:rowOff>1895475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877F480E-9A81-8D81-B4C9-4A6A68068E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61951" y="4326624"/>
          <a:ext cx="2628900" cy="1845576"/>
        </a:xfrm>
        <a:prstGeom prst="rect">
          <a:avLst/>
        </a:prstGeom>
      </xdr:spPr>
    </xdr:pic>
    <xdr:clientData/>
  </xdr:twoCellAnchor>
  <xdr:twoCellAnchor editAs="oneCell">
    <xdr:from>
      <xdr:col>16</xdr:col>
      <xdr:colOff>76200</xdr:colOff>
      <xdr:row>18</xdr:row>
      <xdr:rowOff>77234</xdr:rowOff>
    </xdr:from>
    <xdr:to>
      <xdr:col>22</xdr:col>
      <xdr:colOff>371475</xdr:colOff>
      <xdr:row>18</xdr:row>
      <xdr:rowOff>1809750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4DD73B9A-C73D-470E-6904-EBB38456A1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l="8247" t="2381" b="-298"/>
        <a:stretch>
          <a:fillRect/>
        </a:stretch>
      </xdr:blipFill>
      <xdr:spPr>
        <a:xfrm>
          <a:off x="4972050" y="4353959"/>
          <a:ext cx="2609850" cy="1732516"/>
        </a:xfrm>
        <a:prstGeom prst="rect">
          <a:avLst/>
        </a:prstGeom>
      </xdr:spPr>
    </xdr:pic>
    <xdr:clientData/>
  </xdr:twoCellAnchor>
  <xdr:twoCellAnchor>
    <xdr:from>
      <xdr:col>24</xdr:col>
      <xdr:colOff>28575</xdr:colOff>
      <xdr:row>8</xdr:row>
      <xdr:rowOff>161925</xdr:rowOff>
    </xdr:from>
    <xdr:to>
      <xdr:col>26</xdr:col>
      <xdr:colOff>666750</xdr:colOff>
      <xdr:row>12</xdr:row>
      <xdr:rowOff>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BCCE8D9D-B573-4266-9D23-B5C6A32916F4}"/>
            </a:ext>
          </a:extLst>
        </xdr:cNvPr>
        <xdr:cNvSpPr/>
      </xdr:nvSpPr>
      <xdr:spPr>
        <a:xfrm>
          <a:off x="7981950" y="1933575"/>
          <a:ext cx="1304925" cy="647700"/>
        </a:xfrm>
        <a:prstGeom prst="rect">
          <a:avLst/>
        </a:prstGeom>
        <a:solidFill>
          <a:srgbClr val="FFFF00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Onion Bhaji 30g-</a:t>
          </a:r>
          <a:r>
            <a:rPr kumimoji="0" lang="en-GB" sz="16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INDIAN  </a:t>
          </a:r>
        </a:p>
      </xdr:txBody>
    </xdr:sp>
    <xdr:clientData/>
  </xdr:twoCellAnchor>
  <xdr:twoCellAnchor>
    <xdr:from>
      <xdr:col>10</xdr:col>
      <xdr:colOff>781050</xdr:colOff>
      <xdr:row>18</xdr:row>
      <xdr:rowOff>495300</xdr:rowOff>
    </xdr:from>
    <xdr:to>
      <xdr:col>14</xdr:col>
      <xdr:colOff>66675</xdr:colOff>
      <xdr:row>18</xdr:row>
      <xdr:rowOff>1333500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5449BAEC-FA1C-49A5-A157-9A128DEC53FE}"/>
            </a:ext>
          </a:extLst>
        </xdr:cNvPr>
        <xdr:cNvSpPr/>
      </xdr:nvSpPr>
      <xdr:spPr>
        <a:xfrm>
          <a:off x="3171825" y="4772025"/>
          <a:ext cx="1285875" cy="838200"/>
        </a:xfrm>
        <a:prstGeom prst="rect">
          <a:avLst/>
        </a:prstGeom>
        <a:solidFill>
          <a:srgbClr val="FFFF00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Vegetable Samosa 25g-</a:t>
          </a:r>
          <a:r>
            <a:rPr kumimoji="0" lang="en-GB" sz="16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INDIAN  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GAZEBOSVR01\Database\Product%20Database\MASTER%20PRODUCT\MASTER%20PRODUCT%20FILE%202015.xlsx" TargetMode="External"/><Relationship Id="rId1" Type="http://schemas.openxmlformats.org/officeDocument/2006/relationships/externalLinkPath" Target="file:///\\GAZEBOSVR01\Database\Product%20Database\MASTER%20PRODUCT\MASTER%20PRODUCT%20FILE%2020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 FILE (2)"/>
      <sheetName val="Contents"/>
      <sheetName val="Trays &amp; Sleeves"/>
      <sheetName val="Case Ref"/>
      <sheetName val="Tray Ref"/>
      <sheetName val="Cutter Ref"/>
      <sheetName val="Pallet Configuration"/>
      <sheetName val="Brand and Category"/>
      <sheetName val="Pass"/>
      <sheetName val="COMMON MASTER"/>
      <sheetName val="Meal Box Tray Allocation"/>
      <sheetName val="Content-Mas"/>
      <sheetName val="changes"/>
    </sheetNames>
    <sheetDataSet>
      <sheetData sheetId="0"/>
      <sheetData sheetId="1"/>
      <sheetData sheetId="2"/>
      <sheetData sheetId="3"/>
      <sheetData sheetId="4">
        <row r="2">
          <cell r="B2" t="str">
            <v>-</v>
          </cell>
        </row>
        <row r="3">
          <cell r="B3" t="str">
            <v>C5-Cav Rnd</v>
          </cell>
        </row>
        <row r="4">
          <cell r="B4" t="str">
            <v>C5 12 CAV Rnd - Clear</v>
          </cell>
        </row>
        <row r="5">
          <cell r="B5" t="str">
            <v>COOK BOX TRAY</v>
          </cell>
        </row>
        <row r="6">
          <cell r="B6" t="str">
            <v>Duo-Pot</v>
          </cell>
        </row>
        <row r="7">
          <cell r="B7" t="str">
            <v xml:space="preserve">SINGLE CAVITY/F145 </v>
          </cell>
        </row>
        <row r="8">
          <cell r="B8" t="str">
            <v xml:space="preserve">SINGLE CAVITY/F145 </v>
          </cell>
        </row>
        <row r="9">
          <cell r="B9" t="str">
            <v>SIX500 ENTRÉE SMALL BLK</v>
          </cell>
        </row>
        <row r="10">
          <cell r="B10" t="str">
            <v>2200-1B</v>
          </cell>
        </row>
        <row r="11">
          <cell r="B11" t="str">
            <v>EVOLVE CPET 2200-2F</v>
          </cell>
        </row>
        <row r="12">
          <cell r="B12" t="str">
            <v>EVOLVE CPET 2200-2B</v>
          </cell>
        </row>
        <row r="13">
          <cell r="B13" t="str">
            <v>EVOLVE CPET 2200-2C</v>
          </cell>
        </row>
        <row r="14">
          <cell r="B14" t="str">
            <v>SC700</v>
          </cell>
        </row>
        <row r="15">
          <cell r="B15" t="str">
            <v>Prepacked</v>
          </cell>
        </row>
        <row r="16">
          <cell r="B16" t="str">
            <v>Trapezoid - Plain</v>
          </cell>
        </row>
        <row r="17">
          <cell r="B17" t="str">
            <v>EVOLVE CPET 2200-1D</v>
          </cell>
        </row>
        <row r="18">
          <cell r="B18" t="str">
            <v>SK4-Split Clear</v>
          </cell>
        </row>
        <row r="19">
          <cell r="B19" t="str">
            <v>EVOLVE CPET 2200-1E</v>
          </cell>
        </row>
        <row r="20">
          <cell r="B20" t="str">
            <v>SK5-Tex</v>
          </cell>
        </row>
        <row r="21">
          <cell r="B21" t="str">
            <v>2OZ DIP POT/LID</v>
          </cell>
        </row>
        <row r="22">
          <cell r="B22" t="str">
            <v>SK4-Plain Clear</v>
          </cell>
        </row>
        <row r="23">
          <cell r="B23" t="str">
            <v>Fajita</v>
          </cell>
        </row>
        <row r="24">
          <cell r="B24" t="str">
            <v>Ind Meal Box</v>
          </cell>
        </row>
        <row r="25">
          <cell r="B25" t="str">
            <v>Ind Meal Box - 1</v>
          </cell>
        </row>
        <row r="26">
          <cell r="B26" t="str">
            <v>Ind Meal Box - 2</v>
          </cell>
        </row>
        <row r="27">
          <cell r="B27" t="str">
            <v>Ind Meal Box for 1</v>
          </cell>
        </row>
        <row r="28">
          <cell r="B28" t="str">
            <v>Bucket 10kg</v>
          </cell>
        </row>
        <row r="29">
          <cell r="B29" t="str">
            <v>Meal Box For 2 H</v>
          </cell>
        </row>
        <row r="30">
          <cell r="B30" t="str">
            <v>Ok Meal Box</v>
          </cell>
        </row>
        <row r="31">
          <cell r="B31" t="str">
            <v>OR Meal Box - 1</v>
          </cell>
        </row>
        <row r="32">
          <cell r="B32" t="str">
            <v>OR Meal Box for 1</v>
          </cell>
        </row>
        <row r="33">
          <cell r="B33" t="str">
            <v>SC109-650-POT</v>
          </cell>
        </row>
        <row r="34">
          <cell r="B34" t="str">
            <v>Tub-Lead</v>
          </cell>
        </row>
        <row r="35">
          <cell r="B35" t="str">
            <v>Lid-Base</v>
          </cell>
        </row>
        <row r="36">
          <cell r="B36" t="str">
            <v>SC17</v>
          </cell>
        </row>
        <row r="37">
          <cell r="B37" t="str">
            <v>Bag/Box</v>
          </cell>
        </row>
        <row r="38">
          <cell r="B38" t="str">
            <v>BLUE BAG 45MU</v>
          </cell>
        </row>
        <row r="39">
          <cell r="B39" t="str">
            <v>C5E CLEAR</v>
          </cell>
        </row>
        <row r="40">
          <cell r="B40" t="str">
            <v>EVOLVE CPET 2171-1F</v>
          </cell>
        </row>
        <row r="41">
          <cell r="B41" t="str">
            <v>EV 2200-1E-FROST</v>
          </cell>
        </row>
        <row r="42">
          <cell r="B42" t="str">
            <v>Trapezoid</v>
          </cell>
        </row>
        <row r="43">
          <cell r="B43" t="str">
            <v>HW308/60-3 X CAV</v>
          </cell>
        </row>
        <row r="44">
          <cell r="B44" t="str">
            <v>HW308/96</v>
          </cell>
        </row>
        <row r="45">
          <cell r="B45" t="str">
            <v>HW308/60</v>
          </cell>
        </row>
        <row r="46">
          <cell r="B46" t="str">
            <v>Pie Tray</v>
          </cell>
        </row>
        <row r="47">
          <cell r="B47" t="str">
            <v>FLAT TRAY</v>
          </cell>
        </row>
        <row r="48">
          <cell r="B48" t="str">
            <v>MEALKIT-EHB</v>
          </cell>
        </row>
        <row r="49">
          <cell r="B49" t="str">
            <v>TB017-180PL</v>
          </cell>
        </row>
        <row r="50">
          <cell r="B50" t="str">
            <v>GRAB &amp; GO SQ</v>
          </cell>
        </row>
        <row r="51">
          <cell r="B51" t="str">
            <v>WRAP TRAY</v>
          </cell>
        </row>
        <row r="52">
          <cell r="B52" t="str">
            <v>597 NATURAL</v>
          </cell>
        </row>
        <row r="53">
          <cell r="B53" t="str">
            <v>SK5-SPLITCL1</v>
          </cell>
        </row>
        <row r="54">
          <cell r="B54" t="str">
            <v>IS CHKN HUT BAG</v>
          </cell>
        </row>
        <row r="55">
          <cell r="B55" t="str">
            <v>B187/45</v>
          </cell>
        </row>
        <row r="56">
          <cell r="B56" t="str">
            <v>B187/60</v>
          </cell>
        </row>
        <row r="57">
          <cell r="B57" t="str">
            <v>554 Natural</v>
          </cell>
        </row>
        <row r="58">
          <cell r="B58" t="str">
            <v>EVOLVE CPET 2200-1D</v>
          </cell>
        </row>
        <row r="59">
          <cell r="B59" t="str">
            <v>C-650</v>
          </cell>
        </row>
        <row r="60">
          <cell r="B60" t="str">
            <v>FW-30-Split</v>
          </cell>
        </row>
        <row r="61">
          <cell r="B61" t="str">
            <v>HW3-50 Div</v>
          </cell>
        </row>
        <row r="62">
          <cell r="B62" t="str">
            <v>SK4-Div</v>
          </cell>
        </row>
        <row r="63">
          <cell r="B63" t="str">
            <v>SK4-Plain</v>
          </cell>
        </row>
        <row r="64">
          <cell r="B64" t="str">
            <v>SK4-Split</v>
          </cell>
        </row>
        <row r="65">
          <cell r="B65" t="str">
            <v>SK5-Split</v>
          </cell>
        </row>
        <row r="66">
          <cell r="B66" t="str">
            <v>Bag/Box</v>
          </cell>
        </row>
        <row r="67">
          <cell r="B67" t="str">
            <v>EVOLVE CPET 2200-1E</v>
          </cell>
        </row>
        <row r="68">
          <cell r="B68" t="str">
            <v>2200-1B</v>
          </cell>
        </row>
        <row r="69">
          <cell r="B69" t="str">
            <v>2200-1B</v>
          </cell>
        </row>
        <row r="70">
          <cell r="B70" t="str">
            <v>H320/60 -CLEAR (596)</v>
          </cell>
        </row>
        <row r="71">
          <cell r="B71" t="str">
            <v>Duo-Pot</v>
          </cell>
        </row>
        <row r="72">
          <cell r="B72" t="str">
            <v>Duo-Pot</v>
          </cell>
        </row>
        <row r="73">
          <cell r="B73" t="str">
            <v>Trapezoid</v>
          </cell>
        </row>
        <row r="74">
          <cell r="B74" t="str">
            <v>Trapezoid</v>
          </cell>
        </row>
        <row r="75">
          <cell r="B75" t="str">
            <v>H3H 50 - CLEAR</v>
          </cell>
        </row>
        <row r="76">
          <cell r="B76" t="str">
            <v>H320/60 -CLEAR (596)</v>
          </cell>
        </row>
        <row r="77">
          <cell r="B77" t="str">
            <v>SK4-CLEAR (C4 CLEAR R-PET)</v>
          </cell>
        </row>
        <row r="78">
          <cell r="B78" t="str">
            <v>EVOLVE CPET 2200-1E</v>
          </cell>
        </row>
        <row r="79">
          <cell r="B79" t="str">
            <v>A-650</v>
          </cell>
        </row>
        <row r="80">
          <cell r="B80" t="str">
            <v>C5-Cav Sqr</v>
          </cell>
        </row>
        <row r="81">
          <cell r="B81" t="str">
            <v>2200-2C</v>
          </cell>
        </row>
        <row r="82">
          <cell r="B82" t="str">
            <v>EVOLVE CPET 2200-1D</v>
          </cell>
        </row>
        <row r="83">
          <cell r="B83" t="str">
            <v>EVOLVE CPET 2200-2F</v>
          </cell>
        </row>
        <row r="84">
          <cell r="B84" t="str">
            <v>EVOLVE CPET 2200-2F</v>
          </cell>
        </row>
        <row r="85">
          <cell r="B85" t="str">
            <v>EVOLVE CPET 2200-2B</v>
          </cell>
        </row>
        <row r="86">
          <cell r="B86" t="str">
            <v>EVOLVE CPET 2200-2B</v>
          </cell>
        </row>
        <row r="87">
          <cell r="B87" t="str">
            <v>EVOLVE CPET 2200-2C</v>
          </cell>
        </row>
        <row r="88">
          <cell r="B88" t="str">
            <v>EVOLVE CPET 2200-2C</v>
          </cell>
        </row>
        <row r="89">
          <cell r="B89" t="str">
            <v>SC700</v>
          </cell>
        </row>
        <row r="90">
          <cell r="B90" t="str">
            <v>2200-2F</v>
          </cell>
        </row>
        <row r="91">
          <cell r="B91" t="str">
            <v>Trapezoid - Plain</v>
          </cell>
        </row>
        <row r="92">
          <cell r="B92" t="str">
            <v>SC700</v>
          </cell>
        </row>
        <row r="93">
          <cell r="B93" t="str">
            <v>H320/100-CLEAR (554)</v>
          </cell>
        </row>
        <row r="94">
          <cell r="B94" t="str">
            <v>H320/100-CLEAR (554)</v>
          </cell>
        </row>
        <row r="95">
          <cell r="B95">
            <v>551</v>
          </cell>
        </row>
        <row r="96">
          <cell r="B96">
            <v>554</v>
          </cell>
        </row>
        <row r="97">
          <cell r="B97">
            <v>596</v>
          </cell>
        </row>
        <row r="98">
          <cell r="B98" t="str">
            <v>2200-1D</v>
          </cell>
        </row>
        <row r="99">
          <cell r="B99" t="str">
            <v>2200-1E</v>
          </cell>
        </row>
        <row r="100">
          <cell r="B100" t="str">
            <v>2200-2B</v>
          </cell>
        </row>
        <row r="101">
          <cell r="B101" t="str">
            <v>SK5-Plain</v>
          </cell>
        </row>
        <row r="102">
          <cell r="B102" t="str">
            <v>H3H 50 - CLEAR</v>
          </cell>
        </row>
        <row r="103">
          <cell r="B103" t="str">
            <v>EVOLVE CPET 2171-1F</v>
          </cell>
        </row>
        <row r="104">
          <cell r="B104" t="str">
            <v>H320/115-CLEAR (554)</v>
          </cell>
        </row>
        <row r="105">
          <cell r="B105" t="str">
            <v>H320/115-CLEAR (554)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3"/>
  <sheetViews>
    <sheetView tabSelected="1" workbookViewId="0">
      <selection activeCell="AE19" sqref="AE19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140625" style="1" customWidth="1"/>
    <col min="12" max="12" width="3.28515625" style="1" customWidth="1"/>
    <col min="13" max="13" width="10" style="1" customWidth="1"/>
    <col min="14" max="14" width="4.5703125" style="1" customWidth="1"/>
    <col min="15" max="15" width="3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11.710937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5" style="1" customWidth="1"/>
    <col min="25" max="25" width="4.140625" style="1" customWidth="1"/>
    <col min="26" max="26" width="5.85546875" style="1" customWidth="1"/>
    <col min="27" max="27" width="11.7109375" style="1" customWidth="1"/>
    <col min="28" max="28" width="9.140625" style="1"/>
    <col min="29" max="29" width="10.7109375" style="1" customWidth="1"/>
    <col min="30" max="16384" width="9.140625" style="1"/>
  </cols>
  <sheetData>
    <row r="1" spans="1:40" ht="15.75" thickTop="1" x14ac:dyDescent="0.25">
      <c r="A1" s="37"/>
      <c r="B1" s="38"/>
      <c r="C1" s="38"/>
      <c r="D1" s="38"/>
      <c r="E1" s="39"/>
      <c r="F1" s="46" t="s">
        <v>4</v>
      </c>
      <c r="G1" s="46"/>
      <c r="H1" s="46"/>
      <c r="I1" s="46"/>
      <c r="J1" s="46"/>
      <c r="K1" s="51"/>
      <c r="L1" s="51" t="s">
        <v>5</v>
      </c>
      <c r="M1" s="53"/>
      <c r="N1" s="51" t="s">
        <v>7</v>
      </c>
      <c r="O1" s="52"/>
      <c r="P1" s="52"/>
      <c r="Q1" s="53"/>
      <c r="R1" s="51" t="s">
        <v>6</v>
      </c>
      <c r="S1" s="52"/>
      <c r="T1" s="52"/>
      <c r="U1" s="52"/>
      <c r="V1" s="52"/>
      <c r="W1" s="52"/>
      <c r="X1" s="53"/>
      <c r="Y1" s="46" t="s">
        <v>9</v>
      </c>
      <c r="Z1" s="46"/>
      <c r="AA1" s="47"/>
    </row>
    <row r="2" spans="1:40" x14ac:dyDescent="0.25">
      <c r="A2" s="40"/>
      <c r="B2" s="41"/>
      <c r="C2" s="41"/>
      <c r="D2" s="41"/>
      <c r="E2" s="42"/>
      <c r="F2" s="63" t="s">
        <v>18</v>
      </c>
      <c r="G2" s="63"/>
      <c r="H2" s="63"/>
      <c r="I2" s="63"/>
      <c r="J2" s="63"/>
      <c r="K2" s="64"/>
      <c r="L2" s="64">
        <v>4</v>
      </c>
      <c r="M2" s="66"/>
      <c r="N2" s="64" t="s">
        <v>19</v>
      </c>
      <c r="O2" s="65"/>
      <c r="P2" s="65"/>
      <c r="Q2" s="66"/>
      <c r="R2" s="54" t="s">
        <v>29</v>
      </c>
      <c r="S2" s="55"/>
      <c r="T2" s="55"/>
      <c r="U2" s="55"/>
      <c r="V2" s="55"/>
      <c r="W2" s="55"/>
      <c r="X2" s="56"/>
      <c r="Y2" s="67" t="s">
        <v>12</v>
      </c>
      <c r="Z2" s="68"/>
      <c r="AA2" s="69"/>
    </row>
    <row r="3" spans="1:40" ht="22.5" customHeight="1" x14ac:dyDescent="0.25">
      <c r="A3" s="40"/>
      <c r="B3" s="41"/>
      <c r="C3" s="41"/>
      <c r="D3" s="41"/>
      <c r="E3" s="42"/>
      <c r="F3" s="75" t="s">
        <v>8</v>
      </c>
      <c r="G3" s="75"/>
      <c r="H3" s="75"/>
      <c r="I3" s="75"/>
      <c r="J3" s="75"/>
      <c r="K3" s="76"/>
      <c r="L3" s="83" t="s">
        <v>22</v>
      </c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5"/>
      <c r="Y3" s="70"/>
      <c r="Z3" s="71"/>
      <c r="AA3" s="72"/>
    </row>
    <row r="4" spans="1:40" ht="28.5" customHeight="1" thickBot="1" x14ac:dyDescent="0.3">
      <c r="A4" s="43" t="s">
        <v>10</v>
      </c>
      <c r="B4" s="44"/>
      <c r="C4" s="44"/>
      <c r="D4" s="44"/>
      <c r="E4" s="45"/>
      <c r="F4" s="48" t="s">
        <v>30</v>
      </c>
      <c r="G4" s="49"/>
      <c r="H4" s="49"/>
      <c r="I4" s="49"/>
      <c r="J4" s="49"/>
      <c r="K4" s="49"/>
      <c r="L4" s="49"/>
      <c r="M4" s="50"/>
      <c r="N4" s="48" t="s">
        <v>14</v>
      </c>
      <c r="O4" s="49"/>
      <c r="P4" s="50"/>
      <c r="Q4" s="34" t="s">
        <v>13</v>
      </c>
      <c r="R4" s="35"/>
      <c r="S4" s="36"/>
      <c r="T4" s="34" t="s">
        <v>25</v>
      </c>
      <c r="U4" s="35"/>
      <c r="V4" s="35"/>
      <c r="W4" s="35"/>
      <c r="X4" s="36"/>
      <c r="Y4" s="73" t="s">
        <v>11</v>
      </c>
      <c r="Z4" s="73"/>
      <c r="AA4" s="74"/>
    </row>
    <row r="5" spans="1:40" ht="6.75" customHeight="1" thickTop="1" x14ac:dyDescent="0.25"/>
    <row r="6" spans="1:40" ht="21" x14ac:dyDescent="0.3">
      <c r="A6" s="77" t="s">
        <v>20</v>
      </c>
      <c r="B6" s="78"/>
      <c r="C6" s="78"/>
      <c r="D6" s="78"/>
      <c r="E6" s="78"/>
      <c r="F6" s="78"/>
      <c r="G6" s="78"/>
      <c r="H6" s="79"/>
      <c r="I6" s="80" t="s">
        <v>21</v>
      </c>
      <c r="J6" s="81"/>
      <c r="K6" s="81"/>
      <c r="L6" s="81"/>
      <c r="M6" s="81"/>
      <c r="N6" s="82"/>
      <c r="O6" s="80" t="s">
        <v>23</v>
      </c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2"/>
    </row>
    <row r="7" spans="1:40" x14ac:dyDescent="0.25">
      <c r="A7" s="7" t="s">
        <v>0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 t="s">
        <v>1</v>
      </c>
      <c r="S7" s="7"/>
      <c r="T7" s="7"/>
      <c r="U7" s="7"/>
      <c r="V7" s="7"/>
      <c r="W7" s="7"/>
      <c r="X7" s="7"/>
      <c r="Y7" s="7"/>
      <c r="Z7" s="7"/>
      <c r="AA7" s="7"/>
      <c r="AC7"/>
    </row>
    <row r="8" spans="1:40" x14ac:dyDescent="0.25">
      <c r="A8" s="62"/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58"/>
      <c r="S8" s="58"/>
      <c r="T8" s="58"/>
      <c r="U8" s="58"/>
      <c r="V8" s="58"/>
      <c r="W8" s="58"/>
      <c r="X8" s="58"/>
      <c r="Y8" s="58"/>
      <c r="Z8" s="58"/>
      <c r="AA8" s="59"/>
    </row>
    <row r="9" spans="1:40" x14ac:dyDescent="0.25">
      <c r="A9" s="62"/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41"/>
      <c r="S9" s="41"/>
      <c r="T9" s="41"/>
      <c r="U9" s="41"/>
      <c r="V9" s="41"/>
      <c r="W9" s="41"/>
      <c r="X9" s="41"/>
      <c r="Y9" s="41"/>
      <c r="Z9" s="41"/>
      <c r="AA9" s="42"/>
      <c r="AF9" s="6"/>
    </row>
    <row r="10" spans="1:40" x14ac:dyDescent="0.25">
      <c r="A10" s="62"/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41"/>
      <c r="S10" s="41"/>
      <c r="T10" s="41"/>
      <c r="U10" s="41"/>
      <c r="V10" s="41"/>
      <c r="W10" s="41"/>
      <c r="X10" s="41"/>
      <c r="Y10" s="41"/>
      <c r="Z10" s="41"/>
      <c r="AA10" s="42"/>
    </row>
    <row r="11" spans="1:40" ht="18.75" x14ac:dyDescent="0.25">
      <c r="A11" s="62"/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41"/>
      <c r="S11" s="41"/>
      <c r="T11" s="41"/>
      <c r="U11" s="41"/>
      <c r="V11" s="41"/>
      <c r="W11" s="41"/>
      <c r="X11" s="41"/>
      <c r="Y11" s="41"/>
      <c r="Z11" s="41"/>
      <c r="AA11" s="42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</row>
    <row r="12" spans="1:40" x14ac:dyDescent="0.25">
      <c r="A12" s="62"/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41"/>
      <c r="S12" s="41"/>
      <c r="T12" s="41"/>
      <c r="U12" s="41"/>
      <c r="V12" s="41"/>
      <c r="W12" s="41"/>
      <c r="X12" s="41"/>
      <c r="Y12" s="41"/>
      <c r="Z12" s="41"/>
      <c r="AA12" s="42"/>
    </row>
    <row r="13" spans="1:40" x14ac:dyDescent="0.25">
      <c r="A13" s="62"/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41"/>
      <c r="S13" s="41"/>
      <c r="T13" s="41"/>
      <c r="U13" s="41"/>
      <c r="V13" s="41"/>
      <c r="W13" s="41"/>
      <c r="X13" s="41"/>
      <c r="Y13" s="41"/>
      <c r="Z13" s="41"/>
      <c r="AA13" s="42"/>
      <c r="AC13" s="3" t="str">
        <f>IFERROR(VLOOKUP(A13,('[1]Tray Ref'!#REF!),15,FALSE),"")</f>
        <v/>
      </c>
    </row>
    <row r="14" spans="1:40" x14ac:dyDescent="0.25">
      <c r="A14" s="62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41"/>
      <c r="S14" s="41"/>
      <c r="T14" s="41"/>
      <c r="U14" s="41"/>
      <c r="V14" s="41"/>
      <c r="W14" s="41"/>
      <c r="X14" s="41"/>
      <c r="Y14" s="41"/>
      <c r="Z14" s="41"/>
      <c r="AA14" s="42"/>
      <c r="AD14"/>
    </row>
    <row r="15" spans="1:40" ht="25.5" customHeight="1" x14ac:dyDescent="0.25">
      <c r="A15" s="62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0"/>
      <c r="S15" s="60"/>
      <c r="T15" s="60"/>
      <c r="U15" s="60"/>
      <c r="V15" s="60"/>
      <c r="W15" s="60"/>
      <c r="X15" s="60"/>
      <c r="Y15" s="60"/>
      <c r="Z15" s="60"/>
      <c r="AA15" s="61"/>
    </row>
    <row r="16" spans="1:40" ht="18" customHeight="1" x14ac:dyDescent="0.25">
      <c r="A16" s="12" t="s">
        <v>17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8" t="s">
        <v>28</v>
      </c>
      <c r="S16" s="8"/>
      <c r="T16" s="8"/>
      <c r="U16" s="8"/>
      <c r="V16" s="8"/>
      <c r="W16" s="8"/>
      <c r="X16" s="8"/>
      <c r="Y16" s="8"/>
      <c r="Z16" s="8"/>
      <c r="AA16" s="9"/>
      <c r="AC16" s="3"/>
    </row>
    <row r="17" spans="1:29" ht="45" customHeight="1" x14ac:dyDescent="0.25">
      <c r="A17" s="13" t="s">
        <v>26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0"/>
      <c r="S17" s="10"/>
      <c r="T17" s="10"/>
      <c r="U17" s="10"/>
      <c r="V17" s="10"/>
      <c r="W17" s="10"/>
      <c r="X17" s="10"/>
      <c r="Y17" s="10"/>
      <c r="Z17" s="10"/>
      <c r="AA17" s="11"/>
      <c r="AC17" s="4"/>
    </row>
    <row r="18" spans="1:29" x14ac:dyDescent="0.25">
      <c r="A18" s="16" t="s">
        <v>2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8"/>
      <c r="M18" s="16" t="s">
        <v>3</v>
      </c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8"/>
      <c r="Y18" s="16"/>
      <c r="Z18" s="17"/>
      <c r="AA18" s="18"/>
    </row>
    <row r="19" spans="1:29" ht="156.75" customHeight="1" x14ac:dyDescent="0.25">
      <c r="A19" s="28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30"/>
      <c r="P19" s="28"/>
      <c r="Q19" s="29"/>
      <c r="R19" s="29"/>
      <c r="S19" s="29"/>
      <c r="T19" s="29"/>
      <c r="U19" s="29"/>
      <c r="V19" s="29"/>
      <c r="W19" s="29"/>
      <c r="X19" s="30"/>
      <c r="Y19" s="19" t="s">
        <v>15</v>
      </c>
      <c r="Z19" s="20"/>
      <c r="AA19" s="21"/>
      <c r="AC19" s="2" t="str">
        <f>IFERROR(VLOOKUP(#REF!,('[1]Tray Ref'!#REF!),18,FALSE),"")</f>
        <v/>
      </c>
    </row>
    <row r="20" spans="1:29" ht="33.75" customHeight="1" x14ac:dyDescent="0.25">
      <c r="A20" s="31" t="s">
        <v>27</v>
      </c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3"/>
      <c r="P20" s="31" t="s">
        <v>24</v>
      </c>
      <c r="Q20" s="32"/>
      <c r="R20" s="32"/>
      <c r="S20" s="32"/>
      <c r="T20" s="32"/>
      <c r="U20" s="32"/>
      <c r="V20" s="32"/>
      <c r="W20" s="32"/>
      <c r="X20" s="33"/>
      <c r="Y20" s="22"/>
      <c r="Z20" s="23"/>
      <c r="AA20" s="24"/>
    </row>
    <row r="21" spans="1:29" ht="20.25" hidden="1" customHeight="1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25"/>
      <c r="Z21" s="26"/>
      <c r="AA21" s="27"/>
    </row>
    <row r="22" spans="1:29" ht="12.75" customHeight="1" x14ac:dyDescent="0.25">
      <c r="A22" s="15" t="s">
        <v>16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</row>
    <row r="23" spans="1:29" ht="8.25" customHeight="1" x14ac:dyDescent="0.2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</row>
  </sheetData>
  <mergeCells count="39">
    <mergeCell ref="AD11:AN11"/>
    <mergeCell ref="R8:AA15"/>
    <mergeCell ref="A8:Q15"/>
    <mergeCell ref="F1:K1"/>
    <mergeCell ref="F2:K2"/>
    <mergeCell ref="N2:Q2"/>
    <mergeCell ref="L2:M2"/>
    <mergeCell ref="N1:Q1"/>
    <mergeCell ref="L1:M1"/>
    <mergeCell ref="Y2:AA3"/>
    <mergeCell ref="Y4:AA4"/>
    <mergeCell ref="F3:K3"/>
    <mergeCell ref="A6:H6"/>
    <mergeCell ref="I6:N6"/>
    <mergeCell ref="O6:AA6"/>
    <mergeCell ref="L3:X3"/>
    <mergeCell ref="T4:X4"/>
    <mergeCell ref="A1:E3"/>
    <mergeCell ref="A4:E4"/>
    <mergeCell ref="Y1:AA1"/>
    <mergeCell ref="F4:M4"/>
    <mergeCell ref="N4:P4"/>
    <mergeCell ref="Q4:S4"/>
    <mergeCell ref="R1:X1"/>
    <mergeCell ref="R2:X2"/>
    <mergeCell ref="A22:AA23"/>
    <mergeCell ref="A18:L18"/>
    <mergeCell ref="M18:X18"/>
    <mergeCell ref="Y19:AA21"/>
    <mergeCell ref="Y18:AA18"/>
    <mergeCell ref="A19:O19"/>
    <mergeCell ref="P19:X19"/>
    <mergeCell ref="A20:O20"/>
    <mergeCell ref="P20:X20"/>
    <mergeCell ref="A7:Q7"/>
    <mergeCell ref="R7:AA7"/>
    <mergeCell ref="R16:AA17"/>
    <mergeCell ref="A16:Q16"/>
    <mergeCell ref="A17:Q17"/>
  </mergeCells>
  <conditionalFormatting sqref="AC16">
    <cfRule type="duplicateValues" dxfId="0" priority="1"/>
  </conditionalFormatting>
  <dataValidations count="1">
    <dataValidation type="list" allowBlank="1" showInputMessage="1" showErrorMessage="1" sqref="AC17" xr:uid="{89554131-6852-407B-BC4C-AF72BC5A14E5}">
      <formula1>Tray_Ref</formula1>
    </dataValidation>
  </dataValidations>
  <pageMargins left="0.23622047244094491" right="0.23622047244094491" top="0.35433070866141736" bottom="0.35433070866141736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 - Gazebo Fine Foods</cp:lastModifiedBy>
  <cp:lastPrinted>2026-05-21T17:11:56Z</cp:lastPrinted>
  <dcterms:created xsi:type="dcterms:W3CDTF">2018-08-01T08:42:18Z</dcterms:created>
  <dcterms:modified xsi:type="dcterms:W3CDTF">2026-07-31T15:52:56Z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b48c2413-58d2-4c26-bffd-1710b462082b</vt:lpwstr>
  </property>
</Properties>
</file>