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6A46F5B9-DFCC-4A21-BCFD-FC6D12531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" i="1" l="1"/>
  <c r="AC13" i="1" l="1"/>
</calcChain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<sst xmlns="http://schemas.openxmlformats.org/spreadsheetml/2006/main" count="31" uniqueCount="31">
  <si>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</si>
  <si>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</si>
  <si>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</si>
  <si>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</si>
  <si>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</si>
  <si>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</si>
  <si>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</si>
  <si>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</si>
  <si>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</si>
  <si>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</si>
  <si>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</si>
  <si>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</si>
  <si>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</si>
  <si>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Previous Issue Date</t>
  </si>
  <si>
    <t>Page 1 of 1</t>
  </si>
  <si>
    <t>Total Weight 
1020g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</si>
  <si>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</si>
  <si>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</si>
  <si>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Tray: HW308/60 - 3 CAVITY TRANS - 352X246X60 - (PKESS001-10)</t>
  </si>
  <si>
    <t>GFF560MC</t>
  </si>
  <si>
    <t>17.04.2026</t>
  </si>
  <si>
    <t>New doc</t>
  </si>
  <si>
    <t>N/A</t>
  </si>
  <si>
    <t xml:space="preserve">New Doc </t>
  </si>
  <si>
    <t>CINSC4-B36X2T</t>
  </si>
  <si>
    <t xml:space="preserve">Gazebo- Morrison </t>
  </si>
  <si>
    <t>36 Indian Selection  1020g</t>
  </si>
  <si>
    <t xml:space="preserve">36 Indian Selection  1020G   </t>
  </si>
  <si>
    <t>12 x Vegetable Pakora Cocktail : 30g (GFF122R)</t>
  </si>
  <si>
    <t>12 x Vegetable Samosas 25g (GFF003R)</t>
  </si>
  <si>
    <t>12 x Onion Bhaji Cocktail 30G-(RMSRI001-02)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</si>
</sst>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987a4c1f-f696-4656-b737-41c061036da0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419100</xdr:colOff>
      <xdr:row>7</xdr:row>
      <xdr:rowOff>133350</xdr:rowOff>
    </xdr:from>
    <xdr:to>
      <xdr:col>12</xdr:col>
      <xdr:colOff>190499</xdr:colOff>
      <xdr:row>11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1762125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304799</xdr:colOff>
      <xdr:row>7</xdr:row>
      <xdr:rowOff>142876</xdr:rowOff>
    </xdr:from>
    <xdr:to>
      <xdr:col>14</xdr:col>
      <xdr:colOff>66672</xdr:colOff>
      <xdr:row>11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4" y="1771651"/>
          <a:ext cx="733423" cy="733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10</xdr:col>
      <xdr:colOff>666750</xdr:colOff>
      <xdr:row>11</xdr:row>
      <xdr:rowOff>171450</xdr:rowOff>
    </xdr:from>
    <xdr:to>
      <xdr:col>16</xdr:col>
      <xdr:colOff>0</xdr:colOff>
      <xdr:row>14</xdr:row>
      <xdr:rowOff>247650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057525" y="2609850"/>
          <a:ext cx="18383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0</xdr:col>
      <xdr:colOff>28578</xdr:colOff>
      <xdr:row>7</xdr:row>
      <xdr:rowOff>66676</xdr:rowOff>
    </xdr:from>
    <xdr:to>
      <xdr:col>8</xdr:col>
      <xdr:colOff>76203</xdr:colOff>
      <xdr:row>14</xdr:row>
      <xdr:rowOff>285749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252417" y="1471612"/>
          <a:ext cx="1600198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57149</xdr:colOff>
      <xdr:row>7</xdr:row>
      <xdr:rowOff>18097</xdr:rowOff>
    </xdr:from>
    <xdr:to>
      <xdr:col>23</xdr:col>
      <xdr:colOff>180975</xdr:colOff>
      <xdr:row>14</xdr:row>
      <xdr:rowOff>428629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5C19CD-4199-3C3B-B698-5C5AD0CAAF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013" r="2726" b="15391"/>
        <a:stretch>
          <a:fillRect/>
        </a:stretch>
      </xdr:blipFill>
      <xdr:spPr bwMode="auto">
        <a:xfrm rot="5400000">
          <a:off x="5700233" y="1337788"/>
          <a:ext cx="1791657" cy="2409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18</xdr:row>
      <xdr:rowOff>57150</xdr:rowOff>
    </xdr:from>
    <xdr:to>
      <xdr:col>10</xdr:col>
      <xdr:colOff>645687</xdr:colOff>
      <xdr:row>18</xdr:row>
      <xdr:rowOff>2267495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77F480E-9A81-8D81-B4C9-4A6A6806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" y="4248150"/>
          <a:ext cx="3007887" cy="2210345"/>
        </a:xfrm>
        <a:prstGeom prst="rect">
          <a:avLst/>
        </a:prstGeom>
      </xdr:spPr>
    </xdr:pic>
    <xdr:clientData/>
  </xdr:twoCellAnchor>
  <xdr:twoCellAnchor editAs="oneCell">
    <xdr:from>
      <xdr:col>14</xdr:col>
      <xdr:colOff>123825</xdr:colOff>
      <xdr:row>18</xdr:row>
      <xdr:rowOff>105997</xdr:rowOff>
    </xdr:from>
    <xdr:to>
      <xdr:col>22</xdr:col>
      <xdr:colOff>161925</xdr:colOff>
      <xdr:row>19</xdr:row>
      <xdr:rowOff>37693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DD73B9A-C73D-470E-6904-EBB38456A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247" t="2381" b="-298"/>
        <a:stretch>
          <a:fillRect/>
        </a:stretch>
      </xdr:blipFill>
      <xdr:spPr>
        <a:xfrm>
          <a:off x="4514850" y="4296997"/>
          <a:ext cx="2857500" cy="2265321"/>
        </a:xfrm>
        <a:prstGeom prst="rect">
          <a:avLst/>
        </a:prstGeom>
      </xdr:spPr>
    </xdr:pic>
    <xdr:clientData/>
  </xdr:twoCellAnchor>
  <xdr:twoCellAnchor>
    <xdr:from>
      <xdr:col>23</xdr:col>
      <xdr:colOff>209550</xdr:colOff>
      <xdr:row>8</xdr:row>
      <xdr:rowOff>161925</xdr:rowOff>
    </xdr:from>
    <xdr:to>
      <xdr:col>26</xdr:col>
      <xdr:colOff>533400</xdr:colOff>
      <xdr:row>12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CCE8D9D-B573-4266-9D23-B5C6A32916F4}"/>
            </a:ext>
          </a:extLst>
        </xdr:cNvPr>
        <xdr:cNvSpPr/>
      </xdr:nvSpPr>
      <xdr:spPr>
        <a:xfrm>
          <a:off x="7829550" y="1981200"/>
          <a:ext cx="1323975" cy="6477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Onion Bhaji 30g-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INDIAN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"/>
  <sheetViews>
    <sheetView tabSelected="1" workbookViewId="0">
      <selection activeCell="AC7" sqref="AC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0" ht="15.75" thickTop="1" x14ac:dyDescent="0.25">
      <c r="A1" s="44"/>
      <c r="B1" s="45"/>
      <c r="C1" s="45"/>
      <c r="D1" s="45"/>
      <c r="E1" s="46"/>
      <c r="F1" s="14" t="s">
        <v>4</v>
      </c>
      <c r="G1" s="14"/>
      <c r="H1" s="14"/>
      <c r="I1" s="14"/>
      <c r="J1" s="14"/>
      <c r="K1" s="15"/>
      <c r="L1" s="15" t="s">
        <v>5</v>
      </c>
      <c r="M1" s="21"/>
      <c r="N1" s="15" t="s">
        <v>7</v>
      </c>
      <c r="O1" s="20"/>
      <c r="P1" s="20"/>
      <c r="Q1" s="21"/>
      <c r="R1" s="15" t="s">
        <v>6</v>
      </c>
      <c r="S1" s="20"/>
      <c r="T1" s="20"/>
      <c r="U1" s="20"/>
      <c r="V1" s="20"/>
      <c r="W1" s="20"/>
      <c r="X1" s="21"/>
      <c r="Y1" s="14" t="s">
        <v>9</v>
      </c>
      <c r="Z1" s="14"/>
      <c r="AA1" s="51"/>
    </row>
    <row r="2" spans="1:40" x14ac:dyDescent="0.25">
      <c r="A2" s="47"/>
      <c r="B2" s="9"/>
      <c r="C2" s="9"/>
      <c r="D2" s="9"/>
      <c r="E2" s="10"/>
      <c r="F2" s="16" t="s">
        <v>19</v>
      </c>
      <c r="G2" s="16"/>
      <c r="H2" s="16"/>
      <c r="I2" s="16"/>
      <c r="J2" s="16"/>
      <c r="K2" s="17"/>
      <c r="L2" s="17">
        <v>1</v>
      </c>
      <c r="M2" s="19"/>
      <c r="N2" s="17" t="s">
        <v>20</v>
      </c>
      <c r="O2" s="18"/>
      <c r="P2" s="18"/>
      <c r="Q2" s="19"/>
      <c r="R2" s="55" t="s">
        <v>21</v>
      </c>
      <c r="S2" s="56"/>
      <c r="T2" s="56"/>
      <c r="U2" s="56"/>
      <c r="V2" s="56"/>
      <c r="W2" s="56"/>
      <c r="X2" s="57"/>
      <c r="Y2" s="22" t="s">
        <v>12</v>
      </c>
      <c r="Z2" s="23"/>
      <c r="AA2" s="24"/>
    </row>
    <row r="3" spans="1:40" ht="22.5" customHeight="1" x14ac:dyDescent="0.25">
      <c r="A3" s="47"/>
      <c r="B3" s="9"/>
      <c r="C3" s="9"/>
      <c r="D3" s="9"/>
      <c r="E3" s="10"/>
      <c r="F3" s="30" t="s">
        <v>8</v>
      </c>
      <c r="G3" s="30"/>
      <c r="H3" s="30"/>
      <c r="I3" s="30"/>
      <c r="J3" s="30"/>
      <c r="K3" s="31"/>
      <c r="L3" s="38" t="s">
        <v>26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5"/>
      <c r="Z3" s="26"/>
      <c r="AA3" s="27"/>
    </row>
    <row r="4" spans="1:40" ht="28.5" customHeight="1" thickBot="1" x14ac:dyDescent="0.3">
      <c r="A4" s="48" t="s">
        <v>10</v>
      </c>
      <c r="B4" s="49"/>
      <c r="C4" s="49"/>
      <c r="D4" s="49"/>
      <c r="E4" s="50"/>
      <c r="F4" s="52" t="s">
        <v>23</v>
      </c>
      <c r="G4" s="53"/>
      <c r="H4" s="53"/>
      <c r="I4" s="53"/>
      <c r="J4" s="53"/>
      <c r="K4" s="53"/>
      <c r="L4" s="53"/>
      <c r="M4" s="54"/>
      <c r="N4" s="52" t="s">
        <v>14</v>
      </c>
      <c r="O4" s="53"/>
      <c r="P4" s="54"/>
      <c r="Q4" s="41" t="s">
        <v>13</v>
      </c>
      <c r="R4" s="42"/>
      <c r="S4" s="43"/>
      <c r="T4" s="41" t="s">
        <v>22</v>
      </c>
      <c r="U4" s="42"/>
      <c r="V4" s="42"/>
      <c r="W4" s="42"/>
      <c r="X4" s="43"/>
      <c r="Y4" s="28" t="s">
        <v>11</v>
      </c>
      <c r="Z4" s="28"/>
      <c r="AA4" s="29"/>
    </row>
    <row r="5" spans="1:40" ht="6.75" customHeight="1" thickTop="1" x14ac:dyDescent="0.25"/>
    <row r="6" spans="1:40" ht="21" x14ac:dyDescent="0.3">
      <c r="A6" s="32" t="s">
        <v>24</v>
      </c>
      <c r="B6" s="33"/>
      <c r="C6" s="33"/>
      <c r="D6" s="33"/>
      <c r="E6" s="33"/>
      <c r="F6" s="33"/>
      <c r="G6" s="33"/>
      <c r="H6" s="34"/>
      <c r="I6" s="35" t="s">
        <v>25</v>
      </c>
      <c r="J6" s="36"/>
      <c r="K6" s="36"/>
      <c r="L6" s="36"/>
      <c r="M6" s="36"/>
      <c r="N6" s="37"/>
      <c r="O6" s="35" t="s">
        <v>27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7"/>
    </row>
    <row r="7" spans="1:40" x14ac:dyDescent="0.25">
      <c r="A7" s="83" t="s">
        <v>0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 t="s">
        <v>1</v>
      </c>
      <c r="S7" s="83"/>
      <c r="T7" s="83"/>
      <c r="U7" s="83"/>
      <c r="V7" s="83"/>
      <c r="W7" s="83"/>
      <c r="X7" s="83"/>
      <c r="Y7" s="83"/>
      <c r="Z7" s="83"/>
      <c r="AA7" s="83"/>
      <c r="AC7"/>
    </row>
    <row r="8" spans="1:4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7"/>
      <c r="S8" s="7"/>
      <c r="T8" s="7"/>
      <c r="U8" s="7"/>
      <c r="V8" s="7"/>
      <c r="W8" s="7"/>
      <c r="X8" s="7"/>
      <c r="Y8" s="7"/>
      <c r="Z8" s="7"/>
      <c r="AA8" s="8"/>
    </row>
    <row r="9" spans="1:4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4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40" ht="18.75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9"/>
      <c r="S11" s="9"/>
      <c r="T11" s="9"/>
      <c r="U11" s="9"/>
      <c r="V11" s="9"/>
      <c r="W11" s="9"/>
      <c r="X11" s="9"/>
      <c r="Y11" s="9"/>
      <c r="Z11" s="9"/>
      <c r="AA11" s="10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4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9"/>
      <c r="S13" s="9"/>
      <c r="T13" s="9"/>
      <c r="U13" s="9"/>
      <c r="V13" s="9"/>
      <c r="W13" s="9"/>
      <c r="X13" s="9"/>
      <c r="Y13" s="9"/>
      <c r="Z13" s="9"/>
      <c r="AA13" s="10"/>
      <c r="AC13" s="3" t="str">
        <f>IFERROR(VLOOKUP(A13,('[1]Tray Ref'!#REF!),15,FALSE),"")</f>
        <v/>
      </c>
    </row>
    <row r="14" spans="1:4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9"/>
      <c r="S14" s="9"/>
      <c r="T14" s="9"/>
      <c r="U14" s="9"/>
      <c r="V14" s="9"/>
      <c r="W14" s="9"/>
      <c r="X14" s="9"/>
      <c r="Y14" s="9"/>
      <c r="Z14" s="9"/>
      <c r="AA14" s="10"/>
      <c r="AD14"/>
    </row>
    <row r="15" spans="1:40" ht="36.7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1"/>
      <c r="S15" s="11"/>
      <c r="T15" s="11"/>
      <c r="U15" s="11"/>
      <c r="V15" s="11"/>
      <c r="W15" s="11"/>
      <c r="X15" s="11"/>
      <c r="Y15" s="11"/>
      <c r="Z15" s="11"/>
      <c r="AA15" s="12"/>
    </row>
    <row r="16" spans="1:40" ht="18" customHeight="1" x14ac:dyDescent="0.25">
      <c r="A16" s="84" t="s">
        <v>18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78" t="s">
        <v>30</v>
      </c>
      <c r="S16" s="78"/>
      <c r="T16" s="78"/>
      <c r="U16" s="78"/>
      <c r="V16" s="78"/>
      <c r="W16" s="78"/>
      <c r="X16" s="78"/>
      <c r="Y16" s="78"/>
      <c r="Z16" s="78"/>
      <c r="AA16" s="79"/>
      <c r="AC16" s="3"/>
    </row>
    <row r="17" spans="1:29" ht="23.25" customHeight="1" x14ac:dyDescent="0.25">
      <c r="A17" s="85" t="s">
        <v>16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1"/>
      <c r="S17" s="81"/>
      <c r="T17" s="81"/>
      <c r="U17" s="81"/>
      <c r="V17" s="81"/>
      <c r="W17" s="81"/>
      <c r="X17" s="81"/>
      <c r="Y17" s="81"/>
      <c r="Z17" s="81"/>
      <c r="AA17" s="82"/>
      <c r="AC17" s="4"/>
    </row>
    <row r="18" spans="1:29" x14ac:dyDescent="0.25">
      <c r="A18" s="59" t="s">
        <v>2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1"/>
      <c r="M18" s="59" t="s">
        <v>3</v>
      </c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1"/>
      <c r="Y18" s="59"/>
      <c r="Z18" s="60"/>
      <c r="AA18" s="61"/>
    </row>
    <row r="19" spans="1:29" ht="183.75" customHeight="1" x14ac:dyDescent="0.25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4"/>
      <c r="M19" s="62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4"/>
      <c r="Y19" s="65" t="s">
        <v>15</v>
      </c>
      <c r="Z19" s="66"/>
      <c r="AA19" s="67"/>
      <c r="AC19" s="2" t="str">
        <f>IFERROR(VLOOKUP(#REF!,('[1]Tray Ref'!#REF!),18,FALSE),"")</f>
        <v/>
      </c>
    </row>
    <row r="20" spans="1:29" ht="28.5" customHeight="1" x14ac:dyDescent="0.25">
      <c r="A20" s="74" t="s">
        <v>29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6"/>
      <c r="M20" s="77" t="s">
        <v>28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9"/>
      <c r="Y20" s="68"/>
      <c r="Z20" s="69"/>
      <c r="AA20" s="70"/>
    </row>
    <row r="21" spans="1:29" ht="20.25" hidden="1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80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2"/>
      <c r="Y21" s="71"/>
      <c r="Z21" s="72"/>
      <c r="AA21" s="73"/>
    </row>
    <row r="22" spans="1:29" ht="12.75" customHeight="1" x14ac:dyDescent="0.25">
      <c r="A22" s="58" t="s">
        <v>17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29" ht="8.25" customHeight="1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</sheetData>
  <mergeCells count="39">
    <mergeCell ref="A7:Q7"/>
    <mergeCell ref="R7:AA7"/>
    <mergeCell ref="R16:AA17"/>
    <mergeCell ref="A16:Q16"/>
    <mergeCell ref="A17:Q17"/>
    <mergeCell ref="A22:AA23"/>
    <mergeCell ref="A18:L18"/>
    <mergeCell ref="M18:X18"/>
    <mergeCell ref="A19:L19"/>
    <mergeCell ref="M19:X19"/>
    <mergeCell ref="Y19:AA21"/>
    <mergeCell ref="Y18:AA18"/>
    <mergeCell ref="A20:L20"/>
    <mergeCell ref="M20:X21"/>
    <mergeCell ref="T4:X4"/>
    <mergeCell ref="A1:E3"/>
    <mergeCell ref="A4:E4"/>
    <mergeCell ref="Y1:AA1"/>
    <mergeCell ref="F4:M4"/>
    <mergeCell ref="N4:P4"/>
    <mergeCell ref="Q4:S4"/>
    <mergeCell ref="R1:X1"/>
    <mergeCell ref="R2:X2"/>
    <mergeCell ref="AD11:AN11"/>
    <mergeCell ref="R8:AA15"/>
    <mergeCell ref="A8:Q15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2026-04-28T12:20:03Z</cp:lastPrinted>
  <dcterms:created xsi:type="dcterms:W3CDTF">2018-08-01T08:42:18Z</dcterms:created>
  <dcterms:modified xsi:type="dcterms:W3CDTF">2026-04-28T12:40:20Z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