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46429327-4211-46F6-9FB8-9147E507E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1" l="1"/>
  <c r="AC13" i="1" l="1"/>
</calcChain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<sst xmlns="http://schemas.openxmlformats.org/spreadsheetml/2006/main" count="31" uniqueCount="31">
  <si>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</si>
  <si>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</si>
  <si>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</si>
  <si>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</si>
  <si>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</si>
  <si>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</si>
  <si>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</si>
  <si>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</si>
  <si>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</si>
  <si>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</si>
  <si>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</si>
  <si>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</si>
  <si>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</si>
  <si>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</si>
  <si>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</si>
  <si>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t>Total Weight 
1020g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</si>
  <si>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</si>
  <si>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</si>
  <si>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GFF560MC</t>
  </si>
  <si>
    <t>17.04.2026</t>
  </si>
  <si>
    <t>CINSC4-B36X2T</t>
  </si>
  <si>
    <t xml:space="preserve">Gazebo- Morrison </t>
  </si>
  <si>
    <t>36 Indian Selection  1020g</t>
  </si>
  <si>
    <t xml:space="preserve">36 Indian Selection  1020G   </t>
  </si>
  <si>
    <t>12 x Vegetable Pakora Cocktail : 30g (GFF122R)</t>
  </si>
  <si>
    <t>12 x Vegetable Samosas 25g (GFF003R)</t>
  </si>
  <si>
    <t>12 x Onion Bhaji Cocktail 30G-(RMSRI001-02)</t>
  </si>
  <si>
    <t>21.05.2026</t>
  </si>
  <si>
    <t>29.06.2026</t>
  </si>
  <si>
    <t>Film: 25mu Weld Seal Mono PET Film(340mm x 1000lm)-(PKCLI001-04)- Clifton Packaging</t>
  </si>
  <si>
    <t>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</si>
</sst>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987a4c1f-f696-4656-b737-41c061036da0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7</xdr:row>
      <xdr:rowOff>161925</xdr:rowOff>
    </xdr:from>
    <xdr:to>
      <xdr:col>12</xdr:col>
      <xdr:colOff>104774</xdr:colOff>
      <xdr:row>11</xdr:row>
      <xdr:rowOff>66675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743075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304799</xdr:colOff>
      <xdr:row>7</xdr:row>
      <xdr:rowOff>142876</xdr:rowOff>
    </xdr:from>
    <xdr:to>
      <xdr:col>14</xdr:col>
      <xdr:colOff>66672</xdr:colOff>
      <xdr:row>11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4" y="1771651"/>
          <a:ext cx="733423" cy="733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12</xdr:row>
      <xdr:rowOff>9525</xdr:rowOff>
    </xdr:from>
    <xdr:to>
      <xdr:col>16</xdr:col>
      <xdr:colOff>333375</xdr:colOff>
      <xdr:row>14</xdr:row>
      <xdr:rowOff>257175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390900" y="2590800"/>
          <a:ext cx="1838325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10</xdr:col>
      <xdr:colOff>161925</xdr:colOff>
      <xdr:row>12</xdr:row>
      <xdr:rowOff>142875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552700" y="27241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1</xdr:col>
      <xdr:colOff>4</xdr:colOff>
      <xdr:row>7</xdr:row>
      <xdr:rowOff>57152</xdr:rowOff>
    </xdr:from>
    <xdr:to>
      <xdr:col>9</xdr:col>
      <xdr:colOff>85729</xdr:colOff>
      <xdr:row>14</xdr:row>
      <xdr:rowOff>276225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52443" y="1414463"/>
          <a:ext cx="1600198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161924</xdr:colOff>
      <xdr:row>7</xdr:row>
      <xdr:rowOff>66678</xdr:rowOff>
    </xdr:from>
    <xdr:to>
      <xdr:col>23</xdr:col>
      <xdr:colOff>142875</xdr:colOff>
      <xdr:row>14</xdr:row>
      <xdr:rowOff>314329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5C19CD-4199-3C3B-B698-5C5AD0CAA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77" r="2726" b="15391"/>
        <a:stretch>
          <a:fillRect/>
        </a:stretch>
      </xdr:blipFill>
      <xdr:spPr bwMode="auto">
        <a:xfrm rot="5400000">
          <a:off x="5815012" y="1328740"/>
          <a:ext cx="1628776" cy="226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104776</xdr:colOff>
      <xdr:row>18</xdr:row>
      <xdr:rowOff>49899</xdr:rowOff>
    </xdr:from>
    <xdr:to>
      <xdr:col>10</xdr:col>
      <xdr:colOff>571501</xdr:colOff>
      <xdr:row>18</xdr:row>
      <xdr:rowOff>1981745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77F480E-9A81-8D81-B4C9-4A6A6806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6" y="4450449"/>
          <a:ext cx="2628900" cy="1931846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18</xdr:row>
      <xdr:rowOff>39134</xdr:rowOff>
    </xdr:from>
    <xdr:to>
      <xdr:col>20</xdr:col>
      <xdr:colOff>161925</xdr:colOff>
      <xdr:row>18</xdr:row>
      <xdr:rowOff>1972208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D73B9A-C73D-470E-6904-EBB38456A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247" t="2381" b="-298"/>
        <a:stretch>
          <a:fillRect/>
        </a:stretch>
      </xdr:blipFill>
      <xdr:spPr>
        <a:xfrm>
          <a:off x="4448175" y="4439684"/>
          <a:ext cx="2438400" cy="1933074"/>
        </a:xfrm>
        <a:prstGeom prst="rect">
          <a:avLst/>
        </a:prstGeom>
      </xdr:spPr>
    </xdr:pic>
    <xdr:clientData/>
  </xdr:twoCellAnchor>
  <xdr:twoCellAnchor>
    <xdr:from>
      <xdr:col>24</xdr:col>
      <xdr:colOff>28575</xdr:colOff>
      <xdr:row>8</xdr:row>
      <xdr:rowOff>161925</xdr:rowOff>
    </xdr:from>
    <xdr:to>
      <xdr:col>26</xdr:col>
      <xdr:colOff>666750</xdr:colOff>
      <xdr:row>12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CE8D9D-B573-4266-9D23-B5C6A32916F4}"/>
            </a:ext>
          </a:extLst>
        </xdr:cNvPr>
        <xdr:cNvSpPr/>
      </xdr:nvSpPr>
      <xdr:spPr>
        <a:xfrm>
          <a:off x="7981950" y="1933575"/>
          <a:ext cx="1304925" cy="6477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Onion Bhaji 30g-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Meal Box Tray Allocation"/>
      <sheetName val="Content-Mas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 xml:space="preserve">SINGLE CAVITY/F145 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>2200-1B</v>
          </cell>
        </row>
        <row r="20">
          <cell r="B20" t="str">
            <v>SK5-Tex</v>
          </cell>
        </row>
        <row r="21">
          <cell r="B21" t="str">
            <v>Tub-Lead</v>
          </cell>
        </row>
        <row r="22">
          <cell r="B22" t="str">
            <v>2OZ DIP POT/LID</v>
          </cell>
        </row>
        <row r="23">
          <cell r="B23" t="str">
            <v>SC109-650-POT</v>
          </cell>
        </row>
        <row r="24">
          <cell r="B24" t="str">
            <v>OR Meal Box for 1</v>
          </cell>
        </row>
        <row r="25">
          <cell r="B25" t="str">
            <v>OR Meal Box - 1</v>
          </cell>
        </row>
        <row r="26">
          <cell r="B26" t="str">
            <v>Ok Meal Box</v>
          </cell>
        </row>
        <row r="27">
          <cell r="B27" t="str">
            <v>Meal Box For 2 H</v>
          </cell>
        </row>
        <row r="28">
          <cell r="B28" t="str">
            <v>Bucket 10kg</v>
          </cell>
        </row>
        <row r="29">
          <cell r="B29" t="str">
            <v>Lid-Base</v>
          </cell>
        </row>
        <row r="30">
          <cell r="B30" t="str">
            <v>SK4-Plain Clear</v>
          </cell>
        </row>
        <row r="31">
          <cell r="B31" t="str">
            <v>Ind Meal Box for 1</v>
          </cell>
        </row>
        <row r="32">
          <cell r="B32" t="str">
            <v>Fajita</v>
          </cell>
        </row>
        <row r="33">
          <cell r="B33" t="str">
            <v>Ind Meal Box - 2</v>
          </cell>
        </row>
        <row r="34">
          <cell r="B34" t="str">
            <v>Ind Meal Box - 1</v>
          </cell>
        </row>
        <row r="35">
          <cell r="B35" t="str">
            <v>Ind Meal Box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B187/45</v>
          </cell>
        </row>
        <row r="56">
          <cell r="B56" t="str">
            <v>B187/60</v>
          </cell>
        </row>
        <row r="57">
          <cell r="B57" t="str">
            <v>EVOLVE CPET 2200-1E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2200-1B</v>
          </cell>
        </row>
        <row r="68">
          <cell r="B68" t="str">
            <v>H320/60 -CLEAR (596)</v>
          </cell>
        </row>
        <row r="69">
          <cell r="B69" t="str">
            <v>Duo-Pot</v>
          </cell>
        </row>
        <row r="70">
          <cell r="B70" t="str">
            <v>Duo-Pot</v>
          </cell>
        </row>
        <row r="71">
          <cell r="B71" t="str">
            <v>Trapezoid</v>
          </cell>
        </row>
        <row r="72">
          <cell r="B72" t="str">
            <v>Trapezoid</v>
          </cell>
        </row>
        <row r="73">
          <cell r="B73" t="str">
            <v>H3H 50 - CLEAR</v>
          </cell>
        </row>
        <row r="74">
          <cell r="B74" t="str">
            <v>H320/60 -CLEAR (596)</v>
          </cell>
        </row>
        <row r="75">
          <cell r="B75" t="str">
            <v>SK4-CLEAR (C4 CLEAR R-PET)</v>
          </cell>
        </row>
        <row r="76">
          <cell r="B76" t="str">
            <v>2200-1B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2200-2B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2200-2C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2200-1D</v>
          </cell>
        </row>
        <row r="100">
          <cell r="B100" t="str">
            <v>2200-1E</v>
          </cell>
        </row>
        <row r="101">
          <cell r="B101" t="str">
            <v>H3H 50 - CLEAR</v>
          </cell>
        </row>
        <row r="102">
          <cell r="B102" t="str">
            <v>EVOLVE CPET 2171-1F</v>
          </cell>
        </row>
        <row r="103">
          <cell r="B103" t="str">
            <v>H320/115-CLEAR (554)</v>
          </cell>
        </row>
        <row r="104">
          <cell r="B104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workbookViewId="0">
      <selection activeCell="AH16" sqref="AH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0" ht="15.75" thickTop="1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2"/>
      <c r="N1" s="16" t="s">
        <v>7</v>
      </c>
      <c r="O1" s="21"/>
      <c r="P1" s="21"/>
      <c r="Q1" s="22"/>
      <c r="R1" s="16" t="s">
        <v>6</v>
      </c>
      <c r="S1" s="21"/>
      <c r="T1" s="21"/>
      <c r="U1" s="21"/>
      <c r="V1" s="21"/>
      <c r="W1" s="21"/>
      <c r="X1" s="22"/>
      <c r="Y1" s="15" t="s">
        <v>9</v>
      </c>
      <c r="Z1" s="15"/>
      <c r="AA1" s="52"/>
    </row>
    <row r="2" spans="1:40" x14ac:dyDescent="0.25">
      <c r="A2" s="48"/>
      <c r="B2" s="10"/>
      <c r="C2" s="10"/>
      <c r="D2" s="10"/>
      <c r="E2" s="11"/>
      <c r="F2" s="17" t="s">
        <v>18</v>
      </c>
      <c r="G2" s="17"/>
      <c r="H2" s="17"/>
      <c r="I2" s="17"/>
      <c r="J2" s="17"/>
      <c r="K2" s="18"/>
      <c r="L2" s="18">
        <v>3</v>
      </c>
      <c r="M2" s="20"/>
      <c r="N2" s="18" t="s">
        <v>19</v>
      </c>
      <c r="O2" s="19"/>
      <c r="P2" s="19"/>
      <c r="Q2" s="20"/>
      <c r="R2" s="56" t="s">
        <v>28</v>
      </c>
      <c r="S2" s="57"/>
      <c r="T2" s="57"/>
      <c r="U2" s="57"/>
      <c r="V2" s="57"/>
      <c r="W2" s="57"/>
      <c r="X2" s="58"/>
      <c r="Y2" s="23" t="s">
        <v>12</v>
      </c>
      <c r="Z2" s="24"/>
      <c r="AA2" s="25"/>
    </row>
    <row r="3" spans="1:40" ht="22.5" customHeight="1" x14ac:dyDescent="0.25">
      <c r="A3" s="48"/>
      <c r="B3" s="10"/>
      <c r="C3" s="10"/>
      <c r="D3" s="10"/>
      <c r="E3" s="11"/>
      <c r="F3" s="31" t="s">
        <v>8</v>
      </c>
      <c r="G3" s="31"/>
      <c r="H3" s="31"/>
      <c r="I3" s="31"/>
      <c r="J3" s="31"/>
      <c r="K3" s="32"/>
      <c r="L3" s="39" t="s">
        <v>22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26"/>
      <c r="Z3" s="27"/>
      <c r="AA3" s="28"/>
    </row>
    <row r="4" spans="1:40" ht="28.5" customHeight="1" thickBot="1" x14ac:dyDescent="0.3">
      <c r="A4" s="49" t="s">
        <v>10</v>
      </c>
      <c r="B4" s="50"/>
      <c r="C4" s="50"/>
      <c r="D4" s="50"/>
      <c r="E4" s="51"/>
      <c r="F4" s="53" t="s">
        <v>30</v>
      </c>
      <c r="G4" s="54"/>
      <c r="H4" s="54"/>
      <c r="I4" s="54"/>
      <c r="J4" s="54"/>
      <c r="K4" s="54"/>
      <c r="L4" s="54"/>
      <c r="M4" s="55"/>
      <c r="N4" s="53" t="s">
        <v>14</v>
      </c>
      <c r="O4" s="54"/>
      <c r="P4" s="55"/>
      <c r="Q4" s="42" t="s">
        <v>13</v>
      </c>
      <c r="R4" s="43"/>
      <c r="S4" s="44"/>
      <c r="T4" s="42" t="s">
        <v>27</v>
      </c>
      <c r="U4" s="43"/>
      <c r="V4" s="43"/>
      <c r="W4" s="43"/>
      <c r="X4" s="44"/>
      <c r="Y4" s="29" t="s">
        <v>11</v>
      </c>
      <c r="Z4" s="29"/>
      <c r="AA4" s="30"/>
    </row>
    <row r="5" spans="1:40" ht="6.75" customHeight="1" thickTop="1" x14ac:dyDescent="0.25"/>
    <row r="6" spans="1:40" ht="21" x14ac:dyDescent="0.3">
      <c r="A6" s="33" t="s">
        <v>20</v>
      </c>
      <c r="B6" s="34"/>
      <c r="C6" s="34"/>
      <c r="D6" s="34"/>
      <c r="E6" s="34"/>
      <c r="F6" s="34"/>
      <c r="G6" s="34"/>
      <c r="H6" s="35"/>
      <c r="I6" s="36" t="s">
        <v>21</v>
      </c>
      <c r="J6" s="37"/>
      <c r="K6" s="37"/>
      <c r="L6" s="37"/>
      <c r="M6" s="37"/>
      <c r="N6" s="38"/>
      <c r="O6" s="36" t="s">
        <v>23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</row>
    <row r="7" spans="1:40" x14ac:dyDescent="0.25">
      <c r="A7" s="84" t="s">
        <v>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 t="s">
        <v>1</v>
      </c>
      <c r="S7" s="84"/>
      <c r="T7" s="84"/>
      <c r="U7" s="84"/>
      <c r="V7" s="84"/>
      <c r="W7" s="84"/>
      <c r="X7" s="84"/>
      <c r="Y7" s="84"/>
      <c r="Z7" s="84"/>
      <c r="AA7" s="84"/>
      <c r="AC7"/>
    </row>
    <row r="8" spans="1:40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40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0"/>
      <c r="S9" s="10"/>
      <c r="T9" s="10"/>
      <c r="U9" s="10"/>
      <c r="V9" s="10"/>
      <c r="W9" s="10"/>
      <c r="X9" s="10"/>
      <c r="Y9" s="10"/>
      <c r="Z9" s="10"/>
      <c r="AA9" s="11"/>
      <c r="AF9" s="6"/>
    </row>
    <row r="10" spans="1:40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40" ht="18.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0"/>
      <c r="S11" s="10"/>
      <c r="T11" s="10"/>
      <c r="U11" s="10"/>
      <c r="V11" s="10"/>
      <c r="W11" s="10"/>
      <c r="X11" s="10"/>
      <c r="Y11" s="10"/>
      <c r="Z11" s="10"/>
      <c r="AA11" s="11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40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0"/>
      <c r="S13" s="10"/>
      <c r="T13" s="10"/>
      <c r="U13" s="10"/>
      <c r="V13" s="10"/>
      <c r="W13" s="10"/>
      <c r="X13" s="10"/>
      <c r="Y13" s="10"/>
      <c r="Z13" s="10"/>
      <c r="AA13" s="11"/>
      <c r="AC13" s="3" t="str">
        <f>IFERROR(VLOOKUP(A13,('[1]Tray Ref'!#REF!),15,FALSE),"")</f>
        <v/>
      </c>
    </row>
    <row r="14" spans="1:40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0"/>
      <c r="S14" s="10"/>
      <c r="T14" s="10"/>
      <c r="U14" s="10"/>
      <c r="V14" s="10"/>
      <c r="W14" s="10"/>
      <c r="X14" s="10"/>
      <c r="Y14" s="10"/>
      <c r="Z14" s="10"/>
      <c r="AA14" s="11"/>
      <c r="AD14"/>
    </row>
    <row r="15" spans="1:40" ht="25.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40" ht="18" customHeight="1" x14ac:dyDescent="0.25">
      <c r="A16" s="85" t="s">
        <v>17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79" t="s">
        <v>26</v>
      </c>
      <c r="S16" s="79"/>
      <c r="T16" s="79"/>
      <c r="U16" s="79"/>
      <c r="V16" s="79"/>
      <c r="W16" s="79"/>
      <c r="X16" s="79"/>
      <c r="Y16" s="79"/>
      <c r="Z16" s="79"/>
      <c r="AA16" s="80"/>
      <c r="AC16" s="3"/>
    </row>
    <row r="17" spans="1:29" ht="45" customHeight="1" x14ac:dyDescent="0.25">
      <c r="A17" s="87" t="s">
        <v>29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2"/>
      <c r="S17" s="82"/>
      <c r="T17" s="82"/>
      <c r="U17" s="82"/>
      <c r="V17" s="82"/>
      <c r="W17" s="82"/>
      <c r="X17" s="82"/>
      <c r="Y17" s="82"/>
      <c r="Z17" s="82"/>
      <c r="AA17" s="83"/>
      <c r="AC17" s="4"/>
    </row>
    <row r="18" spans="1:29" x14ac:dyDescent="0.25">
      <c r="A18" s="60" t="s">
        <v>2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  <c r="M18" s="60" t="s">
        <v>3</v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2"/>
      <c r="Y18" s="60"/>
      <c r="Z18" s="61"/>
      <c r="AA18" s="62"/>
    </row>
    <row r="19" spans="1:29" ht="156.7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  <c r="M19" s="63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5"/>
      <c r="Y19" s="66" t="s">
        <v>15</v>
      </c>
      <c r="Z19" s="67"/>
      <c r="AA19" s="68"/>
      <c r="AC19" s="2" t="str">
        <f>IFERROR(VLOOKUP(#REF!,('[1]Tray Ref'!#REF!),18,FALSE),"")</f>
        <v/>
      </c>
    </row>
    <row r="20" spans="1:29" ht="28.5" customHeight="1" x14ac:dyDescent="0.25">
      <c r="A20" s="75" t="s">
        <v>25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7"/>
      <c r="M20" s="78" t="s">
        <v>24</v>
      </c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80"/>
      <c r="Y20" s="69"/>
      <c r="Z20" s="70"/>
      <c r="AA20" s="71"/>
    </row>
    <row r="21" spans="1:29" ht="20.25" hidden="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1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3"/>
      <c r="Y21" s="72"/>
      <c r="Z21" s="73"/>
      <c r="AA21" s="74"/>
    </row>
    <row r="22" spans="1:29" ht="12.75" customHeight="1" x14ac:dyDescent="0.25">
      <c r="A22" s="59" t="s">
        <v>16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1:29" ht="8.25" customHeight="1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</sheetData>
  <mergeCells count="39">
    <mergeCell ref="A7:Q7"/>
    <mergeCell ref="R7:AA7"/>
    <mergeCell ref="R16:AA17"/>
    <mergeCell ref="A16:Q16"/>
    <mergeCell ref="A17:Q17"/>
    <mergeCell ref="A22:AA23"/>
    <mergeCell ref="A18:L18"/>
    <mergeCell ref="M18:X18"/>
    <mergeCell ref="A19:L19"/>
    <mergeCell ref="M19:X19"/>
    <mergeCell ref="Y19:AA21"/>
    <mergeCell ref="Y18:AA18"/>
    <mergeCell ref="A20:L20"/>
    <mergeCell ref="M20:X21"/>
    <mergeCell ref="T4:X4"/>
    <mergeCell ref="A1:E3"/>
    <mergeCell ref="A4:E4"/>
    <mergeCell ref="Y1:AA1"/>
    <mergeCell ref="F4:M4"/>
    <mergeCell ref="N4:P4"/>
    <mergeCell ref="Q4:S4"/>
    <mergeCell ref="R1:X1"/>
    <mergeCell ref="R2:X2"/>
    <mergeCell ref="AD11:AN11"/>
    <mergeCell ref="R8:AA15"/>
    <mergeCell ref="A8:Q15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2026-05-21T17:11:56Z</cp:lastPrinted>
  <dcterms:created xsi:type="dcterms:W3CDTF">2018-08-01T08:42:18Z</dcterms:created>
  <dcterms:modified xsi:type="dcterms:W3CDTF">2026-06-30T15:09:50Z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