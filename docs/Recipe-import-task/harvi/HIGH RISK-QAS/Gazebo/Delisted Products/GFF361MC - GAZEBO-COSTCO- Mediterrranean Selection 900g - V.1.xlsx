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A251D349-944F-448A-88F6-B5875D537E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definedNames>
    <definedName name="Tray_Ref">'[1]Tray Ref'!$B$2:$B$1048576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C19" i="1" l="1"/>
  <c r="AC13" i="1"/>
</calcChain>
</file>

<file path=xl/sharedStrings.xml><?xml version="1.0" encoding="utf-8"?>
<sst xmlns="http://schemas.openxmlformats.org/spreadsheetml/2006/main" count="31" uniqueCount="30">
  <si>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</si>
  <si>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</si>
  <si>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</si>
  <si>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</si>
  <si>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</si>
  <si>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</si>
  <si>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</si>
  <si>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</si>
  <si>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</si>
  <si>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Authorised By</t>
  </si>
  <si>
    <t>Document amendments reason for change</t>
  </si>
  <si>
    <t>Uncontrolled copy unless signed original</t>
  </si>
  <si>
    <t>Magda Shah</t>
  </si>
  <si>
    <t>COSTCO</t>
  </si>
  <si>
    <t>Previous Issue Date</t>
  </si>
  <si>
    <t>Page 1 of 1</t>
  </si>
  <si>
    <t>GFF361MC</t>
  </si>
  <si>
    <t>New Issue</t>
  </si>
  <si>
    <t>24 Mediterranean Selection  900g</t>
  </si>
  <si>
    <t>New launch</t>
  </si>
  <si>
    <t>CMEDPC-B24X8T</t>
  </si>
  <si>
    <t>24 Mediterranean Selection  900g    |  CHILLED</t>
  </si>
  <si>
    <t>Total Weight 
900g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</si>
  <si>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Milk, Wheat (Gluten), Soya</t>
    </r>
  </si>
  <si>
    <r>
      <t xml:space="preserve">Film: </t>
    </r>
    <r>
      <rPr>
        <sz val="12"/>
        <color theme="1"/>
        <rFont val="Calibri"/>
        <family val="2"/>
        <scheme val="minor"/>
      </rPr>
      <t>K Peel RPSM 25µm (340mmX1000lmm) (PKKMP001-05)</t>
    </r>
  </si>
  <si>
    <r>
      <rPr>
        <b/>
        <sz val="14"/>
        <color theme="1"/>
        <rFont val="Calibri"/>
        <family val="2"/>
        <scheme val="minor"/>
      </rPr>
      <t>Packaging: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Tray 3 cavity HW308/60  Transparent (PKLEE001-08)</t>
    </r>
  </si>
  <si>
    <r>
      <rPr>
        <b/>
        <sz val="20"/>
        <color theme="1"/>
        <rFont val="Calibri"/>
        <family val="2"/>
        <scheme val="minor"/>
      </rPr>
      <t>8</t>
    </r>
    <r>
      <rPr>
        <b/>
        <sz val="16"/>
        <color theme="1"/>
        <rFont val="Calibri"/>
        <family val="2"/>
        <scheme val="minor"/>
      </rPr>
      <t xml:space="preserve"> x Spinach &amp; Feta Rolls (GFF422R)  3</t>
    </r>
    <r>
      <rPr>
        <b/>
        <sz val="16"/>
        <rFont val="Calibri"/>
        <family val="2"/>
        <scheme val="minor"/>
      </rPr>
      <t>0g</t>
    </r>
    <r>
      <rPr>
        <b/>
        <sz val="16"/>
        <color theme="1"/>
        <rFont val="Calibri"/>
        <family val="2"/>
        <scheme val="minor"/>
      </rPr>
      <t xml:space="preserve">  |  </t>
    </r>
    <r>
      <rPr>
        <b/>
        <sz val="22"/>
        <color theme="1"/>
        <rFont val="Calibri"/>
        <family val="2"/>
        <scheme val="minor"/>
      </rPr>
      <t>240g</t>
    </r>
  </si>
  <si>
    <r>
      <rPr>
        <b/>
        <sz val="22"/>
        <color theme="1"/>
        <rFont val="Calibri"/>
        <family val="2"/>
        <scheme val="minor"/>
      </rPr>
      <t>8</t>
    </r>
    <r>
      <rPr>
        <b/>
        <sz val="14"/>
        <color theme="1"/>
        <rFont val="Calibri"/>
        <family val="2"/>
        <scheme val="minor"/>
      </rPr>
      <t xml:space="preserve"> x Lamb Potato Chaps 42.5g </t>
    </r>
    <r>
      <rPr>
        <sz val="14"/>
        <color theme="1"/>
        <rFont val="Calibri"/>
        <family val="2"/>
        <scheme val="minor"/>
      </rPr>
      <t xml:space="preserve">(GFF423R)   |  </t>
    </r>
    <r>
      <rPr>
        <b/>
        <sz val="20"/>
        <color theme="1"/>
        <rFont val="Calibri"/>
        <family val="2"/>
        <scheme val="minor"/>
      </rPr>
      <t xml:space="preserve"> 340g</t>
    </r>
  </si>
  <si>
    <r>
      <rPr>
        <b/>
        <sz val="20"/>
        <color theme="1"/>
        <rFont val="Calibri"/>
        <family val="2"/>
        <scheme val="minor"/>
      </rPr>
      <t>8</t>
    </r>
    <r>
      <rPr>
        <b/>
        <sz val="14"/>
        <color theme="1"/>
        <rFont val="Calibri"/>
        <family val="2"/>
        <scheme val="minor"/>
      </rPr>
      <t xml:space="preserve"> x Broad Bean Bites 40g 
</t>
    </r>
    <r>
      <rPr>
        <sz val="14"/>
        <color theme="1"/>
        <rFont val="Calibri"/>
        <family val="2"/>
        <scheme val="minor"/>
      </rPr>
      <t xml:space="preserve">(GFF424R)   |   </t>
    </r>
    <r>
      <rPr>
        <b/>
        <sz val="18"/>
        <color theme="1"/>
        <rFont val="Calibri"/>
        <family val="2"/>
        <scheme val="minor"/>
      </rPr>
      <t xml:space="preserve"> 320g</t>
    </r>
  </si>
  <si>
    <t>27.06.2022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</si>
</sst>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2" borderId="0" xfId="0" applyFill="1"/>
    <xf numFmtId="0" fontId="0" fillId="2" borderId="7" xfId="0" applyFill="1" applyBorder="1"/>
    <xf numFmtId="0" fontId="0" fillId="2" borderId="11" xfId="0" applyFill="1" applyBorder="1"/>
    <xf numFmtId="0" fontId="7" fillId="0" borderId="0" xfId="0" applyFont="1" applyAlignment="1">
      <alignment vertical="center"/>
    </xf>
    <xf numFmtId="1" fontId="9" fillId="2" borderId="0" xfId="0" applyNumberFormat="1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23" xfId="0" applyFont="1" applyFill="1" applyBorder="1" applyAlignment="1">
      <alignment horizontal="center" wrapText="1"/>
    </xf>
    <xf numFmtId="0" fontId="4" fillId="2" borderId="24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wrapText="1"/>
    </xf>
    <xf numFmtId="0" fontId="4" fillId="2" borderId="16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left" vertical="top" wrapText="1"/>
    </xf>
    <xf numFmtId="0" fontId="6" fillId="2" borderId="3" xfId="0" applyFont="1" applyFill="1" applyBorder="1" applyAlignment="1">
      <alignment horizontal="left" vertical="top" wrapText="1"/>
    </xf>
    <xf numFmtId="0" fontId="6" fillId="2" borderId="4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14" fillId="2" borderId="2" xfId="0" applyFont="1" applyFill="1" applyBorder="1" applyAlignment="1">
      <alignment horizontal="center"/>
    </xf>
    <xf numFmtId="0" fontId="14" fillId="2" borderId="3" xfId="0" applyFont="1" applyFill="1" applyBorder="1" applyAlignment="1">
      <alignment horizontal="center"/>
    </xf>
    <xf numFmtId="0" fontId="14" fillId="2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 wrapText="1"/>
    </xf>
    <xf numFmtId="0" fontId="4" fillId="2" borderId="28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emf"/><Relationship Id="rId7" Type="http://schemas.openxmlformats.org/officeDocument/2006/relationships/image" Target="../media/image7.jpe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304800</xdr:colOff>
      <xdr:row>8</xdr:row>
      <xdr:rowOff>9525</xdr:rowOff>
    </xdr:from>
    <xdr:to>
      <xdr:col>12</xdr:col>
      <xdr:colOff>9927</xdr:colOff>
      <xdr:row>11</xdr:row>
      <xdr:rowOff>95250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98504AC-4EFC-40EE-8500-2704C7DBC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95575" y="1781175"/>
          <a:ext cx="733827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57150</xdr:colOff>
      <xdr:row>8</xdr:row>
      <xdr:rowOff>9525</xdr:rowOff>
    </xdr:from>
    <xdr:to>
      <xdr:col>13</xdr:col>
      <xdr:colOff>190499</xdr:colOff>
      <xdr:row>11</xdr:row>
      <xdr:rowOff>104775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73C95A1-6D23-4B95-86EF-04EEC1496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6625" y="1800225"/>
          <a:ext cx="800099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752475</xdr:colOff>
      <xdr:row>12</xdr:row>
      <xdr:rowOff>28576</xdr:rowOff>
    </xdr:from>
    <xdr:to>
      <xdr:col>12</xdr:col>
      <xdr:colOff>304801</xdr:colOff>
      <xdr:row>14</xdr:row>
      <xdr:rowOff>228602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23230CD-96D6-4CA8-97EC-B9328952F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0" y="2628901"/>
          <a:ext cx="581026" cy="5810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152400</xdr:colOff>
      <xdr:row>0</xdr:row>
      <xdr:rowOff>38101</xdr:rowOff>
    </xdr:from>
    <xdr:to>
      <xdr:col>4</xdr:col>
      <xdr:colOff>114300</xdr:colOff>
      <xdr:row>2</xdr:row>
      <xdr:rowOff>314326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AF7AB763-F519-4A38-8929-F05B648B0888}"/>
            </a:ext>
          </a:extLst>
        </xdr:cNvPr>
        <xdr:cNvPicPr/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38101"/>
          <a:ext cx="1133475" cy="666750"/>
        </a:xfrm>
        <a:prstGeom prst="rect">
          <a:avLst/>
        </a:prstGeom>
        <a:noFill/>
      </xdr:spPr>
    </xdr:pic>
    <xdr:clientData/>
  </xdr:twoCellAnchor>
  <xdr:twoCellAnchor editAs="oneCell">
    <xdr:from>
      <xdr:col>17</xdr:col>
      <xdr:colOff>266701</xdr:colOff>
      <xdr:row>18</xdr:row>
      <xdr:rowOff>47626</xdr:rowOff>
    </xdr:from>
    <xdr:to>
      <xdr:col>23</xdr:col>
      <xdr:colOff>247650</xdr:colOff>
      <xdr:row>26</xdr:row>
      <xdr:rowOff>298690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36D92B87-8BA6-30FC-5C22-21BE9208C5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1" y="4267201"/>
          <a:ext cx="2266949" cy="17750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238126</xdr:colOff>
      <xdr:row>7</xdr:row>
      <xdr:rowOff>47625</xdr:rowOff>
    </xdr:from>
    <xdr:to>
      <xdr:col>22</xdr:col>
      <xdr:colOff>400051</xdr:colOff>
      <xdr:row>14</xdr:row>
      <xdr:rowOff>225999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65DDF67B-4815-304F-4D3F-87CDE53A2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72126" y="1647825"/>
          <a:ext cx="2038350" cy="15594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76201</xdr:colOff>
      <xdr:row>18</xdr:row>
      <xdr:rowOff>66675</xdr:rowOff>
    </xdr:from>
    <xdr:to>
      <xdr:col>10</xdr:col>
      <xdr:colOff>733426</xdr:colOff>
      <xdr:row>26</xdr:row>
      <xdr:rowOff>300648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35A86B96-F6AA-B6EB-8AA9-C889E6EF0A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1" y="4286250"/>
          <a:ext cx="2247900" cy="17579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133350</xdr:colOff>
      <xdr:row>7</xdr:row>
      <xdr:rowOff>38100</xdr:rowOff>
    </xdr:from>
    <xdr:to>
      <xdr:col>10</xdr:col>
      <xdr:colOff>129346</xdr:colOff>
      <xdr:row>14</xdr:row>
      <xdr:rowOff>260362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33A4A3-E7AC-6083-2F16-FE54356F22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61950" y="1724025"/>
          <a:ext cx="2158171" cy="16033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ZEBOSVR01\Database\Product%20Database\MASTER%20PRODUCT\MASTER%20PRODUCT%20FILE%2020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FILE (2)"/>
      <sheetName val="Contents"/>
      <sheetName val="Trays &amp; Sleeves"/>
      <sheetName val="Case Ref"/>
      <sheetName val="Tray Ref"/>
      <sheetName val="Cutter Ref"/>
      <sheetName val="Pallet Configuration"/>
      <sheetName val="Brand and Category"/>
      <sheetName val="Pass"/>
      <sheetName val="Content-Mas"/>
      <sheetName val="Meal Box Tray Allocation"/>
      <sheetName val="changes"/>
      <sheetName val="MASTER PRODUCT FILE 2015"/>
    </sheetNames>
    <sheetDataSet>
      <sheetData sheetId="0"/>
      <sheetData sheetId="1"/>
      <sheetData sheetId="2"/>
      <sheetData sheetId="3"/>
      <sheetData sheetId="4">
        <row r="2">
          <cell r="B2" t="str">
            <v>-</v>
          </cell>
        </row>
        <row r="3">
          <cell r="B3" t="str">
            <v>2OZ DIP POT/LID</v>
          </cell>
        </row>
        <row r="4">
          <cell r="B4" t="str">
            <v>Bucket 10kg</v>
          </cell>
        </row>
        <row r="5">
          <cell r="B5" t="str">
            <v>Fajita</v>
          </cell>
        </row>
        <row r="6">
          <cell r="B6" t="str">
            <v>Ind Meal Box</v>
          </cell>
        </row>
        <row r="7">
          <cell r="B7" t="str">
            <v>Ind Meal Box - 1</v>
          </cell>
        </row>
        <row r="8">
          <cell r="B8" t="str">
            <v>Ind Meal Box - 2</v>
          </cell>
        </row>
        <row r="9">
          <cell r="B9" t="str">
            <v>Ind Meal Box for 1</v>
          </cell>
        </row>
        <row r="10">
          <cell r="B10" t="str">
            <v>Lid-Base</v>
          </cell>
        </row>
        <row r="11">
          <cell r="B11" t="str">
            <v>Meal Box For 2 H</v>
          </cell>
        </row>
        <row r="12">
          <cell r="B12" t="str">
            <v>Ok Meal Box</v>
          </cell>
        </row>
        <row r="13">
          <cell r="B13" t="str">
            <v>OR Meal Box - 1</v>
          </cell>
        </row>
        <row r="14">
          <cell r="B14" t="str">
            <v>OR Meal Box for 1</v>
          </cell>
        </row>
        <row r="15">
          <cell r="B15" t="str">
            <v>SC109-650-POT</v>
          </cell>
        </row>
        <row r="16">
          <cell r="B16" t="str">
            <v>Tub-Lead</v>
          </cell>
        </row>
        <row r="17">
          <cell r="B17" t="str">
            <v>SK5-Tex</v>
          </cell>
        </row>
        <row r="18">
          <cell r="B18" t="str">
            <v>SK4-Plain Clear</v>
          </cell>
        </row>
        <row r="19">
          <cell r="B19" t="str">
            <v>SK4-Split Clear</v>
          </cell>
        </row>
        <row r="20">
          <cell r="B20" t="str">
            <v>SIX500 ENTRÉE SMALL BLK</v>
          </cell>
        </row>
        <row r="21">
          <cell r="B21" t="str">
            <v>C5-Cav Rnd</v>
          </cell>
        </row>
        <row r="22">
          <cell r="B22" t="str">
            <v>SK4-CLEAR (C4 CLEAR R-PET)</v>
          </cell>
        </row>
        <row r="23">
          <cell r="B23" t="str">
            <v>C5 12 CAV Rnd - Clear</v>
          </cell>
        </row>
        <row r="24">
          <cell r="B24" t="str">
            <v>COOK BOX TRAY</v>
          </cell>
        </row>
        <row r="25">
          <cell r="B25" t="str">
            <v>Duo-Pot</v>
          </cell>
        </row>
        <row r="26">
          <cell r="B26" t="str">
            <v xml:space="preserve">SINGLE CAVITY/F145 </v>
          </cell>
        </row>
        <row r="27">
          <cell r="B27" t="str">
            <v xml:space="preserve">SINGLE CAVITY/F145 </v>
          </cell>
        </row>
        <row r="28">
          <cell r="B28" t="str">
            <v>H320/60 -CLEAR (596)</v>
          </cell>
        </row>
        <row r="29">
          <cell r="B29" t="str">
            <v>H3H 50 - CLEAR</v>
          </cell>
        </row>
        <row r="30">
          <cell r="B30" t="str">
            <v>2200-1B</v>
          </cell>
        </row>
        <row r="31">
          <cell r="B31" t="str">
            <v>EVOLVE CPET 2200-1E</v>
          </cell>
        </row>
        <row r="32">
          <cell r="B32" t="str">
            <v>EVOLVE CPET 2200-1D</v>
          </cell>
        </row>
        <row r="33">
          <cell r="B33" t="str">
            <v>EVOLVE CPET 2200-2F</v>
          </cell>
        </row>
        <row r="34">
          <cell r="B34" t="str">
            <v>EVOLVE CPET 2200-2B</v>
          </cell>
        </row>
        <row r="35">
          <cell r="B35" t="str">
            <v>EVOLVE CPET 2200-2C</v>
          </cell>
        </row>
        <row r="36">
          <cell r="B36" t="str">
            <v>SC700</v>
          </cell>
        </row>
        <row r="37">
          <cell r="B37" t="str">
            <v>SC17</v>
          </cell>
        </row>
        <row r="38">
          <cell r="B38" t="str">
            <v>Prepacked</v>
          </cell>
        </row>
        <row r="39">
          <cell r="B39" t="str">
            <v>Bag/Box</v>
          </cell>
        </row>
        <row r="40">
          <cell r="B40" t="str">
            <v>BLUE BAG 45MU</v>
          </cell>
        </row>
        <row r="41">
          <cell r="B41" t="str">
            <v>Trapezoid - Plain</v>
          </cell>
        </row>
        <row r="42">
          <cell r="B42" t="str">
            <v>C5E CLEAR</v>
          </cell>
        </row>
        <row r="43">
          <cell r="B43" t="str">
            <v>H320/115-CLEAR (554)</v>
          </cell>
        </row>
        <row r="44">
          <cell r="B44" t="str">
            <v>H320/115-CLEAR (554)</v>
          </cell>
        </row>
        <row r="45">
          <cell r="B45" t="str">
            <v>EVOLVE CPET 2171-1F</v>
          </cell>
        </row>
        <row r="46">
          <cell r="B46" t="str">
            <v>EV 2200-1E-FROST</v>
          </cell>
        </row>
        <row r="47">
          <cell r="B47" t="str">
            <v>Trapezoid</v>
          </cell>
        </row>
        <row r="48">
          <cell r="B48" t="str">
            <v>Trapezoid</v>
          </cell>
        </row>
        <row r="49">
          <cell r="B49" t="str">
            <v>Trapezoid</v>
          </cell>
        </row>
        <row r="50">
          <cell r="B50" t="str">
            <v>Duo-Pot</v>
          </cell>
        </row>
        <row r="51">
          <cell r="B51" t="str">
            <v>Duo-Pot</v>
          </cell>
        </row>
        <row r="52">
          <cell r="B52" t="str">
            <v>H320/60 -CLEAR (596)</v>
          </cell>
        </row>
        <row r="53">
          <cell r="B53" t="str">
            <v>H3H 50 - CLEAR</v>
          </cell>
        </row>
        <row r="54">
          <cell r="B54" t="str">
            <v>2200-1B</v>
          </cell>
        </row>
        <row r="55">
          <cell r="B55" t="str">
            <v>2200-1B</v>
          </cell>
        </row>
        <row r="56">
          <cell r="B56" t="str">
            <v>EVOLVE CPET 2200-1E</v>
          </cell>
        </row>
        <row r="57">
          <cell r="B57" t="str">
            <v>EVOLVE CPET 2200-1E</v>
          </cell>
        </row>
        <row r="58">
          <cell r="B58" t="str">
            <v>EVOLVE CPET 2200-1D</v>
          </cell>
        </row>
        <row r="59">
          <cell r="B59" t="str">
            <v>EVOLVE CPET 2200-1D</v>
          </cell>
        </row>
        <row r="60">
          <cell r="B60" t="str">
            <v>EVOLVE CPET 2200-2F</v>
          </cell>
        </row>
        <row r="61">
          <cell r="B61" t="str">
            <v>EVOLVE CPET 2200-2F</v>
          </cell>
        </row>
        <row r="62">
          <cell r="B62" t="str">
            <v>EVOLVE CPET 2200-2B</v>
          </cell>
        </row>
        <row r="63">
          <cell r="B63" t="str">
            <v>EVOLVE CPET 2200-2B</v>
          </cell>
        </row>
        <row r="64">
          <cell r="B64" t="str">
            <v>EVOLVE CPET 2200-2C</v>
          </cell>
        </row>
        <row r="65">
          <cell r="B65" t="str">
            <v>EVOLVE CPET 2200-2C</v>
          </cell>
        </row>
        <row r="66">
          <cell r="B66" t="str">
            <v>SC700</v>
          </cell>
        </row>
        <row r="67">
          <cell r="B67" t="str">
            <v>SC700</v>
          </cell>
        </row>
        <row r="68">
          <cell r="B68" t="str">
            <v>Trapezoid - Plain</v>
          </cell>
        </row>
        <row r="69">
          <cell r="B69" t="str">
            <v>SK5-Plain</v>
          </cell>
        </row>
        <row r="70">
          <cell r="B70" t="str">
            <v>H320/100-CLEAR (554)</v>
          </cell>
        </row>
        <row r="71">
          <cell r="B71" t="str">
            <v>H320/100-CLEAR (554)</v>
          </cell>
        </row>
        <row r="72">
          <cell r="B72">
            <v>551</v>
          </cell>
        </row>
        <row r="73">
          <cell r="B73">
            <v>554</v>
          </cell>
        </row>
        <row r="74">
          <cell r="B74">
            <v>596</v>
          </cell>
        </row>
        <row r="75">
          <cell r="B75" t="str">
            <v>2200-1D</v>
          </cell>
        </row>
        <row r="76">
          <cell r="B76" t="str">
            <v>2200-1E</v>
          </cell>
        </row>
        <row r="77">
          <cell r="B77" t="str">
            <v>2200-2B</v>
          </cell>
        </row>
        <row r="78">
          <cell r="B78" t="str">
            <v>2200-2C</v>
          </cell>
        </row>
        <row r="79">
          <cell r="B79" t="str">
            <v>2200-2F</v>
          </cell>
        </row>
        <row r="80">
          <cell r="B80" t="str">
            <v>A-650</v>
          </cell>
        </row>
        <row r="81">
          <cell r="B81" t="str">
            <v>C5-Cav Sqr</v>
          </cell>
        </row>
        <row r="82">
          <cell r="B82" t="str">
            <v>C-650</v>
          </cell>
        </row>
        <row r="83">
          <cell r="B83" t="str">
            <v>FW-30-Split</v>
          </cell>
        </row>
        <row r="84">
          <cell r="B84" t="str">
            <v>HW3-50 Div</v>
          </cell>
        </row>
        <row r="85">
          <cell r="B85" t="str">
            <v>SK4-Div</v>
          </cell>
        </row>
        <row r="86">
          <cell r="B86" t="str">
            <v>SK4-Plain</v>
          </cell>
        </row>
        <row r="87">
          <cell r="B87" t="str">
            <v>SK4-Split</v>
          </cell>
        </row>
        <row r="88">
          <cell r="B88" t="str">
            <v>SK5-Split</v>
          </cell>
        </row>
        <row r="89">
          <cell r="B89" t="str">
            <v>Bag/Box</v>
          </cell>
        </row>
        <row r="90">
          <cell r="B90" t="str">
            <v>EVOLVE CPET 2171-1F</v>
          </cell>
        </row>
        <row r="91">
          <cell r="B91" t="str">
            <v>HW308/60-3 X CAV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2"/>
  <sheetViews>
    <sheetView tabSelected="1" workbookViewId="0">
      <selection activeCell="AD4" sqref="AD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10" style="1" customWidth="1"/>
    <col min="14" max="14" width="4.5703125" style="1" customWidth="1"/>
    <col min="15" max="15" width="3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5" style="1" customWidth="1"/>
    <col min="25" max="25" width="4.140625" style="1" customWidth="1"/>
    <col min="26" max="26" width="5.85546875" style="1" customWidth="1"/>
    <col min="27" max="27" width="11.7109375" style="1" customWidth="1"/>
    <col min="28" max="28" width="9.140625" style="1"/>
    <col min="29" max="29" width="10.7109375" style="1" customWidth="1"/>
    <col min="30" max="16384" width="9.140625" style="1"/>
  </cols>
  <sheetData>
    <row r="1" spans="1:42" ht="15.75" thickTop="1" x14ac:dyDescent="0.25">
      <c r="A1" s="20"/>
      <c r="B1" s="21"/>
      <c r="C1" s="21"/>
      <c r="D1" s="21"/>
      <c r="E1" s="22"/>
      <c r="F1" s="29" t="s">
        <v>4</v>
      </c>
      <c r="G1" s="29"/>
      <c r="H1" s="29"/>
      <c r="I1" s="29"/>
      <c r="J1" s="29"/>
      <c r="K1" s="65"/>
      <c r="L1" s="65" t="s">
        <v>5</v>
      </c>
      <c r="M1" s="67"/>
      <c r="N1" s="65" t="s">
        <v>7</v>
      </c>
      <c r="O1" s="66"/>
      <c r="P1" s="66"/>
      <c r="Q1" s="67"/>
      <c r="R1" s="65" t="s">
        <v>6</v>
      </c>
      <c r="S1" s="66"/>
      <c r="T1" s="66"/>
      <c r="U1" s="66"/>
      <c r="V1" s="66"/>
      <c r="W1" s="66"/>
      <c r="X1" s="67"/>
      <c r="Y1" s="29" t="s">
        <v>9</v>
      </c>
      <c r="Z1" s="29"/>
      <c r="AA1" s="30"/>
    </row>
    <row r="2" spans="1:42" x14ac:dyDescent="0.25">
      <c r="A2" s="23"/>
      <c r="B2" s="24"/>
      <c r="C2" s="24"/>
      <c r="D2" s="24"/>
      <c r="E2" s="25"/>
      <c r="F2" s="71" t="s">
        <v>16</v>
      </c>
      <c r="G2" s="71"/>
      <c r="H2" s="71"/>
      <c r="I2" s="71"/>
      <c r="J2" s="71"/>
      <c r="K2" s="72"/>
      <c r="L2" s="72">
        <v>1</v>
      </c>
      <c r="M2" s="74"/>
      <c r="N2" s="72" t="s">
        <v>29</v>
      </c>
      <c r="O2" s="73"/>
      <c r="P2" s="73"/>
      <c r="Q2" s="74"/>
      <c r="R2" s="68" t="s">
        <v>17</v>
      </c>
      <c r="S2" s="69"/>
      <c r="T2" s="69"/>
      <c r="U2" s="69"/>
      <c r="V2" s="69"/>
      <c r="W2" s="69"/>
      <c r="X2" s="70"/>
      <c r="Y2" s="75" t="s">
        <v>12</v>
      </c>
      <c r="Z2" s="76"/>
      <c r="AA2" s="77"/>
    </row>
    <row r="3" spans="1:42" ht="33" customHeight="1" x14ac:dyDescent="0.25">
      <c r="A3" s="23"/>
      <c r="B3" s="24"/>
      <c r="C3" s="24"/>
      <c r="D3" s="24"/>
      <c r="E3" s="25"/>
      <c r="F3" s="83" t="s">
        <v>8</v>
      </c>
      <c r="G3" s="83"/>
      <c r="H3" s="83"/>
      <c r="I3" s="83"/>
      <c r="J3" s="83"/>
      <c r="K3" s="84"/>
      <c r="L3" s="14" t="s">
        <v>18</v>
      </c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6"/>
      <c r="Y3" s="78"/>
      <c r="Z3" s="79"/>
      <c r="AA3" s="80"/>
    </row>
    <row r="4" spans="1:42" ht="28.5" customHeight="1" thickBot="1" x14ac:dyDescent="0.3">
      <c r="A4" s="26" t="s">
        <v>10</v>
      </c>
      <c r="B4" s="27"/>
      <c r="C4" s="27"/>
      <c r="D4" s="27"/>
      <c r="E4" s="28"/>
      <c r="F4" s="31" t="s">
        <v>19</v>
      </c>
      <c r="G4" s="32"/>
      <c r="H4" s="32"/>
      <c r="I4" s="32"/>
      <c r="J4" s="32"/>
      <c r="K4" s="32"/>
      <c r="L4" s="32"/>
      <c r="M4" s="33"/>
      <c r="N4" s="31" t="s">
        <v>15</v>
      </c>
      <c r="O4" s="32"/>
      <c r="P4" s="33"/>
      <c r="Q4" s="17" t="s">
        <v>14</v>
      </c>
      <c r="R4" s="18"/>
      <c r="S4" s="19"/>
      <c r="T4" s="17" t="s">
        <v>17</v>
      </c>
      <c r="U4" s="18"/>
      <c r="V4" s="18"/>
      <c r="W4" s="18"/>
      <c r="X4" s="19"/>
      <c r="Y4" s="81" t="s">
        <v>11</v>
      </c>
      <c r="Z4" s="81"/>
      <c r="AA4" s="82"/>
    </row>
    <row r="5" spans="1:42" ht="6.75" customHeight="1" thickTop="1" x14ac:dyDescent="0.25"/>
    <row r="6" spans="1:42" ht="18.75" x14ac:dyDescent="0.3">
      <c r="A6" s="8" t="s">
        <v>20</v>
      </c>
      <c r="B6" s="9"/>
      <c r="C6" s="9"/>
      <c r="D6" s="9"/>
      <c r="E6" s="9"/>
      <c r="F6" s="9"/>
      <c r="G6" s="9"/>
      <c r="H6" s="10"/>
      <c r="I6" s="11" t="s">
        <v>13</v>
      </c>
      <c r="J6" s="12"/>
      <c r="K6" s="12"/>
      <c r="L6" s="12"/>
      <c r="M6" s="12"/>
      <c r="N6" s="13"/>
      <c r="O6" s="11" t="s">
        <v>21</v>
      </c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3"/>
    </row>
    <row r="7" spans="1:42" x14ac:dyDescent="0.25">
      <c r="A7" s="63" t="s">
        <v>0</v>
      </c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41" t="s">
        <v>1</v>
      </c>
      <c r="Q7" s="42"/>
      <c r="R7" s="42"/>
      <c r="S7" s="42"/>
      <c r="T7" s="42"/>
      <c r="U7" s="42"/>
      <c r="V7" s="42"/>
      <c r="W7" s="42"/>
      <c r="X7" s="42"/>
      <c r="Y7" s="42"/>
      <c r="Z7" s="42"/>
      <c r="AA7" s="43"/>
    </row>
    <row r="8" spans="1:42" x14ac:dyDescent="0.25">
      <c r="A8" s="44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6"/>
      <c r="P8" s="44"/>
      <c r="Q8" s="45"/>
      <c r="R8" s="45"/>
      <c r="S8" s="45"/>
      <c r="T8" s="45"/>
      <c r="U8" s="45"/>
      <c r="V8" s="45"/>
      <c r="W8" s="45"/>
      <c r="X8" s="45"/>
      <c r="Y8" s="45"/>
      <c r="Z8" s="45"/>
      <c r="AA8" s="46"/>
    </row>
    <row r="9" spans="1:42" x14ac:dyDescent="0.25">
      <c r="A9" s="47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5"/>
      <c r="P9" s="47"/>
      <c r="Q9" s="24"/>
      <c r="R9" s="24"/>
      <c r="S9" s="24"/>
      <c r="T9" s="24"/>
      <c r="U9" s="24"/>
      <c r="V9" s="24"/>
      <c r="W9" s="24"/>
      <c r="X9" s="24"/>
      <c r="Y9" s="24"/>
      <c r="Z9" s="24"/>
      <c r="AA9" s="25"/>
    </row>
    <row r="10" spans="1:42" x14ac:dyDescent="0.25">
      <c r="A10" s="47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5"/>
      <c r="P10" s="47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5"/>
    </row>
    <row r="11" spans="1:42" ht="18.75" x14ac:dyDescent="0.25">
      <c r="A11" s="47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5"/>
      <c r="P11" s="47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5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</row>
    <row r="12" spans="1:42" x14ac:dyDescent="0.25">
      <c r="A12" s="47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5"/>
      <c r="P12" s="47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5"/>
    </row>
    <row r="13" spans="1:42" x14ac:dyDescent="0.25">
      <c r="A13" s="47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5"/>
      <c r="P13" s="47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5"/>
      <c r="AC13" s="6" t="str">
        <f>IFERROR(VLOOKUP(A13,('[1]Tray Ref'!#REF!),15,FALSE),"")</f>
        <v/>
      </c>
      <c r="AD13" s="6"/>
    </row>
    <row r="14" spans="1:42" x14ac:dyDescent="0.25">
      <c r="A14" s="47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5"/>
      <c r="P14" s="47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5"/>
      <c r="AD14" s="6"/>
    </row>
    <row r="15" spans="1:42" ht="23.25" customHeight="1" x14ac:dyDescent="0.25">
      <c r="A15" s="48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50"/>
      <c r="P15" s="48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50"/>
    </row>
    <row r="16" spans="1:42" ht="36" customHeight="1" x14ac:dyDescent="0.25">
      <c r="A16" s="58" t="s">
        <v>25</v>
      </c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60"/>
      <c r="P16" s="35" t="s">
        <v>26</v>
      </c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7"/>
      <c r="AC16" s="6"/>
      <c r="AE16" s="6"/>
    </row>
    <row r="17" spans="1:30" ht="23.25" customHeight="1" x14ac:dyDescent="0.25">
      <c r="A17" s="61" t="s">
        <v>24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38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40"/>
      <c r="AC17" s="7"/>
    </row>
    <row r="18" spans="1:30" x14ac:dyDescent="0.25">
      <c r="A18" s="41" t="s">
        <v>2</v>
      </c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3"/>
      <c r="P18" s="41" t="s">
        <v>3</v>
      </c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3"/>
    </row>
    <row r="19" spans="1:30" x14ac:dyDescent="0.25">
      <c r="A19" s="44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6"/>
      <c r="P19" s="44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6"/>
      <c r="AC19" s="4" t="str">
        <f>IFERROR(VLOOKUP(#REF!,('[1]Tray Ref'!#REF!),18,FALSE),"")</f>
        <v/>
      </c>
    </row>
    <row r="20" spans="1:30" x14ac:dyDescent="0.25">
      <c r="A20" s="47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5"/>
      <c r="P20" s="47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5"/>
    </row>
    <row r="21" spans="1:30" x14ac:dyDescent="0.25">
      <c r="A21" s="47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5"/>
      <c r="P21" s="47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5"/>
      <c r="AD21" s="5"/>
    </row>
    <row r="22" spans="1:30" x14ac:dyDescent="0.25">
      <c r="A22" s="47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5"/>
      <c r="P22" s="47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5"/>
    </row>
    <row r="23" spans="1:30" x14ac:dyDescent="0.25">
      <c r="A23" s="47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5"/>
      <c r="P23" s="47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5"/>
    </row>
    <row r="24" spans="1:30" x14ac:dyDescent="0.25">
      <c r="A24" s="47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5"/>
      <c r="P24" s="47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5"/>
      <c r="AC24" s="5"/>
    </row>
    <row r="25" spans="1:30" x14ac:dyDescent="0.25">
      <c r="A25" s="47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5"/>
      <c r="P25" s="47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5"/>
    </row>
    <row r="26" spans="1:30" x14ac:dyDescent="0.25">
      <c r="A26" s="47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5"/>
      <c r="P26" s="47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5"/>
      <c r="AC26" s="5"/>
    </row>
    <row r="27" spans="1:30" ht="28.5" customHeight="1" x14ac:dyDescent="0.25">
      <c r="A27" s="48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50"/>
      <c r="P27" s="48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50"/>
    </row>
    <row r="28" spans="1:30" ht="15" hidden="1" customHeight="1" x14ac:dyDescent="0.25">
      <c r="A28" s="2"/>
      <c r="O28" s="3"/>
      <c r="P28" s="2"/>
      <c r="AA28" s="3"/>
    </row>
    <row r="29" spans="1:30" ht="48" customHeight="1" x14ac:dyDescent="0.25">
      <c r="A29" s="51" t="s">
        <v>27</v>
      </c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3"/>
      <c r="P29" s="51" t="s">
        <v>28</v>
      </c>
      <c r="Q29" s="52"/>
      <c r="R29" s="52"/>
      <c r="S29" s="52"/>
      <c r="T29" s="52"/>
      <c r="U29" s="52"/>
      <c r="V29" s="52"/>
      <c r="W29" s="52"/>
      <c r="X29" s="53"/>
      <c r="Y29" s="57" t="s">
        <v>22</v>
      </c>
      <c r="Z29" s="57"/>
      <c r="AA29" s="57"/>
    </row>
    <row r="30" spans="1:30" ht="20.25" hidden="1" customHeight="1" x14ac:dyDescent="0.25">
      <c r="A30" s="54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6"/>
      <c r="P30" s="54"/>
      <c r="Q30" s="55"/>
      <c r="R30" s="55"/>
      <c r="S30" s="55"/>
      <c r="T30" s="55"/>
      <c r="U30" s="55"/>
      <c r="V30" s="55"/>
      <c r="W30" s="55"/>
      <c r="X30" s="56"/>
      <c r="Y30" s="57"/>
      <c r="Z30" s="57"/>
      <c r="AA30" s="57"/>
    </row>
    <row r="31" spans="1:30" ht="12.75" customHeight="1" x14ac:dyDescent="0.25">
      <c r="A31" s="34" t="s">
        <v>23</v>
      </c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</row>
    <row r="32" spans="1:30" ht="8.25" customHeight="1" x14ac:dyDescent="0.25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</row>
  </sheetData>
  <mergeCells count="38">
    <mergeCell ref="AD11:AP11"/>
    <mergeCell ref="A7:O7"/>
    <mergeCell ref="P7:AA7"/>
    <mergeCell ref="R1:X1"/>
    <mergeCell ref="R2:X2"/>
    <mergeCell ref="F1:K1"/>
    <mergeCell ref="F2:K2"/>
    <mergeCell ref="N2:Q2"/>
    <mergeCell ref="L2:M2"/>
    <mergeCell ref="N1:Q1"/>
    <mergeCell ref="L1:M1"/>
    <mergeCell ref="A8:O15"/>
    <mergeCell ref="P8:AA15"/>
    <mergeCell ref="Y2:AA3"/>
    <mergeCell ref="Y4:AA4"/>
    <mergeCell ref="F3:K3"/>
    <mergeCell ref="A31:AA32"/>
    <mergeCell ref="P16:AA17"/>
    <mergeCell ref="P18:AA18"/>
    <mergeCell ref="P19:AA27"/>
    <mergeCell ref="P29:X30"/>
    <mergeCell ref="Y29:AA30"/>
    <mergeCell ref="A16:O16"/>
    <mergeCell ref="A17:O17"/>
    <mergeCell ref="A19:O27"/>
    <mergeCell ref="A18:O18"/>
    <mergeCell ref="A29:O30"/>
    <mergeCell ref="A6:H6"/>
    <mergeCell ref="I6:N6"/>
    <mergeCell ref="O6:AA6"/>
    <mergeCell ref="L3:X3"/>
    <mergeCell ref="T4:X4"/>
    <mergeCell ref="A1:E3"/>
    <mergeCell ref="A4:E4"/>
    <mergeCell ref="Y1:AA1"/>
    <mergeCell ref="F4:M4"/>
    <mergeCell ref="N4:P4"/>
    <mergeCell ref="Q4:S4"/>
  </mergeCells>
  <conditionalFormatting sqref="AC16">
    <cfRule type="duplicateValues" dxfId="0" priority="1"/>
  </conditionalFormatting>
  <dataValidations count="1">
    <dataValidation type="list" allowBlank="1" showInputMessage="1" showErrorMessage="1" sqref="AC17" xr:uid="{89554131-6852-407B-BC4C-AF72BC5A14E5}">
      <formula1>Tray_Ref</formula1>
    </dataValidation>
  </dataValidations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2022-08-15T17:02:22Z</cp:lastPrinted>
  <dcterms:created xsi:type="dcterms:W3CDTF">2018-08-01T08:42:18Z</dcterms:created>
  <dcterms:modified xsi:type="dcterms:W3CDTF">2022-08-29T14:40:38Z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b48c2413-58d2-4c26-bffd-1710b462082b</vt:lpwstr>
  </property>
</Properties>
</file>