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FE2921C-D8DB-40CD-B65C-38EECE8C6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<sst xmlns="http://schemas.openxmlformats.org/spreadsheetml/2006/main" count="29" uniqueCount="28">
  <si>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</si>
  <si>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</si>
  <si>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</si>
  <si>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</si>
  <si>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</si>
  <si>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</si>
  <si>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</si>
  <si>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</si>
  <si>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</si>
  <si>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</si>
  <si>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</si>
  <si>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</si>
  <si>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COSTCO</t>
  </si>
  <si>
    <t>Previous Issue Date</t>
  </si>
  <si>
    <t>Page 1 of 1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</si>
  <si>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</si>
  <si>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>Tray: HW308/60 - 3 CAVITY TRANS - 352X246X60 - (PKESS001-10)</t>
  </si>
  <si>
    <t>07.08.2025</t>
  </si>
  <si>
    <t>New doc</t>
  </si>
  <si>
    <t xml:space="preserve">New doc </t>
  </si>
  <si>
    <t>GFF529MC</t>
  </si>
  <si>
    <t>CCSRC2-B30X8T</t>
  </si>
  <si>
    <t>Gc- 30 Chicken Spring Roll 30G | 900G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</si>
  <si>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Soya, Sesame</t>
    </r>
  </si>
  <si>
    <t>30 Chicken Spring Roll 30G | 900G</t>
  </si>
  <si>
    <t>Total Weight 
900g</t>
  </si>
  <si>
    <t xml:space="preserve">30 Chicken Spring Roll 30G </t>
  </si>
  <si>
    <t xml:space="preserve">Chicken Spring Roll 30G-(RMWEI002-02)- 30 Pieces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</si>
</sst>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076d2b20-8b03-442d-b58e-da4b2cf5298c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47624</xdr:colOff>
      <xdr:row>7</xdr:row>
      <xdr:rowOff>47627</xdr:rowOff>
    </xdr:from>
    <xdr:to>
      <xdr:col>15</xdr:col>
      <xdr:colOff>219074</xdr:colOff>
      <xdr:row>10</xdr:row>
      <xdr:rowOff>152402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49" y="1676402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47625</xdr:colOff>
      <xdr:row>7</xdr:row>
      <xdr:rowOff>955</xdr:rowOff>
    </xdr:from>
    <xdr:to>
      <xdr:col>9</xdr:col>
      <xdr:colOff>23023</xdr:colOff>
      <xdr:row>14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316789" y="1360566"/>
          <a:ext cx="1627820" cy="2166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161926</xdr:colOff>
      <xdr:row>7</xdr:row>
      <xdr:rowOff>104776</xdr:rowOff>
    </xdr:from>
    <xdr:to>
      <xdr:col>12</xdr:col>
      <xdr:colOff>523875</xdr:colOff>
      <xdr:row>10</xdr:row>
      <xdr:rowOff>104776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81C9A9-C470-3AC6-E969-48A2ED09D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18" t="9523" r="5587" b="6362"/>
        <a:stretch>
          <a:fillRect/>
        </a:stretch>
      </xdr:blipFill>
      <xdr:spPr>
        <a:xfrm>
          <a:off x="2352676" y="1733551"/>
          <a:ext cx="1590674" cy="571500"/>
        </a:xfrm>
        <a:prstGeom prst="rect">
          <a:avLst/>
        </a:prstGeom>
      </xdr:spPr>
    </xdr:pic>
    <xdr:clientData/>
  </xdr:twoCellAnchor>
  <xdr:twoCellAnchor>
    <xdr:from>
      <xdr:col>11</xdr:col>
      <xdr:colOff>28573</xdr:colOff>
      <xdr:row>18</xdr:row>
      <xdr:rowOff>11942</xdr:rowOff>
    </xdr:from>
    <xdr:to>
      <xdr:col>18</xdr:col>
      <xdr:colOff>476250</xdr:colOff>
      <xdr:row>18</xdr:row>
      <xdr:rowOff>2313497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E78901-47DD-07F8-8F55-5AD5C781B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0" t="15515" r="9686" b="5088"/>
        <a:stretch>
          <a:fillRect/>
        </a:stretch>
      </xdr:blipFill>
      <xdr:spPr bwMode="auto">
        <a:xfrm rot="5400000">
          <a:off x="3521234" y="3739231"/>
          <a:ext cx="2301555" cy="2886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738183</xdr:colOff>
      <xdr:row>7</xdr:row>
      <xdr:rowOff>9522</xdr:rowOff>
    </xdr:from>
    <xdr:to>
      <xdr:col>25</xdr:col>
      <xdr:colOff>89535</xdr:colOff>
      <xdr:row>14</xdr:row>
      <xdr:rowOff>257172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504BB8-B187-C3EB-283C-BFB0214F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533671" y="1481609"/>
          <a:ext cx="1628775" cy="1942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Tub-Lead</v>
          </cell>
        </row>
        <row r="32">
          <cell r="B32" t="str">
            <v>Meal Box For 2 H</v>
          </cell>
        </row>
        <row r="33">
          <cell r="B33" t="str">
            <v>OR Meal Box - 1</v>
          </cell>
        </row>
        <row r="34">
          <cell r="B34" t="str">
            <v>OR Meal Box for 1</v>
          </cell>
        </row>
        <row r="35">
          <cell r="B35" t="str">
            <v>SC109-650-POT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H3H 50 - CLEAR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Duo-Pot</v>
          </cell>
        </row>
        <row r="68">
          <cell r="B68" t="str">
            <v>Trapezoid</v>
          </cell>
        </row>
        <row r="69">
          <cell r="B69" t="str">
            <v>Trapezoid</v>
          </cell>
        </row>
        <row r="70">
          <cell r="B70" t="str">
            <v>H3H 50 - CLEAR</v>
          </cell>
        </row>
        <row r="71">
          <cell r="B71" t="str">
            <v>H320/60 -CLEAR (596)</v>
          </cell>
        </row>
        <row r="72">
          <cell r="B72" t="str">
            <v>SK4-CLEAR (C4 CLEAR R-PET)</v>
          </cell>
        </row>
        <row r="73">
          <cell r="B73" t="str">
            <v>H320/60 -CLEAR (596)</v>
          </cell>
        </row>
        <row r="74">
          <cell r="B74" t="str">
            <v>2200-1D</v>
          </cell>
        </row>
        <row r="75">
          <cell r="B75" t="str">
            <v>2200-1E</v>
          </cell>
        </row>
        <row r="76">
          <cell r="B76">
            <v>554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>
            <v>596</v>
          </cell>
        </row>
        <row r="85">
          <cell r="B85" t="str">
            <v>EVOLVE CPET 2200-2B</v>
          </cell>
        </row>
        <row r="86">
          <cell r="B86" t="str">
            <v>EVOLVE CPET 2200-2F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 t="str">
            <v>EVOLVE CPET 2200-2B</v>
          </cell>
        </row>
        <row r="97">
          <cell r="B97" t="str">
            <v>Duo-Pot</v>
          </cell>
        </row>
        <row r="98">
          <cell r="B98" t="str">
            <v>EVOLVE CPET 2171-1F</v>
          </cell>
        </row>
        <row r="99">
          <cell r="B99" t="str">
            <v>H320/115-CLEAR (554)</v>
          </cell>
        </row>
        <row r="100">
          <cell r="B100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22"/>
      <c r="B1" s="23"/>
      <c r="C1" s="23"/>
      <c r="D1" s="23"/>
      <c r="E1" s="24"/>
      <c r="F1" s="29" t="s">
        <v>3</v>
      </c>
      <c r="G1" s="29"/>
      <c r="H1" s="29"/>
      <c r="I1" s="29"/>
      <c r="J1" s="29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29" t="s">
        <v>8</v>
      </c>
      <c r="Z1" s="29"/>
      <c r="AA1" s="30"/>
    </row>
    <row r="2" spans="1:42" x14ac:dyDescent="0.25">
      <c r="A2" s="25"/>
      <c r="B2" s="7"/>
      <c r="C2" s="7"/>
      <c r="D2" s="7"/>
      <c r="E2" s="8"/>
      <c r="F2" s="48" t="s">
        <v>20</v>
      </c>
      <c r="G2" s="48"/>
      <c r="H2" s="48"/>
      <c r="I2" s="48"/>
      <c r="J2" s="48"/>
      <c r="K2" s="49"/>
      <c r="L2" s="49">
        <v>1</v>
      </c>
      <c r="M2" s="51"/>
      <c r="N2" s="49" t="s">
        <v>17</v>
      </c>
      <c r="O2" s="50"/>
      <c r="P2" s="50"/>
      <c r="Q2" s="51"/>
      <c r="R2" s="45" t="s">
        <v>18</v>
      </c>
      <c r="S2" s="46"/>
      <c r="T2" s="46"/>
      <c r="U2" s="46"/>
      <c r="V2" s="46"/>
      <c r="W2" s="46"/>
      <c r="X2" s="47"/>
      <c r="Y2" s="52" t="s">
        <v>11</v>
      </c>
      <c r="Z2" s="53"/>
      <c r="AA2" s="54"/>
    </row>
    <row r="3" spans="1:42" ht="26.25" customHeight="1" x14ac:dyDescent="0.25">
      <c r="A3" s="25"/>
      <c r="B3" s="7"/>
      <c r="C3" s="7"/>
      <c r="D3" s="7"/>
      <c r="E3" s="8"/>
      <c r="F3" s="60" t="s">
        <v>7</v>
      </c>
      <c r="G3" s="60"/>
      <c r="H3" s="60"/>
      <c r="I3" s="60"/>
      <c r="J3" s="60"/>
      <c r="K3" s="61"/>
      <c r="L3" s="68" t="s">
        <v>22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5"/>
      <c r="Z3" s="56"/>
      <c r="AA3" s="57"/>
    </row>
    <row r="4" spans="1:42" ht="28.5" customHeight="1" thickBot="1" x14ac:dyDescent="0.3">
      <c r="A4" s="26" t="s">
        <v>9</v>
      </c>
      <c r="B4" s="27"/>
      <c r="C4" s="27"/>
      <c r="D4" s="27"/>
      <c r="E4" s="28"/>
      <c r="F4" s="31" t="s">
        <v>19</v>
      </c>
      <c r="G4" s="32"/>
      <c r="H4" s="32"/>
      <c r="I4" s="32"/>
      <c r="J4" s="32"/>
      <c r="K4" s="32"/>
      <c r="L4" s="32"/>
      <c r="M4" s="33"/>
      <c r="N4" s="31" t="s">
        <v>14</v>
      </c>
      <c r="O4" s="32"/>
      <c r="P4" s="33"/>
      <c r="Q4" s="19" t="s">
        <v>13</v>
      </c>
      <c r="R4" s="20"/>
      <c r="S4" s="21"/>
      <c r="T4" s="19" t="s">
        <v>18</v>
      </c>
      <c r="U4" s="20"/>
      <c r="V4" s="20"/>
      <c r="W4" s="20"/>
      <c r="X4" s="21"/>
      <c r="Y4" s="58" t="s">
        <v>10</v>
      </c>
      <c r="Z4" s="58"/>
      <c r="AA4" s="59"/>
    </row>
    <row r="5" spans="1:42" ht="6.75" customHeight="1" thickTop="1" x14ac:dyDescent="0.25"/>
    <row r="6" spans="1:42" ht="21" x14ac:dyDescent="0.3">
      <c r="A6" s="62" t="s">
        <v>21</v>
      </c>
      <c r="B6" s="63"/>
      <c r="C6" s="63"/>
      <c r="D6" s="63"/>
      <c r="E6" s="63"/>
      <c r="F6" s="63"/>
      <c r="G6" s="63"/>
      <c r="H6" s="64"/>
      <c r="I6" s="65" t="s">
        <v>12</v>
      </c>
      <c r="J6" s="66"/>
      <c r="K6" s="66"/>
      <c r="L6" s="66"/>
      <c r="M6" s="66"/>
      <c r="N6" s="67"/>
      <c r="O6" s="65" t="s">
        <v>26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  <c r="AE6"/>
    </row>
    <row r="7" spans="1:42" x14ac:dyDescent="0.25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 t="s">
        <v>1</v>
      </c>
      <c r="S7" s="12"/>
      <c r="T7" s="12"/>
      <c r="U7" s="12"/>
      <c r="V7" s="12"/>
      <c r="W7" s="12"/>
      <c r="X7" s="12"/>
      <c r="Y7" s="12"/>
      <c r="Z7" s="12"/>
      <c r="AA7" s="12"/>
      <c r="AC7"/>
    </row>
    <row r="8" spans="1:4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5"/>
      <c r="S8" s="5"/>
      <c r="T8" s="5"/>
      <c r="U8" s="5"/>
      <c r="V8" s="5"/>
      <c r="W8" s="5"/>
      <c r="X8" s="5"/>
      <c r="Y8" s="5"/>
      <c r="Z8" s="5"/>
      <c r="AA8" s="6"/>
      <c r="AE8"/>
    </row>
    <row r="9" spans="1:4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7"/>
      <c r="S9" s="7"/>
      <c r="T9" s="7"/>
      <c r="U9" s="7"/>
      <c r="V9" s="7"/>
      <c r="W9" s="7"/>
      <c r="X9" s="7"/>
      <c r="Y9" s="7"/>
      <c r="Z9" s="7"/>
      <c r="AA9" s="8"/>
      <c r="AD9"/>
    </row>
    <row r="10" spans="1:42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7"/>
      <c r="S10" s="7"/>
      <c r="T10" s="7"/>
      <c r="U10" s="7"/>
      <c r="V10" s="7"/>
      <c r="W10" s="7"/>
      <c r="X10" s="7"/>
      <c r="Y10" s="7"/>
      <c r="Z10" s="7"/>
      <c r="AA10" s="8"/>
      <c r="AE10"/>
    </row>
    <row r="11" spans="1:42" ht="18.7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7"/>
      <c r="S11" s="7"/>
      <c r="T11" s="7"/>
      <c r="U11" s="7"/>
      <c r="V11" s="7"/>
      <c r="W11" s="7"/>
      <c r="X11" s="7"/>
      <c r="Y11" s="7"/>
      <c r="Z11" s="7"/>
      <c r="AA11" s="8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</row>
    <row r="12" spans="1:4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4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7"/>
      <c r="S13" s="7"/>
      <c r="T13" s="7"/>
      <c r="U13" s="7"/>
      <c r="V13" s="7"/>
      <c r="W13" s="7"/>
      <c r="X13" s="7"/>
      <c r="Y13" s="7"/>
      <c r="Z13" s="7"/>
      <c r="AA13" s="8"/>
      <c r="AC13" s="3" t="str">
        <f>IFERROR(VLOOKUP(A13,('[1]Tray Ref'!#REF!),15,FALSE),"")</f>
        <v/>
      </c>
      <c r="AD13" s="3"/>
      <c r="AE13"/>
    </row>
    <row r="14" spans="1:4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7"/>
      <c r="S14" s="7"/>
      <c r="T14" s="7"/>
      <c r="U14" s="7"/>
      <c r="V14" s="7"/>
      <c r="W14" s="7"/>
      <c r="X14" s="7"/>
      <c r="Y14" s="7"/>
      <c r="Z14" s="7"/>
      <c r="AA14" s="8"/>
      <c r="AD14"/>
      <c r="AE14"/>
      <c r="AF14"/>
    </row>
    <row r="15" spans="1:42" ht="23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/>
      <c r="S15" s="9"/>
      <c r="T15" s="9"/>
      <c r="U15" s="9"/>
      <c r="V15" s="9"/>
      <c r="W15" s="9"/>
      <c r="X15" s="9"/>
      <c r="Y15" s="9"/>
      <c r="Z15" s="9"/>
      <c r="AA15" s="10"/>
    </row>
    <row r="16" spans="1:42" ht="18" customHeight="1" x14ac:dyDescent="0.25">
      <c r="A16" s="17" t="s">
        <v>16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3" t="s">
        <v>27</v>
      </c>
      <c r="S16" s="13"/>
      <c r="T16" s="13"/>
      <c r="U16" s="13"/>
      <c r="V16" s="13"/>
      <c r="W16" s="13"/>
      <c r="X16" s="13"/>
      <c r="Y16" s="13"/>
      <c r="Z16" s="13"/>
      <c r="AA16" s="14"/>
      <c r="AC16" s="3"/>
      <c r="AE16" s="3" t="str">
        <f>IFERROR(VLOOKUP(#REF!,('[1]Tray Ref'!#REF!),18,FALSE),"")</f>
        <v/>
      </c>
    </row>
    <row r="17" spans="1:29" ht="23.25" customHeight="1" x14ac:dyDescent="0.25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5"/>
      <c r="S17" s="15"/>
      <c r="T17" s="15"/>
      <c r="U17" s="15"/>
      <c r="V17" s="15"/>
      <c r="W17" s="15"/>
      <c r="X17" s="15"/>
      <c r="Y17" s="15"/>
      <c r="Z17" s="15"/>
      <c r="AA17" s="16"/>
      <c r="AC17" s="4"/>
    </row>
    <row r="18" spans="1:29" x14ac:dyDescent="0.25">
      <c r="A18" s="37" t="s">
        <v>2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29" ht="183.75" customHeight="1" x14ac:dyDescent="0.25">
      <c r="A19" s="4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  <c r="AC19" s="2" t="str">
        <f>IFERROR(VLOOKUP(#REF!,('[1]Tray Ref'!#REF!),18,FALSE),"")</f>
        <v/>
      </c>
    </row>
    <row r="20" spans="1:29" ht="39.75" customHeight="1" x14ac:dyDescent="0.25">
      <c r="A20" s="36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  <c r="Y20" s="35" t="s">
        <v>25</v>
      </c>
      <c r="Z20" s="35"/>
      <c r="AA20" s="35"/>
    </row>
    <row r="21" spans="1:29" ht="12.75" customHeight="1" x14ac:dyDescent="0.25">
      <c r="A21" s="34" t="s">
        <v>23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9" ht="8.2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</sheetData>
  <mergeCells count="35"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A21:AA22"/>
    <mergeCell ref="Y20:AA20"/>
    <mergeCell ref="A20:X20"/>
    <mergeCell ref="A18:AA18"/>
    <mergeCell ref="A19:AA19"/>
    <mergeCell ref="T4:X4"/>
    <mergeCell ref="A1:E3"/>
    <mergeCell ref="A4:E4"/>
    <mergeCell ref="Y1:AA1"/>
    <mergeCell ref="F4:M4"/>
    <mergeCell ref="N4:P4"/>
    <mergeCell ref="Q4:S4"/>
    <mergeCell ref="R8:AA15"/>
    <mergeCell ref="A8:Q15"/>
    <mergeCell ref="A7:Q7"/>
    <mergeCell ref="R7:AA7"/>
    <mergeCell ref="R16:AA17"/>
    <mergeCell ref="A16:Q16"/>
    <mergeCell ref="A17:Q17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2025-08-08T15:43:37Z</cp:lastPrinted>
  <dcterms:created xsi:type="dcterms:W3CDTF">2018-08-01T08:42:18Z</dcterms:created>
  <dcterms:modified xsi:type="dcterms:W3CDTF">2025-08-08T15:54:36Z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