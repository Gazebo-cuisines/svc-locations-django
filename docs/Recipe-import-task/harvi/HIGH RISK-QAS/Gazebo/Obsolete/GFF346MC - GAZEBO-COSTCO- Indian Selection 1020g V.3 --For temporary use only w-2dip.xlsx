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A9F1C90-01FC-4DC9-A779-39F5A36BEA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<sst xmlns="http://schemas.openxmlformats.org/spreadsheetml/2006/main" count="33" uniqueCount="33">
  <si>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</si>
  <si>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</si>
  <si>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</si>
  <si>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</si>
  <si>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</si>
  <si>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</si>
  <si>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</si>
  <si>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</si>
  <si>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</si>
  <si>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</si>
  <si>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</si>
  <si>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</si>
  <si>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</si>
  <si>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</si>
  <si>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</si>
  <si>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COSTCO</t>
  </si>
  <si>
    <t>GFF346MC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</si>
  <si>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</si>
  <si>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</si>
  <si>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28.10.2021</t>
  </si>
  <si>
    <t>Previous Issue Date</t>
  </si>
  <si>
    <t>Page 1 of 1</t>
  </si>
  <si>
    <t>28.12.2021</t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</si>
  <si>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</si>
  <si>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</si>
  <si>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Spicy Tomato Sauce in sachets,
 weight increased</t>
  </si>
  <si>
    <t>CINSC2-B26X8T</t>
  </si>
  <si>
    <t>26 Indian Selection  1020G    |  CHILLED</t>
  </si>
  <si>
    <t>Total Weight 
1020g</t>
  </si>
  <si>
    <t>08.06.2022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</si>
  <si>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TRAY H320/60-CLEAR(596)  </t>
    </r>
    <r>
      <rPr>
        <b/>
        <sz val="12"/>
        <color theme="1"/>
        <rFont val="Calibri"/>
        <family val="2"/>
        <scheme val="minor"/>
      </rPr>
      <t xml:space="preserve">(PKNUT001-05) </t>
    </r>
    <r>
      <rPr>
        <sz val="12"/>
        <rFont val="Calibri"/>
        <family val="2"/>
        <scheme val="minor"/>
      </rPr>
      <t xml:space="preserve"> </t>
    </r>
  </si>
  <si>
    <t>26 Indian Selection  1020g-For temporary use only w-2dips</t>
  </si>
  <si>
    <r>
      <t xml:space="preserve">Spicy Tomato Dip:  </t>
    </r>
    <r>
      <rPr>
        <b/>
        <sz val="16"/>
        <color rgb="FFFF0000"/>
        <rFont val="Calibri"/>
        <family val="2"/>
        <scheme val="minor"/>
      </rPr>
      <t>2 x 40g</t>
    </r>
    <r>
      <rPr>
        <b/>
        <sz val="16"/>
        <color theme="1"/>
        <rFont val="Calibri"/>
        <family val="2"/>
        <scheme val="minor"/>
      </rPr>
      <t xml:space="preserve">  |  </t>
    </r>
    <r>
      <rPr>
        <b/>
        <sz val="22"/>
        <color theme="1"/>
        <rFont val="Calibri"/>
        <family val="2"/>
        <scheme val="minor"/>
      </rPr>
      <t>80g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</si>
</sst>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8" fillId="0" borderId="0" xfId="0" applyFont="1" applyAlignment="1">
      <alignment vertical="center"/>
    </xf>
    <xf numFmtId="0" fontId="1" fillId="3" borderId="2" xfId="0" applyFont="1" applyFill="1" applyBorder="1" applyAlignment="1"/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12" xfId="0" applyFill="1" applyBorder="1" applyAlignment="1"/>
    <xf numFmtId="0" fontId="0" fillId="2" borderId="0" xfId="0" applyFill="1" applyBorder="1" applyAlignment="1"/>
    <xf numFmtId="0" fontId="0" fillId="2" borderId="9" xfId="0" applyFill="1" applyBorder="1" applyAlignment="1"/>
    <xf numFmtId="0" fontId="0" fillId="2" borderId="8" xfId="0" applyFill="1" applyBorder="1" applyAlignment="1"/>
    <xf numFmtId="0" fontId="0" fillId="2" borderId="10" xfId="0" applyFill="1" applyBorder="1" applyAlignment="1"/>
    <xf numFmtId="1" fontId="10" fillId="2" borderId="0" xfId="0" applyNumberFormat="1" applyFont="1" applyFill="1" applyAlignment="1">
      <alignment vertical="center"/>
    </xf>
    <xf numFmtId="0" fontId="0" fillId="2" borderId="0" xfId="0" applyFill="1" applyBorder="1"/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emf"/><Relationship Id="rId7" Type="http://schemas.openxmlformats.org/officeDocument/2006/relationships/image" Target="cid:e2a89b08-20b2-4030-a72d-93ec25dad4bb@eurprd07.prod.outlook.com" TargetMode="External"/><Relationship Id="rId12" Type="http://schemas.openxmlformats.org/officeDocument/2006/relationships/image" Target="../media/image9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18b407c1-69bd-4220-b80f-34ad83039ff9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emf"/><Relationship Id="rId9" Type="http://schemas.openxmlformats.org/officeDocument/2006/relationships/image" Target="cid:ca79489c-de58-47f2-88da-8dee88582c4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7</xdr:row>
      <xdr:rowOff>47626</xdr:rowOff>
    </xdr:from>
    <xdr:to>
      <xdr:col>10</xdr:col>
      <xdr:colOff>57150</xdr:colOff>
      <xdr:row>14</xdr:row>
      <xdr:rowOff>212837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A9400C-F93B-41BA-90D1-1732D0A7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1" y="1819276"/>
          <a:ext cx="2028824" cy="154633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8</xdr:row>
      <xdr:rowOff>9525</xdr:rowOff>
    </xdr:from>
    <xdr:to>
      <xdr:col>12</xdr:col>
      <xdr:colOff>9927</xdr:colOff>
      <xdr:row>11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781175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8</xdr:row>
      <xdr:rowOff>38100</xdr:rowOff>
    </xdr:from>
    <xdr:to>
      <xdr:col>13</xdr:col>
      <xdr:colOff>238124</xdr:colOff>
      <xdr:row>11</xdr:row>
      <xdr:rowOff>133350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18097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</xdr:colOff>
      <xdr:row>12</xdr:row>
      <xdr:rowOff>57151</xdr:rowOff>
    </xdr:from>
    <xdr:to>
      <xdr:col>12</xdr:col>
      <xdr:colOff>638176</xdr:colOff>
      <xdr:row>14</xdr:row>
      <xdr:rowOff>257177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63842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38101</xdr:rowOff>
    </xdr:from>
    <xdr:to>
      <xdr:col>4</xdr:col>
      <xdr:colOff>114300</xdr:colOff>
      <xdr:row>2</xdr:row>
      <xdr:rowOff>314326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F7AB763-F519-4A38-8929-F05B648B0888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1"/>
          <a:ext cx="1133475" cy="6667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114304</xdr:colOff>
      <xdr:row>18</xdr:row>
      <xdr:rowOff>66674</xdr:rowOff>
    </xdr:from>
    <xdr:to>
      <xdr:col>9</xdr:col>
      <xdr:colOff>180975</xdr:colOff>
      <xdr:row>26</xdr:row>
      <xdr:rowOff>304798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0A60FE3-1B52-E0B0-1176-3787D0E3B9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4" t="5073" r="6764" b="5797"/>
        <a:stretch>
          <a:fillRect/>
        </a:stretch>
      </xdr:blipFill>
      <xdr:spPr bwMode="auto">
        <a:xfrm rot="16200000">
          <a:off x="361953" y="4038600"/>
          <a:ext cx="1762124" cy="2257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47627</xdr:colOff>
      <xdr:row>18</xdr:row>
      <xdr:rowOff>66674</xdr:rowOff>
    </xdr:from>
    <xdr:to>
      <xdr:col>14</xdr:col>
      <xdr:colOff>174732</xdr:colOff>
      <xdr:row>26</xdr:row>
      <xdr:rowOff>123827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FE19A39-8528-11C4-6A91-E154F85D12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18" t="12096" r="7497" b="16384"/>
        <a:stretch>
          <a:fillRect/>
        </a:stretch>
      </xdr:blipFill>
      <xdr:spPr bwMode="auto">
        <a:xfrm rot="16200000">
          <a:off x="2711503" y="4013148"/>
          <a:ext cx="1581153" cy="2127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276230</xdr:colOff>
      <xdr:row>18</xdr:row>
      <xdr:rowOff>28573</xdr:rowOff>
    </xdr:from>
    <xdr:to>
      <xdr:col>24</xdr:col>
      <xdr:colOff>142879</xdr:colOff>
      <xdr:row>26</xdr:row>
      <xdr:rowOff>316246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7F16A4C-1691-16B1-4C9B-E53718885B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99" t="11209" r="5268" b="10080"/>
        <a:stretch>
          <a:fillRect/>
        </a:stretch>
      </xdr:blipFill>
      <xdr:spPr bwMode="auto">
        <a:xfrm rot="16200000">
          <a:off x="5947405" y="3910973"/>
          <a:ext cx="1811673" cy="2486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171450</xdr:colOff>
      <xdr:row>7</xdr:row>
      <xdr:rowOff>57150</xdr:rowOff>
    </xdr:from>
    <xdr:to>
      <xdr:col>23</xdr:col>
      <xdr:colOff>305095</xdr:colOff>
      <xdr:row>14</xdr:row>
      <xdr:rowOff>276448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CC2C80-6988-53A1-47B6-6CECA8D6A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10250" y="1657350"/>
          <a:ext cx="2114845" cy="1600423"/>
        </a:xfrm>
        <a:prstGeom prst="rect">
          <a:avLst/>
        </a:prstGeom>
      </xdr:spPr>
    </xdr:pic>
    <xdr:clientData/>
  </xdr:twoCellAnchor>
  <xdr:twoCellAnchor editAs="oneCell">
    <xdr:from>
      <xdr:col>24</xdr:col>
      <xdr:colOff>209550</xdr:colOff>
      <xdr:row>1</xdr:row>
      <xdr:rowOff>104775</xdr:rowOff>
    </xdr:from>
    <xdr:to>
      <xdr:col>26</xdr:col>
      <xdr:colOff>542925</xdr:colOff>
      <xdr:row>2</xdr:row>
      <xdr:rowOff>251753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E4D636-6364-3BF9-CAFE-6076F9BB2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162925" y="304800"/>
          <a:ext cx="1000125" cy="3374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Trapezoid</v>
          </cell>
        </row>
        <row r="26">
          <cell r="B26" t="str">
            <v>Trapezoid</v>
          </cell>
        </row>
        <row r="27">
          <cell r="B27" t="str">
            <v>Duo-Pot</v>
          </cell>
        </row>
        <row r="28">
          <cell r="B28" t="str">
            <v>Duo-Pot</v>
          </cell>
        </row>
        <row r="29">
          <cell r="B29" t="str">
            <v>Duo-Pot</v>
          </cell>
        </row>
        <row r="30">
          <cell r="B30" t="str">
            <v xml:space="preserve">SINGLE CAVITY/F145 </v>
          </cell>
        </row>
        <row r="31">
          <cell r="B31" t="str">
            <v xml:space="preserve">SINGLE CAVITY/F145 </v>
          </cell>
        </row>
        <row r="32">
          <cell r="B32" t="str">
            <v>H320/60 -CLEAR (596)</v>
          </cell>
        </row>
        <row r="33">
          <cell r="B33" t="str">
            <v>H320/60 -CLEAR (596)</v>
          </cell>
        </row>
        <row r="34">
          <cell r="B34" t="str">
            <v>H3H 50 - CLEAR</v>
          </cell>
        </row>
        <row r="35">
          <cell r="B35" t="str">
            <v>H3H 50 - CLEAR</v>
          </cell>
        </row>
        <row r="36">
          <cell r="B36" t="str">
            <v>2200-1B</v>
          </cell>
        </row>
        <row r="37">
          <cell r="B37" t="str">
            <v>2200-1B</v>
          </cell>
        </row>
        <row r="38">
          <cell r="B38" t="str">
            <v>2200-1B</v>
          </cell>
        </row>
        <row r="39">
          <cell r="B39" t="str">
            <v>EVOLVE CPET 2200-1E</v>
          </cell>
        </row>
        <row r="40">
          <cell r="B40" t="str">
            <v>EVOLVE CPET 2200-1E</v>
          </cell>
        </row>
        <row r="41">
          <cell r="B41" t="str">
            <v>EVOLVE CPET 2200-1E</v>
          </cell>
        </row>
        <row r="42">
          <cell r="B42" t="str">
            <v>EVOLVE CPET 2200-1D</v>
          </cell>
        </row>
        <row r="43">
          <cell r="B43" t="str">
            <v>EVOLVE CPET 2200-1D</v>
          </cell>
        </row>
        <row r="44">
          <cell r="B44" t="str">
            <v>EVOLVE CPET 2200-1D</v>
          </cell>
        </row>
        <row r="45">
          <cell r="B45" t="str">
            <v>EVOLVE CPET 2200-2F</v>
          </cell>
        </row>
        <row r="46">
          <cell r="B46" t="str">
            <v>EVOLVE CPET 2200-2F</v>
          </cell>
        </row>
        <row r="47">
          <cell r="B47" t="str">
            <v>EVOLVE CPET 2200-2F</v>
          </cell>
        </row>
        <row r="48">
          <cell r="B48" t="str">
            <v>EVOLVE CPET 2200-2B</v>
          </cell>
        </row>
        <row r="49">
          <cell r="B49" t="str">
            <v>EVOLVE CPET 2200-2B</v>
          </cell>
        </row>
        <row r="50">
          <cell r="B50" t="str">
            <v>EVOLVE CPET 2200-2B</v>
          </cell>
        </row>
        <row r="51">
          <cell r="B51" t="str">
            <v>EVOLVE CPET 2200-2C</v>
          </cell>
        </row>
        <row r="52">
          <cell r="B52" t="str">
            <v>EVOLVE CPET 2200-2C</v>
          </cell>
        </row>
        <row r="53">
          <cell r="B53" t="str">
            <v>EVOLVE CPET 2200-2C</v>
          </cell>
        </row>
        <row r="54">
          <cell r="B54" t="str">
            <v>SC700</v>
          </cell>
        </row>
        <row r="55">
          <cell r="B55" t="str">
            <v>SC700</v>
          </cell>
        </row>
        <row r="56">
          <cell r="B56" t="str">
            <v>SC700</v>
          </cell>
        </row>
        <row r="57">
          <cell r="B57" t="str">
            <v>SC17</v>
          </cell>
        </row>
        <row r="58">
          <cell r="B58" t="str">
            <v>Prepacked</v>
          </cell>
        </row>
        <row r="59">
          <cell r="B59" t="str">
            <v>Bag/Box</v>
          </cell>
        </row>
        <row r="60">
          <cell r="B60" t="str">
            <v>BLUE BAG 45MU</v>
          </cell>
        </row>
        <row r="61">
          <cell r="B61" t="str">
            <v>Trapezoid - Plain</v>
          </cell>
        </row>
        <row r="62">
          <cell r="B62" t="str">
            <v>Trapezoid - Plain</v>
          </cell>
        </row>
        <row r="63">
          <cell r="B63" t="str">
            <v>C5E CLEAR</v>
          </cell>
        </row>
        <row r="64">
          <cell r="B64" t="str">
            <v>H320/115-CLEAR (554)</v>
          </cell>
        </row>
        <row r="65">
          <cell r="B65" t="str">
            <v>H320/115-CLEAR (554)</v>
          </cell>
        </row>
        <row r="66">
          <cell r="B66" t="str">
            <v>EVOLVE CPET 2171-1F</v>
          </cell>
        </row>
        <row r="67">
          <cell r="B67" t="str">
            <v>SK5-Plain</v>
          </cell>
        </row>
        <row r="68">
          <cell r="B68" t="str">
            <v>H320/100-CLEAR (554)</v>
          </cell>
        </row>
        <row r="69">
          <cell r="B69" t="str">
            <v>H320/100-CLEAR (554)</v>
          </cell>
        </row>
        <row r="70">
          <cell r="B70">
            <v>551</v>
          </cell>
        </row>
        <row r="71">
          <cell r="B71">
            <v>554</v>
          </cell>
        </row>
        <row r="72">
          <cell r="B72">
            <v>596</v>
          </cell>
        </row>
        <row r="73">
          <cell r="B73" t="str">
            <v>2200-1D</v>
          </cell>
        </row>
        <row r="74">
          <cell r="B74" t="str">
            <v>2200-1E</v>
          </cell>
        </row>
        <row r="75">
          <cell r="B75" t="str">
            <v>2200-2B</v>
          </cell>
        </row>
        <row r="76">
          <cell r="B76" t="str">
            <v>2200-2C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C5-Cav Sqr</v>
          </cell>
        </row>
        <row r="80">
          <cell r="B80" t="str">
            <v>C-650</v>
          </cell>
        </row>
        <row r="81">
          <cell r="B81" t="str">
            <v>FW-30-Split</v>
          </cell>
        </row>
        <row r="82">
          <cell r="B82" t="str">
            <v>HW3-50 Div</v>
          </cell>
        </row>
        <row r="83">
          <cell r="B83" t="str">
            <v>SK4-Div</v>
          </cell>
        </row>
        <row r="84">
          <cell r="B84" t="str">
            <v>SK4-Plain</v>
          </cell>
        </row>
        <row r="85">
          <cell r="B85" t="str">
            <v>SK4-Split</v>
          </cell>
        </row>
        <row r="86">
          <cell r="B86" t="str">
            <v>SK5-Split</v>
          </cell>
        </row>
        <row r="87">
          <cell r="B87" t="str">
            <v>Bag/Box</v>
          </cell>
        </row>
        <row r="88">
          <cell r="B88" t="str">
            <v>EVOLVE CPET 2171-1F</v>
          </cell>
        </row>
        <row r="89">
          <cell r="B89" t="str">
            <v>EV 2200-1E-FROST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30"/>
      <c r="B1" s="31"/>
      <c r="C1" s="31"/>
      <c r="D1" s="31"/>
      <c r="E1" s="32"/>
      <c r="F1" s="39" t="s">
        <v>4</v>
      </c>
      <c r="G1" s="39"/>
      <c r="H1" s="39"/>
      <c r="I1" s="39"/>
      <c r="J1" s="39"/>
      <c r="K1" s="77"/>
      <c r="L1" s="77" t="s">
        <v>5</v>
      </c>
      <c r="M1" s="79"/>
      <c r="N1" s="77" t="s">
        <v>7</v>
      </c>
      <c r="O1" s="78"/>
      <c r="P1" s="78"/>
      <c r="Q1" s="79"/>
      <c r="R1" s="77" t="s">
        <v>6</v>
      </c>
      <c r="S1" s="78"/>
      <c r="T1" s="78"/>
      <c r="U1" s="78"/>
      <c r="V1" s="78"/>
      <c r="W1" s="78"/>
      <c r="X1" s="79"/>
      <c r="Y1" s="39" t="s">
        <v>9</v>
      </c>
      <c r="Z1" s="39"/>
      <c r="AA1" s="40"/>
    </row>
    <row r="2" spans="1:42" x14ac:dyDescent="0.25">
      <c r="A2" s="33"/>
      <c r="B2" s="34"/>
      <c r="C2" s="34"/>
      <c r="D2" s="34"/>
      <c r="E2" s="35"/>
      <c r="F2" s="83" t="s">
        <v>16</v>
      </c>
      <c r="G2" s="83"/>
      <c r="H2" s="83"/>
      <c r="I2" s="83"/>
      <c r="J2" s="83"/>
      <c r="K2" s="84"/>
      <c r="L2" s="84">
        <v>3</v>
      </c>
      <c r="M2" s="86"/>
      <c r="N2" s="84" t="s">
        <v>19</v>
      </c>
      <c r="O2" s="85"/>
      <c r="P2" s="85"/>
      <c r="Q2" s="86"/>
      <c r="R2" s="80" t="s">
        <v>29</v>
      </c>
      <c r="S2" s="81"/>
      <c r="T2" s="81"/>
      <c r="U2" s="81"/>
      <c r="V2" s="81"/>
      <c r="W2" s="81"/>
      <c r="X2" s="82"/>
      <c r="Y2" s="87" t="s">
        <v>12</v>
      </c>
      <c r="Z2" s="88"/>
      <c r="AA2" s="89"/>
    </row>
    <row r="3" spans="1:42" ht="33.75" customHeight="1" x14ac:dyDescent="0.25">
      <c r="A3" s="33"/>
      <c r="B3" s="34"/>
      <c r="C3" s="34"/>
      <c r="D3" s="34"/>
      <c r="E3" s="35"/>
      <c r="F3" s="95" t="s">
        <v>8</v>
      </c>
      <c r="G3" s="95"/>
      <c r="H3" s="95"/>
      <c r="I3" s="95"/>
      <c r="J3" s="95"/>
      <c r="K3" s="96"/>
      <c r="L3" s="24" t="s">
        <v>31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90"/>
      <c r="Z3" s="91"/>
      <c r="AA3" s="92"/>
      <c r="AE3"/>
    </row>
    <row r="4" spans="1:42" ht="28.5" customHeight="1" thickBot="1" x14ac:dyDescent="0.3">
      <c r="A4" s="36" t="s">
        <v>10</v>
      </c>
      <c r="B4" s="37"/>
      <c r="C4" s="37"/>
      <c r="D4" s="37"/>
      <c r="E4" s="38"/>
      <c r="F4" s="41" t="s">
        <v>25</v>
      </c>
      <c r="G4" s="42"/>
      <c r="H4" s="42"/>
      <c r="I4" s="42"/>
      <c r="J4" s="42"/>
      <c r="K4" s="42"/>
      <c r="L4" s="42"/>
      <c r="M4" s="43"/>
      <c r="N4" s="41" t="s">
        <v>21</v>
      </c>
      <c r="O4" s="42"/>
      <c r="P4" s="43"/>
      <c r="Q4" s="27" t="s">
        <v>20</v>
      </c>
      <c r="R4" s="28"/>
      <c r="S4" s="29"/>
      <c r="T4" s="27" t="s">
        <v>22</v>
      </c>
      <c r="U4" s="28"/>
      <c r="V4" s="28"/>
      <c r="W4" s="28"/>
      <c r="X4" s="29"/>
      <c r="Y4" s="93" t="s">
        <v>11</v>
      </c>
      <c r="Z4" s="93"/>
      <c r="AA4" s="94"/>
    </row>
    <row r="5" spans="1:42" ht="6.75" customHeight="1" thickTop="1" x14ac:dyDescent="0.25"/>
    <row r="6" spans="1:42" ht="18.75" x14ac:dyDescent="0.3">
      <c r="A6" s="18" t="s">
        <v>26</v>
      </c>
      <c r="B6" s="19"/>
      <c r="C6" s="19"/>
      <c r="D6" s="19"/>
      <c r="E6" s="19"/>
      <c r="F6" s="19"/>
      <c r="G6" s="19"/>
      <c r="H6" s="20"/>
      <c r="I6" s="21" t="s">
        <v>15</v>
      </c>
      <c r="J6" s="22"/>
      <c r="K6" s="22"/>
      <c r="L6" s="22"/>
      <c r="M6" s="22"/>
      <c r="N6" s="23"/>
      <c r="O6" s="21" t="s">
        <v>27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 spans="1:42" x14ac:dyDescent="0.25">
      <c r="A7" s="75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51" t="s">
        <v>1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  <c r="AE7"/>
    </row>
    <row r="8" spans="1:42" x14ac:dyDescent="0.25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5"/>
      <c r="X8" s="55"/>
      <c r="Y8" s="55"/>
      <c r="Z8" s="55"/>
      <c r="AA8" s="56"/>
      <c r="AC8" s="15"/>
      <c r="AD8" s="15"/>
      <c r="AE8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x14ac:dyDescent="0.25">
      <c r="A9" s="57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57"/>
      <c r="Q9" s="34"/>
      <c r="R9" s="34"/>
      <c r="S9" s="34"/>
      <c r="T9" s="34"/>
      <c r="U9" s="34"/>
      <c r="V9" s="34"/>
      <c r="W9" s="34"/>
      <c r="X9" s="34"/>
      <c r="Y9" s="34"/>
      <c r="Z9" s="34"/>
      <c r="AA9" s="3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5">
      <c r="A10" s="57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  <c r="P10" s="57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ht="18.75" x14ac:dyDescent="0.25">
      <c r="A11" s="57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  <c r="P11" s="57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5"/>
      <c r="AC11" s="15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</row>
    <row r="12" spans="1:42" x14ac:dyDescent="0.25">
      <c r="A12" s="57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  <c r="P12" s="57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5">
      <c r="A13" s="57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  <c r="P13" s="57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5"/>
      <c r="AC13" s="16" t="str">
        <f>IFERROR(VLOOKUP(A13,('[1]Tray Ref'!#REF!),15,FALSE),"")</f>
        <v/>
      </c>
      <c r="AD13" s="16"/>
      <c r="AE13" s="15"/>
      <c r="AF13" s="15"/>
      <c r="AG13" s="15"/>
      <c r="AH13" s="15"/>
      <c r="AI13" s="15"/>
      <c r="AJ13"/>
      <c r="AK13" s="15"/>
      <c r="AL13" s="15"/>
      <c r="AM13" s="15"/>
      <c r="AN13" s="15"/>
      <c r="AO13" s="15"/>
      <c r="AP13" s="15"/>
    </row>
    <row r="14" spans="1:42" x14ac:dyDescent="0.25">
      <c r="A14" s="57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5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C14" s="15"/>
      <c r="AD14" s="16"/>
      <c r="AE14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23.25" customHeight="1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22.5" customHeight="1" x14ac:dyDescent="0.25">
      <c r="A16" s="69" t="s">
        <v>30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45" t="s">
        <v>32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7"/>
      <c r="AC16" s="16"/>
      <c r="AD16" s="15"/>
      <c r="AE16" s="16" t="str">
        <f>IFERROR(VLOOKUP(#REF!,('[1]Tray Ref'!#REF!),18,FALSE),"")</f>
        <v/>
      </c>
      <c r="AF16" s="15"/>
      <c r="AG16" s="15"/>
      <c r="AH16" s="15"/>
      <c r="AI16"/>
      <c r="AJ16" s="15"/>
      <c r="AK16" s="15"/>
      <c r="AL16" s="15"/>
      <c r="AM16" s="15"/>
      <c r="AN16" s="15"/>
      <c r="AO16" s="15"/>
      <c r="AP16" s="15"/>
    </row>
    <row r="17" spans="1:42" ht="23.25" customHeight="1" x14ac:dyDescent="0.25">
      <c r="A17" s="72" t="s">
        <v>23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  <c r="AC17" s="17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5">
      <c r="A18" s="6"/>
      <c r="B18" s="52" t="s">
        <v>2</v>
      </c>
      <c r="C18" s="52"/>
      <c r="D18" s="52"/>
      <c r="E18" s="52"/>
      <c r="F18" s="52"/>
      <c r="G18" s="52"/>
      <c r="H18" s="52"/>
      <c r="I18" s="52"/>
      <c r="J18" s="52"/>
      <c r="K18" s="52" t="s">
        <v>3</v>
      </c>
      <c r="L18" s="52"/>
      <c r="M18" s="52"/>
      <c r="N18" s="52"/>
      <c r="O18" s="53"/>
      <c r="P18" s="51" t="s">
        <v>13</v>
      </c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  <c r="AE18"/>
    </row>
    <row r="19" spans="1:42" x14ac:dyDescent="0.25">
      <c r="A19" s="7"/>
      <c r="B19" s="8"/>
      <c r="C19" s="8"/>
      <c r="D19" s="8"/>
      <c r="E19" s="8"/>
      <c r="F19" s="8"/>
      <c r="G19" s="8"/>
      <c r="H19" s="8"/>
      <c r="I19" s="8"/>
      <c r="J19" s="9"/>
      <c r="K19" s="8"/>
      <c r="L19" s="8"/>
      <c r="M19" s="8"/>
      <c r="N19" s="8"/>
      <c r="O19" s="9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  <c r="AC19" s="5" t="str">
        <f>IFERROR(VLOOKUP(#REF!,('[1]Tray Ref'!#REF!),18,FALSE),"")</f>
        <v/>
      </c>
    </row>
    <row r="20" spans="1:42" x14ac:dyDescent="0.25">
      <c r="A20" s="2"/>
      <c r="B20" s="10"/>
      <c r="C20" s="10"/>
      <c r="D20" s="10"/>
      <c r="E20" s="10"/>
      <c r="F20" s="10"/>
      <c r="G20" s="10"/>
      <c r="H20" s="10"/>
      <c r="I20" s="10"/>
      <c r="J20" s="4"/>
      <c r="K20" s="10"/>
      <c r="L20" s="10"/>
      <c r="M20" s="10"/>
      <c r="N20" s="10"/>
      <c r="O20" s="4"/>
      <c r="P20" s="57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35"/>
    </row>
    <row r="21" spans="1:42" x14ac:dyDescent="0.25">
      <c r="A21" s="2"/>
      <c r="B21" s="10"/>
      <c r="C21" s="10"/>
      <c r="D21" s="10"/>
      <c r="E21" s="10"/>
      <c r="F21" s="10"/>
      <c r="G21" s="10"/>
      <c r="H21" s="10"/>
      <c r="I21" s="10"/>
      <c r="J21" s="4"/>
      <c r="K21" s="10"/>
      <c r="L21" s="10"/>
      <c r="M21" s="10"/>
      <c r="N21" s="10"/>
      <c r="O21" s="4"/>
      <c r="P21" s="57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35"/>
      <c r="AD21" s="14"/>
    </row>
    <row r="22" spans="1:42" x14ac:dyDescent="0.25">
      <c r="A22" s="2"/>
      <c r="B22" s="10"/>
      <c r="C22" s="10"/>
      <c r="D22" s="10"/>
      <c r="E22" s="10"/>
      <c r="F22" s="10"/>
      <c r="G22" s="10"/>
      <c r="H22" s="10"/>
      <c r="I22" s="10"/>
      <c r="J22" s="4"/>
      <c r="K22" s="10"/>
      <c r="L22" s="10"/>
      <c r="M22" s="10"/>
      <c r="N22" s="10"/>
      <c r="O22" s="4"/>
      <c r="P22" s="57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35"/>
    </row>
    <row r="23" spans="1:42" x14ac:dyDescent="0.25">
      <c r="A23" s="2"/>
      <c r="B23" s="10"/>
      <c r="C23" s="10"/>
      <c r="D23" s="10"/>
      <c r="E23" s="10"/>
      <c r="F23" s="10"/>
      <c r="G23" s="10"/>
      <c r="H23" s="10"/>
      <c r="I23" s="10"/>
      <c r="J23" s="4"/>
      <c r="K23" s="10"/>
      <c r="L23" s="10"/>
      <c r="M23" s="10"/>
      <c r="N23" s="10"/>
      <c r="O23" s="4"/>
      <c r="P23" s="57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35"/>
    </row>
    <row r="24" spans="1:42" x14ac:dyDescent="0.25">
      <c r="A24" s="2"/>
      <c r="B24" s="10"/>
      <c r="C24" s="10"/>
      <c r="D24" s="10"/>
      <c r="E24" s="10"/>
      <c r="F24" s="10"/>
      <c r="G24" s="10"/>
      <c r="H24" s="10"/>
      <c r="I24" s="10"/>
      <c r="J24" s="4"/>
      <c r="K24" s="10"/>
      <c r="L24" s="10"/>
      <c r="M24" s="10"/>
      <c r="N24" s="10"/>
      <c r="O24" s="4"/>
      <c r="P24" s="57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35"/>
      <c r="AC24" s="14"/>
    </row>
    <row r="25" spans="1:42" x14ac:dyDescent="0.25">
      <c r="A25" s="2"/>
      <c r="B25" s="10"/>
      <c r="C25" s="10"/>
      <c r="D25" s="10"/>
      <c r="E25" s="10"/>
      <c r="F25" s="10"/>
      <c r="G25" s="10"/>
      <c r="H25" s="10"/>
      <c r="I25" s="10"/>
      <c r="J25" s="4"/>
      <c r="K25" s="10"/>
      <c r="L25" s="10"/>
      <c r="M25" s="10"/>
      <c r="N25" s="10"/>
      <c r="O25" s="4"/>
      <c r="P25" s="57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35"/>
    </row>
    <row r="26" spans="1:42" x14ac:dyDescent="0.25">
      <c r="A26" s="2"/>
      <c r="B26" s="10"/>
      <c r="C26" s="10"/>
      <c r="D26" s="10"/>
      <c r="E26" s="10"/>
      <c r="F26" s="10"/>
      <c r="G26" s="10"/>
      <c r="H26" s="10"/>
      <c r="I26" s="10"/>
      <c r="J26" s="4"/>
      <c r="K26" s="10"/>
      <c r="L26" s="10"/>
      <c r="M26" s="10"/>
      <c r="N26" s="10"/>
      <c r="O26" s="4"/>
      <c r="P26" s="57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35"/>
      <c r="AC26" s="14"/>
    </row>
    <row r="27" spans="1:42" ht="28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3"/>
      <c r="K27" s="12"/>
      <c r="L27" s="12"/>
      <c r="M27" s="12"/>
      <c r="N27" s="12"/>
      <c r="O27" s="13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</row>
    <row r="28" spans="1:42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42" ht="39.75" customHeight="1" x14ac:dyDescent="0.25">
      <c r="A29" s="62" t="s">
        <v>17</v>
      </c>
      <c r="B29" s="63"/>
      <c r="C29" s="63"/>
      <c r="D29" s="63"/>
      <c r="E29" s="63"/>
      <c r="F29" s="63"/>
      <c r="G29" s="63"/>
      <c r="H29" s="63"/>
      <c r="I29" s="63"/>
      <c r="J29" s="64"/>
      <c r="K29" s="62" t="s">
        <v>18</v>
      </c>
      <c r="L29" s="63"/>
      <c r="M29" s="63"/>
      <c r="N29" s="63"/>
      <c r="O29" s="64"/>
      <c r="P29" s="62" t="s">
        <v>14</v>
      </c>
      <c r="Q29" s="63"/>
      <c r="R29" s="63"/>
      <c r="S29" s="63"/>
      <c r="T29" s="63"/>
      <c r="U29" s="63"/>
      <c r="V29" s="63"/>
      <c r="W29" s="63"/>
      <c r="X29" s="64"/>
      <c r="Y29" s="68" t="s">
        <v>28</v>
      </c>
      <c r="Z29" s="68"/>
      <c r="AA29" s="68"/>
    </row>
    <row r="30" spans="1:42" ht="20.25" hidden="1" customHeight="1" x14ac:dyDescent="0.25">
      <c r="A30" s="65"/>
      <c r="B30" s="66"/>
      <c r="C30" s="66"/>
      <c r="D30" s="66"/>
      <c r="E30" s="66"/>
      <c r="F30" s="66"/>
      <c r="G30" s="66"/>
      <c r="H30" s="66"/>
      <c r="I30" s="66"/>
      <c r="J30" s="67"/>
      <c r="K30" s="65"/>
      <c r="L30" s="66"/>
      <c r="M30" s="66"/>
      <c r="N30" s="66"/>
      <c r="O30" s="67"/>
      <c r="P30" s="65"/>
      <c r="Q30" s="66"/>
      <c r="R30" s="66"/>
      <c r="S30" s="66"/>
      <c r="T30" s="66"/>
      <c r="U30" s="66"/>
      <c r="V30" s="66"/>
      <c r="W30" s="66"/>
      <c r="X30" s="67"/>
      <c r="Y30" s="68"/>
      <c r="Z30" s="68"/>
      <c r="AA30" s="68"/>
    </row>
    <row r="31" spans="1:42" ht="12.75" customHeight="1" x14ac:dyDescent="0.25">
      <c r="A31" s="44" t="s">
        <v>24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42" ht="8.2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</sheetData>
  <mergeCells count="39"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  <mergeCell ref="A31:AA32"/>
    <mergeCell ref="P16:AA17"/>
    <mergeCell ref="P18:AA18"/>
    <mergeCell ref="P19:AA27"/>
    <mergeCell ref="P29:X30"/>
    <mergeCell ref="Y29:AA30"/>
    <mergeCell ref="A16:O16"/>
    <mergeCell ref="A17:O17"/>
    <mergeCell ref="B18:J18"/>
    <mergeCell ref="K18:O18"/>
    <mergeCell ref="A29:J30"/>
    <mergeCell ref="K29:O30"/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2020-12-01T10:59:21Z</cp:lastPrinted>
  <dcterms:created xsi:type="dcterms:W3CDTF">2018-08-01T08:42:18Z</dcterms:created>
  <dcterms:modified xsi:type="dcterms:W3CDTF">2022-06-13T12:56:50Z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