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\"/>
    </mc:Choice>
  </mc:AlternateContent>
  <xr:revisionPtr revIDLastSave="0" documentId="13_ncr:1_{EF8BE402-BE36-430F-B1BC-EA5E37CD5E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6" i="1" l="1"/>
  <c r="AC19" i="1"/>
  <c r="AC13" i="1"/>
</calcChain>
</file>

<file path=xl/sharedStrings.xml><?xml version="1.0" encoding="utf-8"?>
<sst xmlns="http://schemas.openxmlformats.org/spreadsheetml/2006/main" count="33" uniqueCount="33">
  <si>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</si>
  <si>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</si>
  <si>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</si>
  <si>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</si>
  <si>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</si>
  <si>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</si>
  <si>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</si>
  <si>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</si>
  <si>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</si>
  <si>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Authorised By</t>
  </si>
  <si>
    <t>Document amendments reason for change</t>
  </si>
  <si>
    <t>Uncontrolled copy unless signed original</t>
  </si>
  <si>
    <t>Magda Shah</t>
  </si>
  <si>
    <t>STEP 5</t>
  </si>
  <si>
    <r>
      <t xml:space="preserve">10 x Vegetable Pakora Cocktail 30g </t>
    </r>
    <r>
      <rPr>
        <sz val="14"/>
        <color theme="1"/>
        <rFont val="Calibri"/>
        <family val="2"/>
        <scheme val="minor"/>
      </rPr>
      <t>(GFF122R)</t>
    </r>
  </si>
  <si>
    <t>COSTCO</t>
  </si>
  <si>
    <t>GFF346MC</t>
  </si>
  <si>
    <r>
      <t xml:space="preserve">8 x Onion Bhaji Cocktail 40g </t>
    </r>
    <r>
      <rPr>
        <sz val="14"/>
        <color theme="1"/>
        <rFont val="Calibri"/>
        <family val="2"/>
        <scheme val="minor"/>
      </rPr>
      <t>(GFF121R)</t>
    </r>
  </si>
  <si>
    <r>
      <t xml:space="preserve">8 x Vegetable Samosas 40g </t>
    </r>
    <r>
      <rPr>
        <sz val="14"/>
        <color theme="1"/>
        <rFont val="Calibri"/>
        <family val="2"/>
        <scheme val="minor"/>
      </rPr>
      <t>(GFF123R)</t>
    </r>
  </si>
  <si>
    <t>28.10.2021</t>
  </si>
  <si>
    <t>Previous Issue Date</t>
  </si>
  <si>
    <t>Page 1 of 1</t>
  </si>
  <si>
    <t>26 Indian Selection  1020g</t>
  </si>
  <si>
    <t>Total Weight 
1020g</t>
  </si>
  <si>
    <r>
      <t>Film:</t>
    </r>
    <r>
      <rPr>
        <b/>
        <sz val="12"/>
        <color theme="1"/>
        <rFont val="Calibri"/>
        <family val="2"/>
        <scheme val="minor"/>
      </rPr>
      <t xml:space="preserve"> K Peel RPSM 25µm (340mmX1000lmm)-PKKMP001-05</t>
    </r>
  </si>
  <si>
    <t>21.11.2024</t>
  </si>
  <si>
    <t xml:space="preserve">26 Indian Selection  1020G   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</si>
  <si>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 (Gluten)</t>
    </r>
  </si>
  <si>
    <t>CINSC2 &amp; FINSC2</t>
  </si>
  <si>
    <t>27.12.2024</t>
  </si>
  <si>
    <t xml:space="preserve">Tray Updated </t>
  </si>
  <si>
    <t>Tray: HW308/60 - 3 CAVITY TRANS - 352X246X60 - (PKESS001-10)</t>
  </si>
  <si>
    <t>Spicy Tomato Dip Sachets (RMJAR001-01) 
 2 x 40g  |      80g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</si>
</sst>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2" borderId="0" xfId="0" applyFill="1"/>
    <xf numFmtId="0" fontId="0" fillId="2" borderId="7" xfId="0" applyFill="1" applyBorder="1"/>
    <xf numFmtId="0" fontId="0" fillId="2" borderId="11" xfId="0" applyFill="1" applyBorder="1"/>
    <xf numFmtId="0" fontId="6" fillId="0" borderId="0" xfId="0" applyFont="1" applyAlignment="1">
      <alignment vertical="center"/>
    </xf>
    <xf numFmtId="0" fontId="1" fillId="3" borderId="2" xfId="0" applyFont="1" applyFill="1" applyBorder="1"/>
    <xf numFmtId="0" fontId="0" fillId="2" borderId="6" xfId="0" applyFill="1" applyBorder="1"/>
    <xf numFmtId="0" fontId="0" fillId="2" borderId="5" xfId="0" applyFill="1" applyBorder="1"/>
    <xf numFmtId="0" fontId="0" fillId="2" borderId="12" xfId="0" applyFill="1" applyBorder="1"/>
    <xf numFmtId="0" fontId="0" fillId="2" borderId="9" xfId="0" applyFill="1" applyBorder="1"/>
    <xf numFmtId="0" fontId="0" fillId="2" borderId="8" xfId="0" applyFill="1" applyBorder="1"/>
    <xf numFmtId="0" fontId="0" fillId="2" borderId="10" xfId="0" applyFill="1" applyBorder="1"/>
    <xf numFmtId="1" fontId="8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1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wrapText="1"/>
    </xf>
    <xf numFmtId="0" fontId="4" fillId="2" borderId="28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4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0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EC4F7873-BBE9-487D-8EEB-00CE89BCE8A1" TargetMode="External"/><Relationship Id="rId13" Type="http://schemas.openxmlformats.org/officeDocument/2006/relationships/image" Target="../media/image10.jpeg"/><Relationship Id="rId3" Type="http://schemas.openxmlformats.org/officeDocument/2006/relationships/image" Target="../media/image3.emf"/><Relationship Id="rId7" Type="http://schemas.openxmlformats.org/officeDocument/2006/relationships/image" Target="../media/image6.jpeg"/><Relationship Id="rId12" Type="http://schemas.openxmlformats.org/officeDocument/2006/relationships/image" Target="../media/image9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5.png"/><Relationship Id="rId11" Type="http://schemas.openxmlformats.org/officeDocument/2006/relationships/image" Target="../media/image8.png"/><Relationship Id="rId5" Type="http://schemas.openxmlformats.org/officeDocument/2006/relationships/image" Target="cid:8EDFF59C-642B-492D-8B75-031F75E57186" TargetMode="External"/><Relationship Id="rId10" Type="http://schemas.openxmlformats.org/officeDocument/2006/relationships/image" Target="cid:A1F0F154-5E92-43AE-9B36-A1F803DB7B45" TargetMode="External"/><Relationship Id="rId4" Type="http://schemas.openxmlformats.org/officeDocument/2006/relationships/image" Target="../media/image4.jpeg"/><Relationship Id="rId9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590550</xdr:colOff>
      <xdr:row>7</xdr:row>
      <xdr:rowOff>66675</xdr:rowOff>
    </xdr:from>
    <xdr:to>
      <xdr:col>12</xdr:col>
      <xdr:colOff>295677</xdr:colOff>
      <xdr:row>10</xdr:row>
      <xdr:rowOff>200025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98504AC-4EFC-40EE-8500-2704C7DBC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1325" y="1695450"/>
          <a:ext cx="733827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333375</xdr:colOff>
      <xdr:row>7</xdr:row>
      <xdr:rowOff>66675</xdr:rowOff>
    </xdr:from>
    <xdr:to>
      <xdr:col>14</xdr:col>
      <xdr:colOff>161924</xdr:colOff>
      <xdr:row>10</xdr:row>
      <xdr:rowOff>209550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73C95A1-6D23-4B95-86EF-04EEC1496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1695450"/>
          <a:ext cx="800099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19050</xdr:colOff>
      <xdr:row>7</xdr:row>
      <xdr:rowOff>152401</xdr:rowOff>
    </xdr:from>
    <xdr:to>
      <xdr:col>16</xdr:col>
      <xdr:colOff>295276</xdr:colOff>
      <xdr:row>10</xdr:row>
      <xdr:rowOff>161927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23230CD-96D6-4CA8-97EC-B9328952F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1781176"/>
          <a:ext cx="581026" cy="581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775444</xdr:colOff>
      <xdr:row>7</xdr:row>
      <xdr:rowOff>66672</xdr:rowOff>
    </xdr:from>
    <xdr:to>
      <xdr:col>25</xdr:col>
      <xdr:colOff>266700</xdr:colOff>
      <xdr:row>14</xdr:row>
      <xdr:rowOff>276105</xdr:rowOff>
    </xdr:to>
    <xdr:pic>
      <xdr:nvPicPr>
        <xdr:cNvPr id="20" name="8EDFF59C-642B-492D-8B75-031F75E57186" descr="PHOTO-2022-06-15-16-04-51.jpg">
          <a:extLst>
            <a:ext uri="{FF2B5EF4-FFF2-40B4-BE49-F238E27FC236}">
              <a16:creationId xmlns:a16="http://schemas.microsoft.com/office/drawing/2014/main" id="{F16CD228-C479-E0D9-2DFE-9552048B31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0" t="17883" r="3787" b="15716"/>
        <a:stretch>
          <a:fillRect/>
        </a:stretch>
      </xdr:blipFill>
      <xdr:spPr bwMode="auto">
        <a:xfrm rot="16200000">
          <a:off x="6659993" y="1449698"/>
          <a:ext cx="1590558" cy="20820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66714</xdr:colOff>
      <xdr:row>18</xdr:row>
      <xdr:rowOff>95250</xdr:rowOff>
    </xdr:from>
    <xdr:to>
      <xdr:col>9</xdr:col>
      <xdr:colOff>161925</xdr:colOff>
      <xdr:row>26</xdr:row>
      <xdr:rowOff>203134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8CF42D0-01BF-CC2C-E026-580EFC3C9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714" y="4114800"/>
          <a:ext cx="2285961" cy="1631884"/>
        </a:xfrm>
        <a:prstGeom prst="rect">
          <a:avLst/>
        </a:prstGeom>
      </xdr:spPr>
    </xdr:pic>
    <xdr:clientData/>
  </xdr:twoCellAnchor>
  <xdr:twoCellAnchor>
    <xdr:from>
      <xdr:col>10</xdr:col>
      <xdr:colOff>38101</xdr:colOff>
      <xdr:row>18</xdr:row>
      <xdr:rowOff>85728</xdr:rowOff>
    </xdr:from>
    <xdr:to>
      <xdr:col>14</xdr:col>
      <xdr:colOff>171804</xdr:colOff>
      <xdr:row>26</xdr:row>
      <xdr:rowOff>217327</xdr:rowOff>
    </xdr:to>
    <xdr:pic>
      <xdr:nvPicPr>
        <xdr:cNvPr id="25" name="EC4F7873-BBE9-487D-8EEB-00CE89BCE8A1" descr="PHOTO-2022-06-15-15-56-49.jpg">
          <a:extLst>
            <a:ext uri="{FF2B5EF4-FFF2-40B4-BE49-F238E27FC236}">
              <a16:creationId xmlns:a16="http://schemas.microsoft.com/office/drawing/2014/main" id="{CBBF9960-710D-329A-BC87-53710192BF1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54" t="18968" r="5638" b="16977"/>
        <a:stretch>
          <a:fillRect/>
        </a:stretch>
      </xdr:blipFill>
      <xdr:spPr bwMode="auto">
        <a:xfrm rot="16200000">
          <a:off x="2668053" y="4066126"/>
          <a:ext cx="1655599" cy="2133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180979</xdr:colOff>
      <xdr:row>18</xdr:row>
      <xdr:rowOff>19048</xdr:rowOff>
    </xdr:from>
    <xdr:to>
      <xdr:col>23</xdr:col>
      <xdr:colOff>285750</xdr:colOff>
      <xdr:row>26</xdr:row>
      <xdr:rowOff>328794</xdr:rowOff>
    </xdr:to>
    <xdr:pic>
      <xdr:nvPicPr>
        <xdr:cNvPr id="26" name="A1F0F154-5E92-43AE-9B36-A1F803DB7B45" descr="PHOTO-2022-06-15-15-56-49.jpg">
          <a:extLst>
            <a:ext uri="{FF2B5EF4-FFF2-40B4-BE49-F238E27FC236}">
              <a16:creationId xmlns:a16="http://schemas.microsoft.com/office/drawing/2014/main" id="{C112B3CC-6DA0-2B76-6592-8EE0664445F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72" t="13952" r="5439" b="22400"/>
        <a:stretch>
          <a:fillRect/>
        </a:stretch>
      </xdr:blipFill>
      <xdr:spPr bwMode="auto">
        <a:xfrm rot="16200000">
          <a:off x="5793492" y="3960110"/>
          <a:ext cx="1833746" cy="23907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19050</xdr:colOff>
      <xdr:row>1</xdr:row>
      <xdr:rowOff>28575</xdr:rowOff>
    </xdr:from>
    <xdr:to>
      <xdr:col>26</xdr:col>
      <xdr:colOff>619125</xdr:colOff>
      <xdr:row>2</xdr:row>
      <xdr:rowOff>172975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C5BE6B-0CE6-615D-964B-B5E715360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248650" y="228600"/>
          <a:ext cx="990600" cy="33490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57150</xdr:rowOff>
    </xdr:from>
    <xdr:to>
      <xdr:col>3</xdr:col>
      <xdr:colOff>335664</xdr:colOff>
      <xdr:row>2</xdr:row>
      <xdr:rowOff>257175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01F6D0-6095-931F-65FC-03BB6F83E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71450" y="57150"/>
          <a:ext cx="964314" cy="590550"/>
        </a:xfrm>
        <a:prstGeom prst="rect">
          <a:avLst/>
        </a:prstGeom>
      </xdr:spPr>
    </xdr:pic>
    <xdr:clientData/>
  </xdr:twoCellAnchor>
  <xdr:twoCellAnchor>
    <xdr:from>
      <xdr:col>11</xdr:col>
      <xdr:colOff>28575</xdr:colOff>
      <xdr:row>11</xdr:row>
      <xdr:rowOff>171450</xdr:rowOff>
    </xdr:from>
    <xdr:to>
      <xdr:col>16</xdr:col>
      <xdr:colOff>57150</xdr:colOff>
      <xdr:row>14</xdr:row>
      <xdr:rowOff>247650</xdr:rowOff>
    </xdr:to>
    <xdr:sp macro="" textlink="">
      <xdr:nvSpPr>
        <xdr:cNvPr id="5" name="TextBox 6">
          <a:extLst>
            <a:ext uri="{FF2B5EF4-FFF2-40B4-BE49-F238E27FC236}">
              <a16:creationId xmlns:a16="http://schemas.microsoft.com/office/drawing/2014/main" id="{E419C525-85CF-4396-985A-1DA95099150C}"/>
            </a:ext>
          </a:extLst>
        </xdr:cNvPr>
        <xdr:cNvSpPr txBox="1"/>
      </xdr:nvSpPr>
      <xdr:spPr>
        <a:xfrm>
          <a:off x="3228975" y="2609850"/>
          <a:ext cx="1724025" cy="6477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400" b="1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PACK DAY + 1 YEAR</a:t>
          </a:r>
          <a:endParaRPr lang="en-GB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400" b="1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GAS FLUSH</a:t>
          </a:r>
          <a:endParaRPr lang="en-GB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9</xdr:col>
      <xdr:colOff>57150</xdr:colOff>
      <xdr:row>7</xdr:row>
      <xdr:rowOff>152400</xdr:rowOff>
    </xdr:from>
    <xdr:ext cx="723900" cy="3788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2010A29-D311-D894-A9E4-5AB860ED7C5C}"/>
            </a:ext>
          </a:extLst>
        </xdr:cNvPr>
        <xdr:cNvSpPr txBox="1"/>
      </xdr:nvSpPr>
      <xdr:spPr>
        <a:xfrm>
          <a:off x="2247900" y="1781175"/>
          <a:ext cx="723900" cy="378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GB" sz="1100" kern="1200"/>
        </a:p>
      </xdr:txBody>
    </xdr:sp>
    <xdr:clientData/>
  </xdr:oneCellAnchor>
  <xdr:oneCellAnchor>
    <xdr:from>
      <xdr:col>8</xdr:col>
      <xdr:colOff>171450</xdr:colOff>
      <xdr:row>8</xdr:row>
      <xdr:rowOff>38100</xdr:rowOff>
    </xdr:from>
    <xdr:ext cx="847725" cy="3788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F4B92A9-6BF7-47FA-8DCD-18F39A27888D}"/>
            </a:ext>
          </a:extLst>
        </xdr:cNvPr>
        <xdr:cNvSpPr txBox="1"/>
      </xdr:nvSpPr>
      <xdr:spPr>
        <a:xfrm>
          <a:off x="2171700" y="1857375"/>
          <a:ext cx="847725" cy="378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 kern="1200"/>
            <a:t>CHILLED</a:t>
          </a:r>
        </a:p>
      </xdr:txBody>
    </xdr:sp>
    <xdr:clientData/>
  </xdr:oneCellAnchor>
  <xdr:oneCellAnchor>
    <xdr:from>
      <xdr:col>9</xdr:col>
      <xdr:colOff>76200</xdr:colOff>
      <xdr:row>12</xdr:row>
      <xdr:rowOff>171450</xdr:rowOff>
    </xdr:from>
    <xdr:ext cx="876300" cy="3788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46CA52B-0C5C-460A-97FE-672148584124}"/>
            </a:ext>
          </a:extLst>
        </xdr:cNvPr>
        <xdr:cNvSpPr txBox="1"/>
      </xdr:nvSpPr>
      <xdr:spPr>
        <a:xfrm>
          <a:off x="2266950" y="2800350"/>
          <a:ext cx="876300" cy="378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 kern="1200"/>
            <a:t>FROZEN</a:t>
          </a:r>
        </a:p>
      </xdr:txBody>
    </xdr:sp>
    <xdr:clientData/>
  </xdr:oneCellAnchor>
  <xdr:twoCellAnchor>
    <xdr:from>
      <xdr:col>0</xdr:col>
      <xdr:colOff>161925</xdr:colOff>
      <xdr:row>7</xdr:row>
      <xdr:rowOff>76199</xdr:rowOff>
    </xdr:from>
    <xdr:to>
      <xdr:col>8</xdr:col>
      <xdr:colOff>152400</xdr:colOff>
      <xdr:row>14</xdr:row>
      <xdr:rowOff>191067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5E2EA7A-D2BC-4FE5-A8A2-267AEBEA6E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37" t="7869" r="6707" b="10855"/>
        <a:stretch/>
      </xdr:blipFill>
      <xdr:spPr bwMode="auto">
        <a:xfrm rot="16200000">
          <a:off x="409291" y="1457608"/>
          <a:ext cx="1495993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MMON MASTER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-</v>
          </cell>
        </row>
        <row r="3">
          <cell r="B3" t="str">
            <v>C5-Cav Rnd</v>
          </cell>
        </row>
        <row r="4">
          <cell r="B4" t="str">
            <v>C5 12 CAV Rnd - Clear</v>
          </cell>
        </row>
        <row r="5">
          <cell r="B5" t="str">
            <v>COOK BOX TRAY</v>
          </cell>
        </row>
        <row r="6">
          <cell r="B6" t="str">
            <v>Duo-Pot</v>
          </cell>
        </row>
        <row r="7">
          <cell r="B7" t="str">
            <v xml:space="preserve">SINGLE CAVITY/F145 </v>
          </cell>
        </row>
        <row r="8">
          <cell r="B8" t="str">
            <v>2200-1B</v>
          </cell>
        </row>
        <row r="9">
          <cell r="B9" t="str">
            <v>SIX500 ENTRÉE SMALL BLK</v>
          </cell>
        </row>
        <row r="10">
          <cell r="B10" t="str">
            <v>EVOLVE CPET 2200-1E</v>
          </cell>
        </row>
        <row r="11">
          <cell r="B11" t="str">
            <v>EVOLVE CPET 2200-2F</v>
          </cell>
        </row>
        <row r="12">
          <cell r="B12" t="str">
            <v>EVOLVE CPET 2200-2B</v>
          </cell>
        </row>
        <row r="13">
          <cell r="B13" t="str">
            <v>EVOLVE CPET 2200-2C</v>
          </cell>
        </row>
        <row r="14">
          <cell r="B14" t="str">
            <v>SC700</v>
          </cell>
        </row>
        <row r="15">
          <cell r="B15" t="str">
            <v>Prepacked</v>
          </cell>
        </row>
        <row r="16">
          <cell r="B16" t="str">
            <v>Trapezoid - Plain</v>
          </cell>
        </row>
        <row r="17">
          <cell r="B17" t="str">
            <v>EVOLVE CPET 2200-1D</v>
          </cell>
        </row>
        <row r="18">
          <cell r="B18" t="str">
            <v>SK4-Split Clear</v>
          </cell>
        </row>
        <row r="19">
          <cell r="B19" t="str">
            <v xml:space="preserve">SINGLE CAVITY/F145 </v>
          </cell>
        </row>
        <row r="20">
          <cell r="B20" t="str">
            <v>SK5-Tex</v>
          </cell>
        </row>
        <row r="21">
          <cell r="B21" t="str">
            <v>2OZ DIP POT/LID</v>
          </cell>
        </row>
        <row r="22">
          <cell r="B22" t="str">
            <v>Bucket 10kg</v>
          </cell>
        </row>
        <row r="23">
          <cell r="B23" t="str">
            <v>SK4-Plain Clear</v>
          </cell>
        </row>
        <row r="24">
          <cell r="B24" t="str">
            <v>Ind Meal Box</v>
          </cell>
        </row>
        <row r="25">
          <cell r="B25" t="str">
            <v>Ind Meal Box - 1</v>
          </cell>
        </row>
        <row r="26">
          <cell r="B26" t="str">
            <v>Ind Meal Box - 2</v>
          </cell>
        </row>
        <row r="27">
          <cell r="B27" t="str">
            <v>Ind Meal Box for 1</v>
          </cell>
        </row>
        <row r="28">
          <cell r="B28" t="str">
            <v>Lid-Base</v>
          </cell>
        </row>
        <row r="29">
          <cell r="B29" t="str">
            <v>Fajita</v>
          </cell>
        </row>
        <row r="30">
          <cell r="B30" t="str">
            <v>Tub-Lead</v>
          </cell>
        </row>
        <row r="31">
          <cell r="B31" t="str">
            <v>Ok Meal Box</v>
          </cell>
        </row>
        <row r="32">
          <cell r="B32" t="str">
            <v>OR Meal Box - 1</v>
          </cell>
        </row>
        <row r="33">
          <cell r="B33" t="str">
            <v>OR Meal Box for 1</v>
          </cell>
        </row>
        <row r="34">
          <cell r="B34" t="str">
            <v>SC109-650-POT</v>
          </cell>
        </row>
        <row r="35">
          <cell r="B35" t="str">
            <v>Meal Box For 2 H</v>
          </cell>
        </row>
        <row r="36">
          <cell r="B36" t="str">
            <v>SC17</v>
          </cell>
        </row>
        <row r="37">
          <cell r="B37" t="str">
            <v>Bag/Box</v>
          </cell>
        </row>
        <row r="38">
          <cell r="B38" t="str">
            <v>BLUE BAG 45MU</v>
          </cell>
        </row>
        <row r="39">
          <cell r="B39" t="str">
            <v>C5E CLEAR</v>
          </cell>
        </row>
        <row r="40">
          <cell r="B40" t="str">
            <v>EVOLVE CPET 2171-1F</v>
          </cell>
        </row>
        <row r="41">
          <cell r="B41" t="str">
            <v>EV 2200-1E-FROST</v>
          </cell>
        </row>
        <row r="42">
          <cell r="B42" t="str">
            <v>Trapezoid</v>
          </cell>
        </row>
        <row r="43">
          <cell r="B43" t="str">
            <v>HW308/60-3 X CAV</v>
          </cell>
        </row>
        <row r="44">
          <cell r="B44" t="str">
            <v>HW308/96</v>
          </cell>
        </row>
        <row r="45">
          <cell r="B45" t="str">
            <v>HW308/60</v>
          </cell>
        </row>
        <row r="46">
          <cell r="B46" t="str">
            <v>Pie Tray</v>
          </cell>
        </row>
        <row r="47">
          <cell r="B47" t="str">
            <v>FLAT TRAY</v>
          </cell>
        </row>
        <row r="48">
          <cell r="B48" t="str">
            <v>MEALKIT-EHB</v>
          </cell>
        </row>
        <row r="49">
          <cell r="B49" t="str">
            <v>TB017-180PL</v>
          </cell>
        </row>
        <row r="50">
          <cell r="B50" t="str">
            <v>GRAB &amp; GO SQ</v>
          </cell>
        </row>
        <row r="51">
          <cell r="B51" t="str">
            <v>WRAP TRAY</v>
          </cell>
        </row>
        <row r="52">
          <cell r="B52" t="str">
            <v>597 NATURAL</v>
          </cell>
        </row>
        <row r="53">
          <cell r="B53" t="str">
            <v>SK5-SPLITCL1</v>
          </cell>
        </row>
        <row r="54">
          <cell r="B54" t="str">
            <v>IS CHKN HUT BAG</v>
          </cell>
        </row>
        <row r="55">
          <cell r="B55" t="str">
            <v>2200-1B</v>
          </cell>
        </row>
        <row r="56">
          <cell r="B56" t="str">
            <v>2200-2F</v>
          </cell>
        </row>
        <row r="57">
          <cell r="B57" t="str">
            <v>A-650</v>
          </cell>
        </row>
        <row r="58">
          <cell r="B58" t="str">
            <v>C5-Cav Sqr</v>
          </cell>
        </row>
        <row r="59">
          <cell r="B59" t="str">
            <v>C-650</v>
          </cell>
        </row>
        <row r="60">
          <cell r="B60" t="str">
            <v>FW-30-Split</v>
          </cell>
        </row>
        <row r="61">
          <cell r="B61" t="str">
            <v>HW3-50 Div</v>
          </cell>
        </row>
        <row r="62">
          <cell r="B62" t="str">
            <v>SK4-Div</v>
          </cell>
        </row>
        <row r="63">
          <cell r="B63" t="str">
            <v>SK4-Plain</v>
          </cell>
        </row>
        <row r="64">
          <cell r="B64" t="str">
            <v>SK4-Split</v>
          </cell>
        </row>
        <row r="65">
          <cell r="B65" t="str">
            <v>SK5-Split</v>
          </cell>
        </row>
        <row r="66">
          <cell r="B66" t="str">
            <v>Bag/Box</v>
          </cell>
        </row>
        <row r="67">
          <cell r="B67" t="str">
            <v>H3H 50 - CLEAR</v>
          </cell>
        </row>
        <row r="68">
          <cell r="B68" t="str">
            <v>Duo-Pot</v>
          </cell>
        </row>
        <row r="69">
          <cell r="B69" t="str">
            <v>Duo-Pot</v>
          </cell>
        </row>
        <row r="70">
          <cell r="B70" t="str">
            <v>Trapezoid</v>
          </cell>
        </row>
        <row r="71">
          <cell r="B71" t="str">
            <v>Trapezoid</v>
          </cell>
        </row>
        <row r="72">
          <cell r="B72" t="str">
            <v>H3H 50 - CLEAR</v>
          </cell>
        </row>
        <row r="73">
          <cell r="B73" t="str">
            <v>H320/60 -CLEAR (596)</v>
          </cell>
        </row>
        <row r="74">
          <cell r="B74" t="str">
            <v>SK4-CLEAR (C4 CLEAR R-PET)</v>
          </cell>
        </row>
        <row r="75">
          <cell r="B75" t="str">
            <v>2200-1B</v>
          </cell>
        </row>
        <row r="76">
          <cell r="B76" t="str">
            <v>2200-2B</v>
          </cell>
        </row>
        <row r="77">
          <cell r="B77" t="str">
            <v>2200-2C</v>
          </cell>
        </row>
        <row r="78">
          <cell r="B78" t="str">
            <v>2200-1D</v>
          </cell>
        </row>
        <row r="79">
          <cell r="B79" t="str">
            <v>EVOLVE CPET 2200-1E</v>
          </cell>
        </row>
        <row r="80">
          <cell r="B80" t="str">
            <v>EVOLVE CPET 2200-1E</v>
          </cell>
        </row>
        <row r="81">
          <cell r="B81" t="str">
            <v>EVOLVE CPET 2200-1D</v>
          </cell>
        </row>
        <row r="82">
          <cell r="B82" t="str">
            <v>EVOLVE CPET 2200-1D</v>
          </cell>
        </row>
        <row r="83">
          <cell r="B83" t="str">
            <v>EVOLVE CPET 2200-2F</v>
          </cell>
        </row>
        <row r="84">
          <cell r="B84" t="str">
            <v>EVOLVE CPET 2200-2F</v>
          </cell>
        </row>
        <row r="85">
          <cell r="B85" t="str">
            <v>EVOLVE CPET 2200-2B</v>
          </cell>
        </row>
        <row r="86">
          <cell r="B86" t="str">
            <v>EVOLVE CPET 2200-2B</v>
          </cell>
        </row>
        <row r="87">
          <cell r="B87" t="str">
            <v>2200-1E</v>
          </cell>
        </row>
        <row r="88">
          <cell r="B88" t="str">
            <v>EVOLVE CPET 2200-2C</v>
          </cell>
        </row>
        <row r="89">
          <cell r="B89" t="str">
            <v>H320/60 -CLEAR (596)</v>
          </cell>
        </row>
        <row r="90">
          <cell r="B90" t="str">
            <v>SC700</v>
          </cell>
        </row>
        <row r="91">
          <cell r="B91" t="str">
            <v>SC700</v>
          </cell>
        </row>
        <row r="92">
          <cell r="B92" t="str">
            <v>Trapezoid - Plain</v>
          </cell>
        </row>
        <row r="93">
          <cell r="B93" t="str">
            <v>SK5-Plain</v>
          </cell>
        </row>
        <row r="94">
          <cell r="B94" t="str">
            <v>H320/100-CLEAR (554)</v>
          </cell>
        </row>
        <row r="95">
          <cell r="B95" t="str">
            <v>H320/100-CLEAR (554)</v>
          </cell>
        </row>
        <row r="96">
          <cell r="B96">
            <v>551</v>
          </cell>
        </row>
        <row r="97">
          <cell r="B97">
            <v>554</v>
          </cell>
        </row>
        <row r="98">
          <cell r="B98">
            <v>596</v>
          </cell>
        </row>
        <row r="99">
          <cell r="B99" t="str">
            <v>EVOLVE CPET 2200-2C</v>
          </cell>
        </row>
        <row r="100">
          <cell r="B100" t="str">
            <v>EVOLVE CPET 2171-1F</v>
          </cell>
        </row>
        <row r="101">
          <cell r="B101" t="str">
            <v>H320/115-CLEAR (554)</v>
          </cell>
        </row>
        <row r="102">
          <cell r="B102" t="str">
            <v>H320/115-CLEAR (554)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2"/>
  <sheetViews>
    <sheetView tabSelected="1" workbookViewId="0">
      <selection activeCell="A6" sqref="A6:H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5" style="1" customWidth="1"/>
    <col min="25" max="25" width="4.140625" style="1" customWidth="1"/>
    <col min="26" max="26" width="5.85546875" style="1" customWidth="1"/>
    <col min="27" max="27" width="11.7109375" style="1" customWidth="1"/>
    <col min="28" max="28" width="9.140625" style="1"/>
    <col min="29" max="29" width="10.7109375" style="1" customWidth="1"/>
    <col min="30" max="16384" width="9.140625" style="1"/>
  </cols>
  <sheetData>
    <row r="1" spans="1:42" ht="15.75" thickTop="1" x14ac:dyDescent="0.25">
      <c r="A1" s="69"/>
      <c r="B1" s="70"/>
      <c r="C1" s="70"/>
      <c r="D1" s="70"/>
      <c r="E1" s="71"/>
      <c r="F1" s="22" t="s">
        <v>4</v>
      </c>
      <c r="G1" s="22"/>
      <c r="H1" s="22"/>
      <c r="I1" s="22"/>
      <c r="J1" s="22"/>
      <c r="K1" s="16"/>
      <c r="L1" s="16" t="s">
        <v>5</v>
      </c>
      <c r="M1" s="18"/>
      <c r="N1" s="16" t="s">
        <v>7</v>
      </c>
      <c r="O1" s="17"/>
      <c r="P1" s="17"/>
      <c r="Q1" s="18"/>
      <c r="R1" s="16" t="s">
        <v>6</v>
      </c>
      <c r="S1" s="17"/>
      <c r="T1" s="17"/>
      <c r="U1" s="17"/>
      <c r="V1" s="17"/>
      <c r="W1" s="17"/>
      <c r="X1" s="18"/>
      <c r="Y1" s="22" t="s">
        <v>9</v>
      </c>
      <c r="Z1" s="22"/>
      <c r="AA1" s="76"/>
    </row>
    <row r="2" spans="1:42" x14ac:dyDescent="0.25">
      <c r="A2" s="72"/>
      <c r="B2" s="45"/>
      <c r="C2" s="45"/>
      <c r="D2" s="45"/>
      <c r="E2" s="46"/>
      <c r="F2" s="23" t="s">
        <v>16</v>
      </c>
      <c r="G2" s="23"/>
      <c r="H2" s="23"/>
      <c r="I2" s="23"/>
      <c r="J2" s="23"/>
      <c r="K2" s="24"/>
      <c r="L2" s="24">
        <v>5</v>
      </c>
      <c r="M2" s="26"/>
      <c r="N2" s="24" t="s">
        <v>19</v>
      </c>
      <c r="O2" s="25"/>
      <c r="P2" s="25"/>
      <c r="Q2" s="26"/>
      <c r="R2" s="19" t="s">
        <v>29</v>
      </c>
      <c r="S2" s="20"/>
      <c r="T2" s="20"/>
      <c r="U2" s="20"/>
      <c r="V2" s="20"/>
      <c r="W2" s="20"/>
      <c r="X2" s="21"/>
      <c r="Y2" s="27" t="s">
        <v>12</v>
      </c>
      <c r="Z2" s="28"/>
      <c r="AA2" s="29"/>
    </row>
    <row r="3" spans="1:42" ht="26.25" customHeight="1" x14ac:dyDescent="0.25">
      <c r="A3" s="72"/>
      <c r="B3" s="45"/>
      <c r="C3" s="45"/>
      <c r="D3" s="45"/>
      <c r="E3" s="46"/>
      <c r="F3" s="35" t="s">
        <v>8</v>
      </c>
      <c r="G3" s="35"/>
      <c r="H3" s="35"/>
      <c r="I3" s="35"/>
      <c r="J3" s="35"/>
      <c r="K3" s="36"/>
      <c r="L3" s="63" t="s">
        <v>22</v>
      </c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5"/>
      <c r="Y3" s="30"/>
      <c r="Z3" s="31"/>
      <c r="AA3" s="32"/>
    </row>
    <row r="4" spans="1:42" ht="28.5" customHeight="1" thickBot="1" x14ac:dyDescent="0.3">
      <c r="A4" s="73" t="s">
        <v>10</v>
      </c>
      <c r="B4" s="74"/>
      <c r="C4" s="74"/>
      <c r="D4" s="74"/>
      <c r="E4" s="75"/>
      <c r="F4" s="77" t="s">
        <v>30</v>
      </c>
      <c r="G4" s="78"/>
      <c r="H4" s="78"/>
      <c r="I4" s="78"/>
      <c r="J4" s="78"/>
      <c r="K4" s="78"/>
      <c r="L4" s="78"/>
      <c r="M4" s="79"/>
      <c r="N4" s="77" t="s">
        <v>21</v>
      </c>
      <c r="O4" s="78"/>
      <c r="P4" s="79"/>
      <c r="Q4" s="66" t="s">
        <v>20</v>
      </c>
      <c r="R4" s="67"/>
      <c r="S4" s="68"/>
      <c r="T4" s="66" t="s">
        <v>25</v>
      </c>
      <c r="U4" s="67"/>
      <c r="V4" s="67"/>
      <c r="W4" s="67"/>
      <c r="X4" s="68"/>
      <c r="Y4" s="33" t="s">
        <v>11</v>
      </c>
      <c r="Z4" s="33"/>
      <c r="AA4" s="34"/>
    </row>
    <row r="5" spans="1:42" ht="6.75" customHeight="1" thickTop="1" x14ac:dyDescent="0.25"/>
    <row r="6" spans="1:42" ht="21" x14ac:dyDescent="0.3">
      <c r="A6" s="57" t="s">
        <v>28</v>
      </c>
      <c r="B6" s="58"/>
      <c r="C6" s="58"/>
      <c r="D6" s="58"/>
      <c r="E6" s="58"/>
      <c r="F6" s="58"/>
      <c r="G6" s="58"/>
      <c r="H6" s="59"/>
      <c r="I6" s="60" t="s">
        <v>15</v>
      </c>
      <c r="J6" s="61"/>
      <c r="K6" s="61"/>
      <c r="L6" s="61"/>
      <c r="M6" s="61"/>
      <c r="N6" s="62"/>
      <c r="O6" s="60" t="s">
        <v>26</v>
      </c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2"/>
    </row>
    <row r="7" spans="1:42" x14ac:dyDescent="0.25">
      <c r="A7" s="81" t="s">
        <v>0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 t="s">
        <v>1</v>
      </c>
      <c r="S7" s="81"/>
      <c r="T7" s="81"/>
      <c r="U7" s="81"/>
      <c r="V7" s="81"/>
      <c r="W7" s="81"/>
      <c r="X7" s="81"/>
      <c r="Y7" s="81"/>
      <c r="Z7" s="81"/>
      <c r="AA7" s="81"/>
      <c r="AC7"/>
    </row>
    <row r="8" spans="1:42" x14ac:dyDescent="0.25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42"/>
      <c r="S8" s="42"/>
      <c r="T8" s="42"/>
      <c r="U8" s="42"/>
      <c r="V8" s="42"/>
      <c r="W8" s="42"/>
      <c r="X8" s="42"/>
      <c r="Y8" s="42"/>
      <c r="Z8" s="42"/>
      <c r="AA8" s="43"/>
    </row>
    <row r="9" spans="1:42" x14ac:dyDescent="0.25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45"/>
      <c r="S9" s="45"/>
      <c r="T9" s="45"/>
      <c r="U9" s="45"/>
      <c r="V9" s="45"/>
      <c r="W9" s="45"/>
      <c r="X9" s="45"/>
      <c r="Y9" s="45"/>
      <c r="Z9" s="45"/>
      <c r="AA9" s="46"/>
      <c r="AD9"/>
    </row>
    <row r="10" spans="1:42" x14ac:dyDescent="0.25">
      <c r="A10" s="80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45"/>
      <c r="S10" s="45"/>
      <c r="T10" s="45"/>
      <c r="U10" s="45"/>
      <c r="V10" s="45"/>
      <c r="W10" s="45"/>
      <c r="X10" s="45"/>
      <c r="Y10" s="45"/>
      <c r="Z10" s="45"/>
      <c r="AA10" s="46"/>
      <c r="AE10"/>
    </row>
    <row r="11" spans="1:42" ht="18.75" x14ac:dyDescent="0.25">
      <c r="A11" s="80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45"/>
      <c r="S11" s="45"/>
      <c r="T11" s="45"/>
      <c r="U11" s="45"/>
      <c r="V11" s="45"/>
      <c r="W11" s="45"/>
      <c r="X11" s="45"/>
      <c r="Y11" s="45"/>
      <c r="Z11" s="45"/>
      <c r="AA11" s="46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</row>
    <row r="12" spans="1:42" x14ac:dyDescent="0.25">
      <c r="A12" s="80"/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45"/>
      <c r="S12" s="45"/>
      <c r="T12" s="45"/>
      <c r="U12" s="45"/>
      <c r="V12" s="45"/>
      <c r="W12" s="45"/>
      <c r="X12" s="45"/>
      <c r="Y12" s="45"/>
      <c r="Z12" s="45"/>
      <c r="AA12" s="46"/>
    </row>
    <row r="13" spans="1:42" x14ac:dyDescent="0.25">
      <c r="A13" s="80"/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45"/>
      <c r="S13" s="45"/>
      <c r="T13" s="45"/>
      <c r="U13" s="45"/>
      <c r="V13" s="45"/>
      <c r="W13" s="45"/>
      <c r="X13" s="45"/>
      <c r="Y13" s="45"/>
      <c r="Z13" s="45"/>
      <c r="AA13" s="46"/>
      <c r="AC13" s="13" t="str">
        <f>IFERROR(VLOOKUP(A13,('[1]Tray Ref'!#REF!),15,FALSE),"")</f>
        <v/>
      </c>
      <c r="AD13" s="13"/>
      <c r="AE13"/>
    </row>
    <row r="14" spans="1:42" x14ac:dyDescent="0.25">
      <c r="A14" s="80"/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45"/>
      <c r="S14" s="45"/>
      <c r="T14" s="45"/>
      <c r="U14" s="45"/>
      <c r="V14" s="45"/>
      <c r="W14" s="45"/>
      <c r="X14" s="45"/>
      <c r="Y14" s="45"/>
      <c r="Z14" s="45"/>
      <c r="AA14" s="46"/>
      <c r="AD14"/>
      <c r="AE14"/>
      <c r="AF14"/>
    </row>
    <row r="15" spans="1:42" ht="23.25" customHeight="1" x14ac:dyDescent="0.25">
      <c r="A15" s="80"/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48"/>
      <c r="S15" s="48"/>
      <c r="T15" s="48"/>
      <c r="U15" s="48"/>
      <c r="V15" s="48"/>
      <c r="W15" s="48"/>
      <c r="X15" s="48"/>
      <c r="Y15" s="48"/>
      <c r="Z15" s="48"/>
      <c r="AA15" s="49"/>
    </row>
    <row r="16" spans="1:42" ht="18" customHeight="1" x14ac:dyDescent="0.25">
      <c r="A16" s="82" t="s">
        <v>31</v>
      </c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51" t="s">
        <v>32</v>
      </c>
      <c r="S16" s="51"/>
      <c r="T16" s="51"/>
      <c r="U16" s="51"/>
      <c r="V16" s="51"/>
      <c r="W16" s="51"/>
      <c r="X16" s="51"/>
      <c r="Y16" s="51"/>
      <c r="Z16" s="51"/>
      <c r="AA16" s="52"/>
      <c r="AC16" s="13"/>
      <c r="AE16" s="13" t="str">
        <f>IFERROR(VLOOKUP(#REF!,('[1]Tray Ref'!#REF!),18,FALSE),"")</f>
        <v/>
      </c>
    </row>
    <row r="17" spans="1:30" ht="23.25" customHeight="1" x14ac:dyDescent="0.25">
      <c r="A17" s="83" t="s">
        <v>24</v>
      </c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54"/>
      <c r="S17" s="54"/>
      <c r="T17" s="54"/>
      <c r="U17" s="54"/>
      <c r="V17" s="54"/>
      <c r="W17" s="54"/>
      <c r="X17" s="54"/>
      <c r="Y17" s="54"/>
      <c r="Z17" s="54"/>
      <c r="AA17" s="55"/>
      <c r="AC17" s="14"/>
    </row>
    <row r="18" spans="1:30" x14ac:dyDescent="0.25">
      <c r="A18" s="5"/>
      <c r="B18" s="39" t="s">
        <v>2</v>
      </c>
      <c r="C18" s="39"/>
      <c r="D18" s="39"/>
      <c r="E18" s="39"/>
      <c r="F18" s="39"/>
      <c r="G18" s="39"/>
      <c r="H18" s="39"/>
      <c r="I18" s="39"/>
      <c r="J18" s="39"/>
      <c r="K18" s="39" t="s">
        <v>3</v>
      </c>
      <c r="L18" s="39"/>
      <c r="M18" s="39"/>
      <c r="N18" s="39"/>
      <c r="O18" s="40"/>
      <c r="P18" s="38" t="s">
        <v>13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40"/>
    </row>
    <row r="19" spans="1:30" x14ac:dyDescent="0.25">
      <c r="A19" s="6"/>
      <c r="B19" s="7"/>
      <c r="C19" s="7"/>
      <c r="D19" s="7"/>
      <c r="E19" s="7"/>
      <c r="F19" s="7"/>
      <c r="G19" s="7"/>
      <c r="H19" s="7"/>
      <c r="I19" s="7"/>
      <c r="J19" s="8"/>
      <c r="K19" s="7"/>
      <c r="L19" s="7"/>
      <c r="M19" s="7"/>
      <c r="N19" s="7"/>
      <c r="O19" s="8"/>
      <c r="P19" s="41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3"/>
      <c r="AC19" s="4" t="str">
        <f>IFERROR(VLOOKUP(#REF!,('[1]Tray Ref'!#REF!),18,FALSE),"")</f>
        <v/>
      </c>
    </row>
    <row r="20" spans="1:30" x14ac:dyDescent="0.25">
      <c r="A20" s="2"/>
      <c r="J20" s="3"/>
      <c r="O20" s="3"/>
      <c r="P20" s="44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6"/>
    </row>
    <row r="21" spans="1:30" x14ac:dyDescent="0.25">
      <c r="A21" s="2"/>
      <c r="J21" s="3"/>
      <c r="O21" s="3"/>
      <c r="P21" s="44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6"/>
      <c r="AD21" s="12"/>
    </row>
    <row r="22" spans="1:30" x14ac:dyDescent="0.25">
      <c r="A22" s="2"/>
      <c r="J22" s="3"/>
      <c r="O22" s="3"/>
      <c r="P22" s="44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6"/>
    </row>
    <row r="23" spans="1:30" x14ac:dyDescent="0.25">
      <c r="A23" s="2"/>
      <c r="J23" s="3"/>
      <c r="O23" s="3"/>
      <c r="P23" s="44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6"/>
    </row>
    <row r="24" spans="1:30" x14ac:dyDescent="0.25">
      <c r="A24" s="2"/>
      <c r="J24" s="3"/>
      <c r="O24" s="3"/>
      <c r="P24" s="44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6"/>
      <c r="AC24" s="12"/>
    </row>
    <row r="25" spans="1:30" x14ac:dyDescent="0.25">
      <c r="A25" s="2"/>
      <c r="J25" s="3"/>
      <c r="O25" s="3"/>
      <c r="P25" s="44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6"/>
    </row>
    <row r="26" spans="1:30" x14ac:dyDescent="0.25">
      <c r="A26" s="2"/>
      <c r="J26" s="3"/>
      <c r="O26" s="3"/>
      <c r="P26" s="44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6"/>
      <c r="AC26" s="12"/>
    </row>
    <row r="27" spans="1:30" ht="28.5" customHeight="1" x14ac:dyDescent="0.25">
      <c r="A27" s="9"/>
      <c r="B27" s="10"/>
      <c r="C27" s="10"/>
      <c r="D27" s="10"/>
      <c r="E27" s="10"/>
      <c r="F27" s="10"/>
      <c r="G27" s="10"/>
      <c r="H27" s="10"/>
      <c r="I27" s="10"/>
      <c r="J27" s="11"/>
      <c r="K27" s="10"/>
      <c r="L27" s="10"/>
      <c r="M27" s="10"/>
      <c r="N27" s="10"/>
      <c r="O27" s="11"/>
      <c r="P27" s="47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9"/>
    </row>
    <row r="28" spans="1:30" ht="15" hidden="1" customHeight="1" x14ac:dyDescent="0.25">
      <c r="A28" s="2"/>
      <c r="O28" s="3"/>
      <c r="P28" s="2"/>
      <c r="AA28" s="3"/>
    </row>
    <row r="29" spans="1:30" ht="39.75" customHeight="1" x14ac:dyDescent="0.25">
      <c r="A29" s="50" t="s">
        <v>17</v>
      </c>
      <c r="B29" s="51"/>
      <c r="C29" s="51"/>
      <c r="D29" s="51"/>
      <c r="E29" s="51"/>
      <c r="F29" s="51"/>
      <c r="G29" s="51"/>
      <c r="H29" s="51"/>
      <c r="I29" s="51"/>
      <c r="J29" s="52"/>
      <c r="K29" s="50" t="s">
        <v>18</v>
      </c>
      <c r="L29" s="51"/>
      <c r="M29" s="51"/>
      <c r="N29" s="51"/>
      <c r="O29" s="52"/>
      <c r="P29" s="50" t="s">
        <v>14</v>
      </c>
      <c r="Q29" s="51"/>
      <c r="R29" s="51"/>
      <c r="S29" s="51"/>
      <c r="T29" s="51"/>
      <c r="U29" s="51"/>
      <c r="V29" s="51"/>
      <c r="W29" s="51"/>
      <c r="X29" s="52"/>
      <c r="Y29" s="56" t="s">
        <v>23</v>
      </c>
      <c r="Z29" s="56"/>
      <c r="AA29" s="56"/>
    </row>
    <row r="30" spans="1:30" ht="20.25" hidden="1" customHeight="1" x14ac:dyDescent="0.25">
      <c r="A30" s="53"/>
      <c r="B30" s="54"/>
      <c r="C30" s="54"/>
      <c r="D30" s="54"/>
      <c r="E30" s="54"/>
      <c r="F30" s="54"/>
      <c r="G30" s="54"/>
      <c r="H30" s="54"/>
      <c r="I30" s="54"/>
      <c r="J30" s="55"/>
      <c r="K30" s="53"/>
      <c r="L30" s="54"/>
      <c r="M30" s="54"/>
      <c r="N30" s="54"/>
      <c r="O30" s="55"/>
      <c r="P30" s="53"/>
      <c r="Q30" s="54"/>
      <c r="R30" s="54"/>
      <c r="S30" s="54"/>
      <c r="T30" s="54"/>
      <c r="U30" s="54"/>
      <c r="V30" s="54"/>
      <c r="W30" s="54"/>
      <c r="X30" s="55"/>
      <c r="Y30" s="56"/>
      <c r="Z30" s="56"/>
      <c r="AA30" s="56"/>
    </row>
    <row r="31" spans="1:30" ht="12.75" customHeight="1" x14ac:dyDescent="0.25">
      <c r="A31" s="37" t="s">
        <v>27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</row>
    <row r="32" spans="1:30" ht="8.25" customHeight="1" x14ac:dyDescent="0.25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</sheetData>
  <mergeCells count="39">
    <mergeCell ref="R8:AA15"/>
    <mergeCell ref="A8:Q15"/>
    <mergeCell ref="A7:Q7"/>
    <mergeCell ref="R7:AA7"/>
    <mergeCell ref="R16:AA17"/>
    <mergeCell ref="A16:Q16"/>
    <mergeCell ref="A17:Q17"/>
    <mergeCell ref="T4:X4"/>
    <mergeCell ref="A1:E3"/>
    <mergeCell ref="A4:E4"/>
    <mergeCell ref="Y1:AA1"/>
    <mergeCell ref="F4:M4"/>
    <mergeCell ref="N4:P4"/>
    <mergeCell ref="Q4:S4"/>
    <mergeCell ref="A31:AA32"/>
    <mergeCell ref="P18:AA18"/>
    <mergeCell ref="P19:AA27"/>
    <mergeCell ref="P29:X30"/>
    <mergeCell ref="Y29:AA30"/>
    <mergeCell ref="B18:J18"/>
    <mergeCell ref="K18:O18"/>
    <mergeCell ref="A29:J30"/>
    <mergeCell ref="K29:O30"/>
    <mergeCell ref="AD11:AP11"/>
    <mergeCell ref="R1:X1"/>
    <mergeCell ref="R2:X2"/>
    <mergeCell ref="F1:K1"/>
    <mergeCell ref="F2:K2"/>
    <mergeCell ref="N2:Q2"/>
    <mergeCell ref="L2:M2"/>
    <mergeCell ref="N1:Q1"/>
    <mergeCell ref="L1:M1"/>
    <mergeCell ref="Y2:AA3"/>
    <mergeCell ref="Y4:AA4"/>
    <mergeCell ref="F3:K3"/>
    <mergeCell ref="A6:H6"/>
    <mergeCell ref="I6:N6"/>
    <mergeCell ref="O6:AA6"/>
    <mergeCell ref="L3:X3"/>
  </mergeCells>
  <conditionalFormatting sqref="AC16">
    <cfRule type="duplicateValues" dxfId="0" priority="1"/>
  </conditionalFormatting>
  <dataValidations count="1">
    <dataValidation type="list" allowBlank="1" showInputMessage="1" showErrorMessage="1" sqref="AC17" xr:uid="{89554131-6852-407B-BC4C-AF72BC5A14E5}">
      <formula1>Tray_Ref</formula1>
    </dataValidation>
  </dataValidation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2024-12-27T11:34:43Z</cp:lastPrinted>
  <dcterms:created xsi:type="dcterms:W3CDTF">2018-08-01T08:42:18Z</dcterms:created>
  <dcterms:modified xsi:type="dcterms:W3CDTF">2026-02-24T12:57:51Z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b48c2413-58d2-4c26-bffd-1710b462082b</vt:lpwstr>
  </property>
</Properties>
</file>