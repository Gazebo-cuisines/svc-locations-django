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"/>
    </mc:Choice>
  </mc:AlternateContent>
  <xr:revisionPtr revIDLastSave="0" documentId="13_ncr:1_{4A264CFC-9297-4F84-9792-3CDE4C167E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6" i="1" l="1"/>
  <c r="AC19" i="1"/>
  <c r="AC13" i="1"/>
</calcChain>
</file>

<file path=xl/sharedStrings.xml><?xml version="1.0" encoding="utf-8"?>
<sst xmlns="http://schemas.openxmlformats.org/spreadsheetml/2006/main" count="29" uniqueCount="27">
  <si>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</si>
  <si>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</si>
  <si>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</si>
  <si>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</si>
  <si>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</si>
  <si>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</si>
  <si>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</si>
  <si>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</si>
  <si>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</si>
  <si>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</si>
  <si>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</si>
  <si>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</si>
  <si>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COSTCO</t>
  </si>
  <si>
    <t>Previous Issue Date</t>
  </si>
  <si>
    <t>Page 1 of 1</t>
  </si>
  <si>
    <r>
      <t>Film:</t>
    </r>
    <r>
      <rPr>
        <b/>
        <sz val="12"/>
        <color theme="1"/>
        <rFont val="Calibri"/>
        <family val="2"/>
        <scheme val="minor"/>
      </rPr>
      <t xml:space="preserve"> K Peel RPSM 25µm (340mmX1000lmm)-PKKMP001-05</t>
    </r>
  </si>
  <si>
    <t>Tray: HW308/60 - 3 CAVITY TRANS - 352X246X60 - (PKESS001-10)</t>
  </si>
  <si>
    <t>GFF528MC</t>
  </si>
  <si>
    <t>07.08.2025</t>
  </si>
  <si>
    <t>New doc</t>
  </si>
  <si>
    <t xml:space="preserve">New doc </t>
  </si>
  <si>
    <t>CCSAC3-B24X8T</t>
  </si>
  <si>
    <t xml:space="preserve">Chicken Samosa 40g-( RMWEI002-01)- 24 Pieces </t>
  </si>
  <si>
    <t xml:space="preserve">Gc- 24 Chicken Samosa 40G | 960G </t>
  </si>
  <si>
    <t>Total Weight 
960g</t>
  </si>
  <si>
    <t xml:space="preserve">                        24 Chicken Samosa 40G | 960G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</si>
  <si>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&amp; Soya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</si>
</sst>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5" fillId="0" borderId="0" xfId="0" applyFont="1" applyAlignment="1">
      <alignment vertical="center"/>
    </xf>
    <xf numFmtId="1" fontId="7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cid:037f6c40-189d-4d44-b8ee-ad764c411b2e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47624</xdr:colOff>
      <xdr:row>7</xdr:row>
      <xdr:rowOff>47627</xdr:rowOff>
    </xdr:from>
    <xdr:to>
      <xdr:col>15</xdr:col>
      <xdr:colOff>219074</xdr:colOff>
      <xdr:row>10</xdr:row>
      <xdr:rowOff>152402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49" y="1676402"/>
          <a:ext cx="6762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28575</xdr:rowOff>
    </xdr:from>
    <xdr:to>
      <xdr:col>26</xdr:col>
      <xdr:colOff>619125</xdr:colOff>
      <xdr:row>2</xdr:row>
      <xdr:rowOff>172975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5BE6B-0CE6-615D-964B-B5E71536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48650" y="228600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3</xdr:col>
      <xdr:colOff>335664</xdr:colOff>
      <xdr:row>2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1F6D0-6095-931F-65FC-03BB6F83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57150"/>
          <a:ext cx="964314" cy="590550"/>
        </a:xfrm>
        <a:prstGeom prst="rect">
          <a:avLst/>
        </a:prstGeom>
      </xdr:spPr>
    </xdr:pic>
    <xdr:clientData/>
  </xdr:twoCellAnchor>
  <xdr:twoCellAnchor>
    <xdr:from>
      <xdr:col>11</xdr:col>
      <xdr:colOff>28575</xdr:colOff>
      <xdr:row>11</xdr:row>
      <xdr:rowOff>171450</xdr:rowOff>
    </xdr:from>
    <xdr:to>
      <xdr:col>16</xdr:col>
      <xdr:colOff>57150</xdr:colOff>
      <xdr:row>14</xdr:row>
      <xdr:rowOff>247650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E419C525-85CF-4396-985A-1DA95099150C}"/>
            </a:ext>
          </a:extLst>
        </xdr:cNvPr>
        <xdr:cNvSpPr txBox="1"/>
      </xdr:nvSpPr>
      <xdr:spPr>
        <a:xfrm>
          <a:off x="3228975" y="2609850"/>
          <a:ext cx="1724025" cy="647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GAS FLUSH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9</xdr:col>
      <xdr:colOff>57150</xdr:colOff>
      <xdr:row>7</xdr:row>
      <xdr:rowOff>152400</xdr:rowOff>
    </xdr:from>
    <xdr:ext cx="723900" cy="3788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010A29-D311-D894-A9E4-5AB860ED7C5C}"/>
            </a:ext>
          </a:extLst>
        </xdr:cNvPr>
        <xdr:cNvSpPr txBox="1"/>
      </xdr:nvSpPr>
      <xdr:spPr>
        <a:xfrm>
          <a:off x="2247900" y="1781175"/>
          <a:ext cx="7239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GB" sz="1100" kern="1200"/>
        </a:p>
      </xdr:txBody>
    </xdr:sp>
    <xdr:clientData/>
  </xdr:oneCellAnchor>
  <xdr:oneCellAnchor>
    <xdr:from>
      <xdr:col>9</xdr:col>
      <xdr:colOff>76200</xdr:colOff>
      <xdr:row>12</xdr:row>
      <xdr:rowOff>171450</xdr:rowOff>
    </xdr:from>
    <xdr:ext cx="876300" cy="3788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46CA52B-0C5C-460A-97FE-672148584124}"/>
            </a:ext>
          </a:extLst>
        </xdr:cNvPr>
        <xdr:cNvSpPr txBox="1"/>
      </xdr:nvSpPr>
      <xdr:spPr>
        <a:xfrm>
          <a:off x="2266950" y="2800350"/>
          <a:ext cx="8763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 kern="1200"/>
            <a:t>FROZEN</a:t>
          </a:r>
        </a:p>
      </xdr:txBody>
    </xdr:sp>
    <xdr:clientData/>
  </xdr:oneCellAnchor>
  <xdr:twoCellAnchor>
    <xdr:from>
      <xdr:col>0</xdr:col>
      <xdr:colOff>161925</xdr:colOff>
      <xdr:row>7</xdr:row>
      <xdr:rowOff>76199</xdr:rowOff>
    </xdr:from>
    <xdr:to>
      <xdr:col>8</xdr:col>
      <xdr:colOff>152400</xdr:colOff>
      <xdr:row>14</xdr:row>
      <xdr:rowOff>191067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E2EA7A-D2BC-4FE5-A8A2-267AEBEA6E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 t="7869" r="6707" b="10855"/>
        <a:stretch/>
      </xdr:blipFill>
      <xdr:spPr bwMode="auto">
        <a:xfrm rot="16200000">
          <a:off x="409291" y="1457608"/>
          <a:ext cx="1495993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161926</xdr:colOff>
      <xdr:row>7</xdr:row>
      <xdr:rowOff>104776</xdr:rowOff>
    </xdr:from>
    <xdr:to>
      <xdr:col>12</xdr:col>
      <xdr:colOff>523875</xdr:colOff>
      <xdr:row>10</xdr:row>
      <xdr:rowOff>95250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D81C9A9-C470-3AC6-E969-48A2ED09DB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118" t="9523" r="5587" b="6362"/>
        <a:stretch>
          <a:fillRect/>
        </a:stretch>
      </xdr:blipFill>
      <xdr:spPr>
        <a:xfrm>
          <a:off x="2352676" y="1733551"/>
          <a:ext cx="1590674" cy="561974"/>
        </a:xfrm>
        <a:prstGeom prst="rect">
          <a:avLst/>
        </a:prstGeom>
      </xdr:spPr>
    </xdr:pic>
    <xdr:clientData/>
  </xdr:twoCellAnchor>
  <xdr:twoCellAnchor>
    <xdr:from>
      <xdr:col>11</xdr:col>
      <xdr:colOff>95250</xdr:colOff>
      <xdr:row>18</xdr:row>
      <xdr:rowOff>33044</xdr:rowOff>
    </xdr:from>
    <xdr:to>
      <xdr:col>17</xdr:col>
      <xdr:colOff>285750</xdr:colOff>
      <xdr:row>27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96F6FD-BA0F-7EE9-FF8F-039831C9A4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86" t="11840" r="10353" b="7764"/>
        <a:stretch>
          <a:fillRect/>
        </a:stretch>
      </xdr:blipFill>
      <xdr:spPr bwMode="auto">
        <a:xfrm rot="5400000">
          <a:off x="3531247" y="3816997"/>
          <a:ext cx="1852906" cy="232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571501</xdr:colOff>
      <xdr:row>7</xdr:row>
      <xdr:rowOff>70675</xdr:rowOff>
    </xdr:from>
    <xdr:to>
      <xdr:col>26</xdr:col>
      <xdr:colOff>38100</xdr:colOff>
      <xdr:row>14</xdr:row>
      <xdr:rowOff>248121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A7A8B2F-3066-41CA-FE3E-F7DFB2C9F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10301" y="1699450"/>
          <a:ext cx="2447924" cy="1558571"/>
        </a:xfrm>
        <a:prstGeom prst="rect">
          <a:avLst/>
        </a:prstGeom>
      </xdr:spPr>
    </xdr:pic>
    <xdr:clientData/>
  </xdr:twoCellAnchor>
  <xdr:twoCellAnchor>
    <xdr:from>
      <xdr:col>17</xdr:col>
      <xdr:colOff>95251</xdr:colOff>
      <xdr:row>12</xdr:row>
      <xdr:rowOff>108775</xdr:rowOff>
    </xdr:from>
    <xdr:to>
      <xdr:col>19</xdr:col>
      <xdr:colOff>66676</xdr:colOff>
      <xdr:row>14</xdr:row>
      <xdr:rowOff>137350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B34E0FE-5B78-8A37-2AB8-A9FC390A4D98}"/>
            </a:ext>
          </a:extLst>
        </xdr:cNvPr>
        <xdr:cNvSpPr/>
      </xdr:nvSpPr>
      <xdr:spPr>
        <a:xfrm>
          <a:off x="5429251" y="2737675"/>
          <a:ext cx="1057275" cy="4095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en-US" sz="1800" b="1">
              <a:solidFill>
                <a:srgbClr val="EE0000"/>
              </a:solidFill>
              <a:effectLst/>
              <a:ea typeface="Calibri" panose="020F0502020204030204" pitchFamily="34" charset="0"/>
              <a:cs typeface="Mangal" panose="02040503050203030202" pitchFamily="18" charset="0"/>
            </a:rPr>
            <a:t>CHINA </a:t>
          </a:r>
          <a:endParaRPr lang="en-GB" sz="1100">
            <a:effectLst/>
            <a:ea typeface="Calibri" panose="020F0502020204030204" pitchFamily="34" charset="0"/>
            <a:cs typeface="Mangal" panose="02040503050203030202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SK4-Plain Clear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Fajita</v>
          </cell>
        </row>
        <row r="30">
          <cell r="B30" t="str">
            <v>Tub-Lead</v>
          </cell>
        </row>
        <row r="31">
          <cell r="B31" t="str">
            <v>Ok Meal Box</v>
          </cell>
        </row>
        <row r="32">
          <cell r="B32" t="str">
            <v>OR Meal Box - 1</v>
          </cell>
        </row>
        <row r="33">
          <cell r="B33" t="str">
            <v>OR Meal Box for 1</v>
          </cell>
        </row>
        <row r="34">
          <cell r="B34" t="str">
            <v>SC109-650-POT</v>
          </cell>
        </row>
        <row r="35">
          <cell r="B35" t="str">
            <v>Meal Box For 2 H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2200-1B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H3H 50 - CLEAR</v>
          </cell>
        </row>
        <row r="68">
          <cell r="B68" t="str">
            <v>Duo-Pot</v>
          </cell>
        </row>
        <row r="69">
          <cell r="B69" t="str">
            <v>Duo-Pot</v>
          </cell>
        </row>
        <row r="70">
          <cell r="B70" t="str">
            <v>Trapezoid</v>
          </cell>
        </row>
        <row r="71">
          <cell r="B71" t="str">
            <v>Trapezoid</v>
          </cell>
        </row>
        <row r="72">
          <cell r="B72" t="str">
            <v>H3H 50 - CLEAR</v>
          </cell>
        </row>
        <row r="73">
          <cell r="B73" t="str">
            <v>H320/60 -CLEAR (596)</v>
          </cell>
        </row>
        <row r="74">
          <cell r="B74" t="str">
            <v>SK4-CLEAR (C4 CLEAR R-PET)</v>
          </cell>
        </row>
        <row r="75">
          <cell r="B75" t="str">
            <v>2200-1B</v>
          </cell>
        </row>
        <row r="76">
          <cell r="B76" t="str">
            <v>2200-2B</v>
          </cell>
        </row>
        <row r="77">
          <cell r="B77" t="str">
            <v>2200-2C</v>
          </cell>
        </row>
        <row r="78">
          <cell r="B78" t="str">
            <v>2200-1D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2200-1E</v>
          </cell>
        </row>
        <row r="88">
          <cell r="B88" t="str">
            <v>EVOLVE CPET 2200-2C</v>
          </cell>
        </row>
        <row r="89">
          <cell r="B89" t="str">
            <v>H320/60 -CLEAR (596)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EVOLVE CPET 2200-2C</v>
          </cell>
        </row>
        <row r="100">
          <cell r="B100" t="str">
            <v>EVOLVE CPET 2171-1F</v>
          </cell>
        </row>
        <row r="101">
          <cell r="B101" t="str">
            <v>H320/115-CLEAR (554)</v>
          </cell>
        </row>
        <row r="102">
          <cell r="B102" t="str">
            <v>H320/115-CLEAR (554)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2"/>
  <sheetViews>
    <sheetView tabSelected="1" workbookViewId="0">
      <selection activeCell="A19" sqref="A19:AA2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2" ht="15.75" thickTop="1" x14ac:dyDescent="0.25">
      <c r="A1" s="25"/>
      <c r="B1" s="26"/>
      <c r="C1" s="26"/>
      <c r="D1" s="26"/>
      <c r="E1" s="27"/>
      <c r="F1" s="32" t="s">
        <v>3</v>
      </c>
      <c r="G1" s="32"/>
      <c r="H1" s="32"/>
      <c r="I1" s="32"/>
      <c r="J1" s="32"/>
      <c r="K1" s="48"/>
      <c r="L1" s="48" t="s">
        <v>4</v>
      </c>
      <c r="M1" s="50"/>
      <c r="N1" s="48" t="s">
        <v>6</v>
      </c>
      <c r="O1" s="49"/>
      <c r="P1" s="49"/>
      <c r="Q1" s="50"/>
      <c r="R1" s="48" t="s">
        <v>5</v>
      </c>
      <c r="S1" s="49"/>
      <c r="T1" s="49"/>
      <c r="U1" s="49"/>
      <c r="V1" s="49"/>
      <c r="W1" s="49"/>
      <c r="X1" s="50"/>
      <c r="Y1" s="32" t="s">
        <v>8</v>
      </c>
      <c r="Z1" s="32"/>
      <c r="AA1" s="33"/>
    </row>
    <row r="2" spans="1:42" x14ac:dyDescent="0.25">
      <c r="A2" s="28"/>
      <c r="B2" s="10"/>
      <c r="C2" s="10"/>
      <c r="D2" s="10"/>
      <c r="E2" s="11"/>
      <c r="F2" s="54" t="s">
        <v>17</v>
      </c>
      <c r="G2" s="54"/>
      <c r="H2" s="54"/>
      <c r="I2" s="54"/>
      <c r="J2" s="54"/>
      <c r="K2" s="55"/>
      <c r="L2" s="55">
        <v>1</v>
      </c>
      <c r="M2" s="57"/>
      <c r="N2" s="55" t="s">
        <v>18</v>
      </c>
      <c r="O2" s="56"/>
      <c r="P2" s="56"/>
      <c r="Q2" s="57"/>
      <c r="R2" s="51" t="s">
        <v>19</v>
      </c>
      <c r="S2" s="52"/>
      <c r="T2" s="52"/>
      <c r="U2" s="52"/>
      <c r="V2" s="52"/>
      <c r="W2" s="52"/>
      <c r="X2" s="53"/>
      <c r="Y2" s="58" t="s">
        <v>11</v>
      </c>
      <c r="Z2" s="59"/>
      <c r="AA2" s="60"/>
    </row>
    <row r="3" spans="1:42" ht="26.25" customHeight="1" x14ac:dyDescent="0.25">
      <c r="A3" s="28"/>
      <c r="B3" s="10"/>
      <c r="C3" s="10"/>
      <c r="D3" s="10"/>
      <c r="E3" s="11"/>
      <c r="F3" s="66" t="s">
        <v>7</v>
      </c>
      <c r="G3" s="66"/>
      <c r="H3" s="66"/>
      <c r="I3" s="66"/>
      <c r="J3" s="66"/>
      <c r="K3" s="67"/>
      <c r="L3" s="74" t="s">
        <v>23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Y3" s="61"/>
      <c r="Z3" s="62"/>
      <c r="AA3" s="63"/>
    </row>
    <row r="4" spans="1:42" ht="28.5" customHeight="1" thickBot="1" x14ac:dyDescent="0.3">
      <c r="A4" s="29" t="s">
        <v>9</v>
      </c>
      <c r="B4" s="30"/>
      <c r="C4" s="30"/>
      <c r="D4" s="30"/>
      <c r="E4" s="31"/>
      <c r="F4" s="34" t="s">
        <v>20</v>
      </c>
      <c r="G4" s="35"/>
      <c r="H4" s="35"/>
      <c r="I4" s="35"/>
      <c r="J4" s="35"/>
      <c r="K4" s="35"/>
      <c r="L4" s="35"/>
      <c r="M4" s="36"/>
      <c r="N4" s="34" t="s">
        <v>14</v>
      </c>
      <c r="O4" s="35"/>
      <c r="P4" s="36"/>
      <c r="Q4" s="22" t="s">
        <v>13</v>
      </c>
      <c r="R4" s="23"/>
      <c r="S4" s="24"/>
      <c r="T4" s="22" t="s">
        <v>19</v>
      </c>
      <c r="U4" s="23"/>
      <c r="V4" s="23"/>
      <c r="W4" s="23"/>
      <c r="X4" s="24"/>
      <c r="Y4" s="64" t="s">
        <v>10</v>
      </c>
      <c r="Z4" s="64"/>
      <c r="AA4" s="65"/>
    </row>
    <row r="5" spans="1:42" ht="6.75" customHeight="1" thickTop="1" x14ac:dyDescent="0.25"/>
    <row r="6" spans="1:42" ht="21" x14ac:dyDescent="0.3">
      <c r="A6" s="68" t="s">
        <v>21</v>
      </c>
      <c r="B6" s="69"/>
      <c r="C6" s="69"/>
      <c r="D6" s="69"/>
      <c r="E6" s="69"/>
      <c r="F6" s="69"/>
      <c r="G6" s="69"/>
      <c r="H6" s="70"/>
      <c r="I6" s="71" t="s">
        <v>12</v>
      </c>
      <c r="J6" s="72"/>
      <c r="K6" s="72"/>
      <c r="L6" s="72"/>
      <c r="M6" s="72"/>
      <c r="N6" s="73"/>
      <c r="O6" s="71" t="s">
        <v>23</v>
      </c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3"/>
      <c r="AD6"/>
    </row>
    <row r="7" spans="1:42" x14ac:dyDescent="0.25">
      <c r="A7" s="15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 t="s">
        <v>1</v>
      </c>
      <c r="S7" s="15"/>
      <c r="T7" s="15"/>
      <c r="U7" s="15"/>
      <c r="V7" s="15"/>
      <c r="W7" s="15"/>
      <c r="X7" s="15"/>
      <c r="Y7" s="15"/>
      <c r="Z7" s="15"/>
      <c r="AA7" s="15"/>
      <c r="AC7"/>
    </row>
    <row r="8" spans="1:42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8"/>
      <c r="S8" s="8"/>
      <c r="T8" s="8"/>
      <c r="U8" s="8"/>
      <c r="V8" s="8"/>
      <c r="W8" s="8"/>
      <c r="X8" s="8"/>
      <c r="Y8" s="8"/>
      <c r="Z8" s="8"/>
      <c r="AA8" s="9"/>
    </row>
    <row r="9" spans="1:42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0"/>
      <c r="S9" s="10"/>
      <c r="T9" s="10"/>
      <c r="U9" s="10"/>
      <c r="V9" s="10"/>
      <c r="W9" s="10"/>
      <c r="X9" s="10"/>
      <c r="Y9" s="10"/>
      <c r="Z9" s="10"/>
      <c r="AA9" s="11"/>
      <c r="AD9"/>
    </row>
    <row r="10" spans="1:42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0"/>
      <c r="S10" s="10"/>
      <c r="T10" s="10"/>
      <c r="U10" s="10"/>
      <c r="V10" s="10"/>
      <c r="W10" s="10"/>
      <c r="X10" s="10"/>
      <c r="Y10" s="10"/>
      <c r="Z10" s="10"/>
      <c r="AA10" s="11"/>
      <c r="AE10"/>
    </row>
    <row r="11" spans="1:42" ht="18.75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0"/>
      <c r="S11" s="10"/>
      <c r="T11" s="10"/>
      <c r="U11" s="10"/>
      <c r="V11" s="10"/>
      <c r="W11" s="10"/>
      <c r="X11" s="10"/>
      <c r="Y11" s="10"/>
      <c r="Z11" s="10"/>
      <c r="AA11" s="11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</row>
    <row r="12" spans="1:42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0"/>
      <c r="S12" s="10"/>
      <c r="T12" s="10"/>
      <c r="U12" s="10"/>
      <c r="V12" s="10"/>
      <c r="W12" s="10"/>
      <c r="X12" s="10"/>
      <c r="Y12" s="10"/>
      <c r="Z12" s="10"/>
      <c r="AA12" s="11"/>
    </row>
    <row r="13" spans="1:42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0"/>
      <c r="S13" s="10"/>
      <c r="T13" s="10"/>
      <c r="U13" s="10"/>
      <c r="V13" s="10"/>
      <c r="W13" s="10"/>
      <c r="X13" s="10"/>
      <c r="Y13" s="10"/>
      <c r="Z13" s="10"/>
      <c r="AA13" s="11"/>
      <c r="AC13" s="6" t="str">
        <f>IFERROR(VLOOKUP(A13,('[1]Tray Ref'!#REF!),15,FALSE),"")</f>
        <v/>
      </c>
      <c r="AD13" s="6"/>
      <c r="AE13"/>
    </row>
    <row r="14" spans="1:42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0"/>
      <c r="S14" s="10"/>
      <c r="T14" s="10"/>
      <c r="U14" s="10"/>
      <c r="V14" s="10"/>
      <c r="W14" s="10"/>
      <c r="X14" s="10"/>
      <c r="Y14" s="10"/>
      <c r="Z14" s="10"/>
      <c r="AA14" s="11"/>
      <c r="AD14"/>
      <c r="AE14"/>
      <c r="AF14"/>
    </row>
    <row r="15" spans="1:42" ht="23.25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2"/>
      <c r="S15" s="12"/>
      <c r="T15" s="12"/>
      <c r="U15" s="12"/>
      <c r="V15" s="12"/>
      <c r="W15" s="12"/>
      <c r="X15" s="12"/>
      <c r="Y15" s="12"/>
      <c r="Z15" s="12"/>
      <c r="AA15" s="13"/>
    </row>
    <row r="16" spans="1:42" ht="18" customHeight="1" x14ac:dyDescent="0.25">
      <c r="A16" s="20" t="s">
        <v>16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6" t="s">
        <v>22</v>
      </c>
      <c r="S16" s="16"/>
      <c r="T16" s="16"/>
      <c r="U16" s="16"/>
      <c r="V16" s="16"/>
      <c r="W16" s="16"/>
      <c r="X16" s="16"/>
      <c r="Y16" s="16"/>
      <c r="Z16" s="16"/>
      <c r="AA16" s="17"/>
      <c r="AC16" s="6"/>
      <c r="AE16" s="6" t="str">
        <f>IFERROR(VLOOKUP(#REF!,('[1]Tray Ref'!#REF!),18,FALSE),"")</f>
        <v/>
      </c>
    </row>
    <row r="17" spans="1:30" ht="23.25" customHeight="1" x14ac:dyDescent="0.25">
      <c r="A17" s="21" t="s">
        <v>15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18"/>
      <c r="S17" s="18"/>
      <c r="T17" s="18"/>
      <c r="U17" s="18"/>
      <c r="V17" s="18"/>
      <c r="W17" s="18"/>
      <c r="X17" s="18"/>
      <c r="Y17" s="18"/>
      <c r="Z17" s="18"/>
      <c r="AA17" s="19"/>
      <c r="AC17" s="7"/>
    </row>
    <row r="18" spans="1:30" x14ac:dyDescent="0.25">
      <c r="A18" s="41" t="s">
        <v>2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3"/>
    </row>
    <row r="19" spans="1:30" x14ac:dyDescent="0.25">
      <c r="A19" s="4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  <c r="AC19" s="4" t="str">
        <f>IFERROR(VLOOKUP(#REF!,('[1]Tray Ref'!#REF!),18,FALSE),"")</f>
        <v/>
      </c>
    </row>
    <row r="20" spans="1:30" x14ac:dyDescent="0.25">
      <c r="A20" s="45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30" x14ac:dyDescent="0.25">
      <c r="A21" s="45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  <c r="AD21" s="5"/>
    </row>
    <row r="22" spans="1:30" x14ac:dyDescent="0.25">
      <c r="A22" s="45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30" x14ac:dyDescent="0.25">
      <c r="A23" s="45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30" x14ac:dyDescent="0.25">
      <c r="A24" s="45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  <c r="AC24" s="5"/>
    </row>
    <row r="25" spans="1:30" x14ac:dyDescent="0.25">
      <c r="A25" s="45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30" x14ac:dyDescent="0.25">
      <c r="A26" s="45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  <c r="AC26" s="5"/>
    </row>
    <row r="27" spans="1:30" ht="28.5" customHeight="1" x14ac:dyDescent="0.25">
      <c r="A27" s="4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</row>
    <row r="28" spans="1:30" ht="15" hidden="1" customHeight="1" x14ac:dyDescent="0.25">
      <c r="A28" s="2"/>
      <c r="O28" s="3"/>
      <c r="P28" s="2"/>
      <c r="AA28" s="3"/>
    </row>
    <row r="29" spans="1:30" ht="39.75" customHeight="1" x14ac:dyDescent="0.25">
      <c r="A29" s="39" t="s">
        <v>25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7"/>
      <c r="Y29" s="38" t="s">
        <v>24</v>
      </c>
      <c r="Z29" s="38"/>
      <c r="AA29" s="38"/>
    </row>
    <row r="30" spans="1:30" ht="20.25" hidden="1" customHeight="1" x14ac:dyDescent="0.25">
      <c r="A30" s="40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9"/>
      <c r="Y30" s="38"/>
      <c r="Z30" s="38"/>
      <c r="AA30" s="38"/>
    </row>
    <row r="31" spans="1:30" ht="12.75" customHeight="1" x14ac:dyDescent="0.25">
      <c r="A31" s="37" t="s">
        <v>26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spans="1:30" ht="8.25" customHeight="1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</sheetData>
  <mergeCells count="35">
    <mergeCell ref="AD11:AP11"/>
    <mergeCell ref="R1:X1"/>
    <mergeCell ref="R2:X2"/>
    <mergeCell ref="F1:K1"/>
    <mergeCell ref="F2:K2"/>
    <mergeCell ref="N2:Q2"/>
    <mergeCell ref="L2:M2"/>
    <mergeCell ref="N1:Q1"/>
    <mergeCell ref="L1:M1"/>
    <mergeCell ref="Y2:AA3"/>
    <mergeCell ref="Y4:AA4"/>
    <mergeCell ref="F3:K3"/>
    <mergeCell ref="A6:H6"/>
    <mergeCell ref="I6:N6"/>
    <mergeCell ref="O6:AA6"/>
    <mergeCell ref="L3:X3"/>
    <mergeCell ref="A31:AA32"/>
    <mergeCell ref="Y29:AA30"/>
    <mergeCell ref="A29:X30"/>
    <mergeCell ref="A18:AA18"/>
    <mergeCell ref="A19:AA27"/>
    <mergeCell ref="T4:X4"/>
    <mergeCell ref="A1:E3"/>
    <mergeCell ref="A4:E4"/>
    <mergeCell ref="Y1:AA1"/>
    <mergeCell ref="F4:M4"/>
    <mergeCell ref="N4:P4"/>
    <mergeCell ref="Q4:S4"/>
    <mergeCell ref="R8:AA15"/>
    <mergeCell ref="A8:Q15"/>
    <mergeCell ref="A7:Q7"/>
    <mergeCell ref="R7:AA7"/>
    <mergeCell ref="R16:AA17"/>
    <mergeCell ref="A16:Q16"/>
    <mergeCell ref="A17:Q17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2026-02-04T13:27:42Z</cp:lastPrinted>
  <dcterms:created xsi:type="dcterms:W3CDTF">2018-08-01T08:42:18Z</dcterms:created>
  <dcterms:modified xsi:type="dcterms:W3CDTF">2026-02-05T14:59:12Z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