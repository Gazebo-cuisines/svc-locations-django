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04BD7FB0-128B-406D-8B78-3862FBA1518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" i="1" l="1"/>
  <c r="AL27" i="1"/>
  <c r="AE8" i="1"/>
</calcChain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<sst xmlns="http://schemas.openxmlformats.org/spreadsheetml/2006/main" count="26" uniqueCount="25">
  <si>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</si>
  <si>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</si>
  <si>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</si>
  <si>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</si>
  <si>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</si>
  <si>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</si>
  <si>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</si>
  <si>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</si>
  <si>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</si>
  <si>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Authorised By</t>
  </si>
  <si>
    <t>Document amendments reason for change</t>
  </si>
  <si>
    <t>Uncontrolled copy unless signed original</t>
  </si>
  <si>
    <t>Magda Shah</t>
  </si>
  <si>
    <t>20 Vegetable Samosa Large 2000g</t>
  </si>
  <si>
    <r>
      <t xml:space="preserve">Vegetable Samosa Large 100g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</si>
  <si>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</si>
  <si>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</si>
  <si>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CVSAL-B20B</t>
  </si>
  <si>
    <t>Tray: Blue Tint Bags(13"W x 15"L x 45mu)(PKSEE002-03)</t>
  </si>
  <si>
    <t xml:space="preserve">Document </t>
  </si>
  <si>
    <t>New Issue</t>
  </si>
  <si>
    <t>Previous Issue Date</t>
  </si>
  <si>
    <t>New issue</t>
  </si>
  <si>
    <t>Gazebo (BULK-SNACKS)</t>
  </si>
  <si>
    <t>GFF292MC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</si>
</sst>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42940</xdr:colOff>
      <xdr:row>8</xdr:row>
      <xdr:rowOff>142875</xdr:rowOff>
    </xdr:from>
    <xdr:to>
      <xdr:col>22</xdr:col>
      <xdr:colOff>407429</xdr:colOff>
      <xdr:row>15</xdr:row>
      <xdr:rowOff>361950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E5776A-25C3-4310-B9D9-35EBD5F08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310265" y="1809750"/>
          <a:ext cx="1764664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57154</xdr:colOff>
      <xdr:row>9</xdr:row>
      <xdr:rowOff>66674</xdr:rowOff>
    </xdr:from>
    <xdr:to>
      <xdr:col>7</xdr:col>
      <xdr:colOff>144087</xdr:colOff>
      <xdr:row>15</xdr:row>
      <xdr:rowOff>133350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B5D940-D336-47B9-B6F9-F4B6036901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400658" y="1580545"/>
          <a:ext cx="1209676" cy="189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495214</xdr:colOff>
      <xdr:row>19</xdr:row>
      <xdr:rowOff>38100</xdr:rowOff>
    </xdr:from>
    <xdr:to>
      <xdr:col>16</xdr:col>
      <xdr:colOff>438149</xdr:colOff>
      <xdr:row>28</xdr:row>
      <xdr:rowOff>265934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5C2370-905D-0E08-BECC-3728EA673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2885989" y="4286250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114300</xdr:colOff>
      <xdr:row>9</xdr:row>
      <xdr:rowOff>152400</xdr:rowOff>
    </xdr:from>
    <xdr:to>
      <xdr:col>11</xdr:col>
      <xdr:colOff>209550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C0B8BB-62D3-EE12-C95C-52F341F20BBE}"/>
            </a:ext>
          </a:extLst>
        </xdr:cNvPr>
        <xdr:cNvSpPr txBox="1"/>
      </xdr:nvSpPr>
      <xdr:spPr>
        <a:xfrm>
          <a:off x="2114550" y="2009775"/>
          <a:ext cx="1095375" cy="4191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>
              <a:solidFill>
                <a:srgbClr val="FF0000"/>
              </a:solidFill>
            </a:rPr>
            <a:t>Non Gas</a:t>
          </a:r>
        </a:p>
      </xdr:txBody>
    </xdr:sp>
    <xdr:clientData/>
  </xdr:twoCellAnchor>
  <xdr:twoCellAnchor>
    <xdr:from>
      <xdr:col>8</xdr:col>
      <xdr:colOff>104775</xdr:colOff>
      <xdr:row>12</xdr:row>
      <xdr:rowOff>152400</xdr:rowOff>
    </xdr:from>
    <xdr:to>
      <xdr:col>12</xdr:col>
      <xdr:colOff>276225</xdr:colOff>
      <xdr:row>15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4758B0-B5DA-9EBE-9DE9-8D79809DBC21}"/>
            </a:ext>
          </a:extLst>
        </xdr:cNvPr>
        <xdr:cNvSpPr txBox="1"/>
      </xdr:nvSpPr>
      <xdr:spPr>
        <a:xfrm>
          <a:off x="2105025" y="2581275"/>
          <a:ext cx="1390650" cy="600075"/>
        </a:xfrm>
        <a:prstGeom prst="rect">
          <a:avLst/>
        </a:prstGeom>
        <a:solidFill>
          <a:schemeClr val="lt1"/>
        </a:solidFill>
        <a:ln w="19050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 b="1">
              <a:solidFill>
                <a:srgbClr val="FF0000"/>
              </a:solidFill>
            </a:rPr>
            <a:t>Pack</a:t>
          </a:r>
          <a:r>
            <a:rPr lang="en-GB" sz="1800" b="1" baseline="0">
              <a:solidFill>
                <a:srgbClr val="FF0000"/>
              </a:solidFill>
            </a:rPr>
            <a:t> + 10 Days</a:t>
          </a:r>
          <a:endParaRPr lang="en-GB" sz="18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44488</xdr:colOff>
      <xdr:row>3</xdr:row>
      <xdr:rowOff>9524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41A883-A2DF-0201-FA05-654F384C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47625"/>
          <a:ext cx="1073188" cy="657224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</xdr:colOff>
      <xdr:row>1</xdr:row>
      <xdr:rowOff>57150</xdr:rowOff>
    </xdr:from>
    <xdr:to>
      <xdr:col>26</xdr:col>
      <xdr:colOff>361950</xdr:colOff>
      <xdr:row>2</xdr:row>
      <xdr:rowOff>191890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4E4861-D782-C389-0561-AE4EEE148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81925" y="247650"/>
          <a:ext cx="962025" cy="325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  <cell r="C2">
            <v>11.2</v>
          </cell>
          <cell r="D2">
            <v>149</v>
          </cell>
          <cell r="E2">
            <v>85</v>
          </cell>
          <cell r="F2">
            <v>43</v>
          </cell>
          <cell r="G2" t="str">
            <v>250LAF-250MM</v>
          </cell>
          <cell r="H2">
            <v>195</v>
          </cell>
        </row>
        <row r="3">
          <cell r="B3" t="str">
            <v>COOK BOX TRAY</v>
          </cell>
          <cell r="C3">
            <v>11.5</v>
          </cell>
          <cell r="D3">
            <v>120</v>
          </cell>
          <cell r="E3">
            <v>120</v>
          </cell>
          <cell r="F3">
            <v>58.5</v>
          </cell>
          <cell r="G3" t="str">
            <v>250LAF-125MM</v>
          </cell>
        </row>
        <row r="4">
          <cell r="B4" t="str">
            <v xml:space="preserve">SINGLE CAVITY/F145 </v>
          </cell>
          <cell r="C4">
            <v>11.2</v>
          </cell>
          <cell r="D4">
            <v>149</v>
          </cell>
          <cell r="E4">
            <v>85</v>
          </cell>
          <cell r="F4">
            <v>43</v>
          </cell>
          <cell r="G4" t="str">
            <v>250LAF-250MM</v>
          </cell>
          <cell r="H4">
            <v>195</v>
          </cell>
        </row>
        <row r="5">
          <cell r="B5" t="str">
            <v xml:space="preserve">SINGLE CAVITY/F145 </v>
          </cell>
          <cell r="C5">
            <v>11.2</v>
          </cell>
          <cell r="D5">
            <v>149</v>
          </cell>
          <cell r="E5">
            <v>85</v>
          </cell>
          <cell r="F5">
            <v>43</v>
          </cell>
          <cell r="G5" t="str">
            <v>250LAF-250MM</v>
          </cell>
          <cell r="H5">
            <v>195</v>
          </cell>
        </row>
        <row r="6">
          <cell r="B6" t="str">
            <v>SIX500 ENTRÉE SMALL BLK</v>
          </cell>
          <cell r="C6">
            <v>0</v>
          </cell>
          <cell r="G6" t="str">
            <v>250LAF-125MM</v>
          </cell>
        </row>
        <row r="7">
          <cell r="B7" t="str">
            <v>SK4-Split Clear</v>
          </cell>
          <cell r="C7">
            <v>15</v>
          </cell>
          <cell r="D7">
            <v>195</v>
          </cell>
          <cell r="E7">
            <v>145</v>
          </cell>
          <cell r="F7">
            <v>40</v>
          </cell>
          <cell r="G7" t="str">
            <v>250LAF-275MM</v>
          </cell>
        </row>
        <row r="8">
          <cell r="B8" t="str">
            <v>C5 12 CAV Rnd - Clear</v>
          </cell>
          <cell r="C8">
            <v>22.4</v>
          </cell>
          <cell r="D8">
            <v>220</v>
          </cell>
          <cell r="E8">
            <v>170</v>
          </cell>
          <cell r="F8">
            <v>29</v>
          </cell>
          <cell r="G8" t="str">
            <v>ME300AFV2</v>
          </cell>
        </row>
        <row r="9">
          <cell r="B9" t="str">
            <v>C5-Cav Rnd</v>
          </cell>
          <cell r="C9">
            <v>22.4</v>
          </cell>
          <cell r="D9">
            <v>220</v>
          </cell>
          <cell r="E9">
            <v>170</v>
          </cell>
          <cell r="F9">
            <v>29</v>
          </cell>
          <cell r="G9" t="str">
            <v>ME300AFV2</v>
          </cell>
        </row>
        <row r="10">
          <cell r="B10" t="str">
            <v>2200-1B</v>
          </cell>
          <cell r="C10">
            <v>20</v>
          </cell>
          <cell r="D10">
            <v>200</v>
          </cell>
          <cell r="E10">
            <v>155</v>
          </cell>
          <cell r="F10">
            <v>34</v>
          </cell>
          <cell r="G10" t="str">
            <v>250LAF-250MM</v>
          </cell>
        </row>
        <row r="11">
          <cell r="B11" t="str">
            <v>SC700</v>
          </cell>
          <cell r="C11">
            <v>17</v>
          </cell>
          <cell r="D11">
            <v>187</v>
          </cell>
          <cell r="E11">
            <v>136</v>
          </cell>
          <cell r="F11">
            <v>40</v>
          </cell>
          <cell r="G11" t="str">
            <v>250LAF-145MM</v>
          </cell>
        </row>
        <row r="12">
          <cell r="B12" t="str">
            <v>EVOLVE CPET 2200-2C</v>
          </cell>
          <cell r="C12">
            <v>21.38</v>
          </cell>
          <cell r="D12">
            <v>200.4</v>
          </cell>
          <cell r="E12">
            <v>154.5</v>
          </cell>
          <cell r="F12">
            <v>34.200000000000003</v>
          </cell>
          <cell r="G12" t="str">
            <v>250LAF-250MM</v>
          </cell>
        </row>
        <row r="13">
          <cell r="B13" t="str">
            <v>Trapezoid - Plain</v>
          </cell>
          <cell r="C13">
            <v>11.5</v>
          </cell>
          <cell r="D13">
            <v>145</v>
          </cell>
          <cell r="E13">
            <v>135</v>
          </cell>
          <cell r="F13">
            <v>30</v>
          </cell>
          <cell r="G13" t="str">
            <v>250LAF-250MM</v>
          </cell>
          <cell r="H13">
            <v>155</v>
          </cell>
        </row>
        <row r="14">
          <cell r="B14" t="str">
            <v>Prepacked</v>
          </cell>
          <cell r="C14">
            <v>0</v>
          </cell>
        </row>
        <row r="15">
          <cell r="B15" t="str">
            <v>EVOLVE CPET 2200-1D</v>
          </cell>
          <cell r="C15">
            <v>21.38</v>
          </cell>
          <cell r="D15">
            <v>200</v>
          </cell>
          <cell r="E15">
            <v>153</v>
          </cell>
          <cell r="F15">
            <v>40</v>
          </cell>
          <cell r="G15" t="str">
            <v>250LAF-250MM</v>
          </cell>
        </row>
        <row r="16">
          <cell r="B16" t="str">
            <v>EVOLVE CPET 2200-1E</v>
          </cell>
          <cell r="C16">
            <v>21.38</v>
          </cell>
          <cell r="D16">
            <v>200.2</v>
          </cell>
          <cell r="E16">
            <v>154.80000000000001</v>
          </cell>
          <cell r="F16">
            <v>34.9</v>
          </cell>
          <cell r="G16" t="str">
            <v>250LAF-250MM</v>
          </cell>
        </row>
        <row r="17">
          <cell r="B17" t="str">
            <v>EVOLVE CPET 2200-2B</v>
          </cell>
          <cell r="C17">
            <v>21.38</v>
          </cell>
          <cell r="D17">
            <v>200.3</v>
          </cell>
          <cell r="E17">
            <v>155</v>
          </cell>
          <cell r="F17">
            <v>34.799999999999997</v>
          </cell>
          <cell r="G17" t="str">
            <v>250LAF-250MM</v>
          </cell>
        </row>
        <row r="18">
          <cell r="B18" t="str">
            <v>EVOLVE CPET 2200-2F</v>
          </cell>
          <cell r="C18">
            <v>23.32</v>
          </cell>
          <cell r="D18">
            <v>200.5</v>
          </cell>
          <cell r="E18">
            <v>155.1</v>
          </cell>
          <cell r="F18">
            <v>44.7</v>
          </cell>
          <cell r="G18" t="str">
            <v>250LAF-250MM</v>
          </cell>
        </row>
        <row r="19">
          <cell r="B19" t="str">
            <v>Ind Meal Box - 2</v>
          </cell>
          <cell r="C19">
            <v>0</v>
          </cell>
          <cell r="D19">
            <v>200</v>
          </cell>
          <cell r="E19">
            <v>155</v>
          </cell>
          <cell r="F19">
            <v>110</v>
          </cell>
          <cell r="G19" t="str">
            <v>250LAF</v>
          </cell>
        </row>
        <row r="20">
          <cell r="B20" t="str">
            <v>Ind Meal Box - 1</v>
          </cell>
          <cell r="C20">
            <v>0</v>
          </cell>
          <cell r="D20">
            <v>200</v>
          </cell>
          <cell r="E20">
            <v>155</v>
          </cell>
          <cell r="F20">
            <v>110</v>
          </cell>
          <cell r="G20" t="str">
            <v>250LAF</v>
          </cell>
        </row>
        <row r="21">
          <cell r="B21" t="str">
            <v>Lid-Base</v>
          </cell>
          <cell r="C21">
            <v>0</v>
          </cell>
        </row>
        <row r="22">
          <cell r="B22" t="str">
            <v>Ind Meal Box for 1</v>
          </cell>
          <cell r="C22">
            <v>65</v>
          </cell>
          <cell r="D22">
            <v>200</v>
          </cell>
          <cell r="E22">
            <v>155</v>
          </cell>
          <cell r="F22">
            <v>110</v>
          </cell>
        </row>
        <row r="23">
          <cell r="B23" t="str">
            <v>Ind Meal Box</v>
          </cell>
          <cell r="C23">
            <v>0</v>
          </cell>
          <cell r="D23">
            <v>299</v>
          </cell>
          <cell r="E23">
            <v>199</v>
          </cell>
          <cell r="F23">
            <v>87</v>
          </cell>
        </row>
        <row r="24">
          <cell r="B24" t="str">
            <v>2OZ DIP POT/LID</v>
          </cell>
          <cell r="C24">
            <v>6.5</v>
          </cell>
          <cell r="D24">
            <v>75</v>
          </cell>
          <cell r="E24">
            <v>75</v>
          </cell>
          <cell r="F24">
            <v>35</v>
          </cell>
          <cell r="G24" t="str">
            <v>LID</v>
          </cell>
        </row>
        <row r="25">
          <cell r="B25" t="str">
            <v>-</v>
          </cell>
          <cell r="C25">
            <v>0</v>
          </cell>
        </row>
        <row r="26">
          <cell r="B26" t="str">
            <v>Fajita</v>
          </cell>
          <cell r="C26">
            <v>51</v>
          </cell>
          <cell r="D26">
            <v>205</v>
          </cell>
          <cell r="E26">
            <v>155</v>
          </cell>
          <cell r="F26">
            <v>80</v>
          </cell>
        </row>
        <row r="27">
          <cell r="B27" t="str">
            <v>Bucket 10kg</v>
          </cell>
          <cell r="C27">
            <v>0</v>
          </cell>
        </row>
        <row r="28">
          <cell r="B28" t="str">
            <v>SC109-650-POT</v>
          </cell>
          <cell r="C28">
            <v>30</v>
          </cell>
          <cell r="D28">
            <v>109</v>
          </cell>
          <cell r="E28">
            <v>109</v>
          </cell>
          <cell r="F28">
            <v>102</v>
          </cell>
        </row>
        <row r="29">
          <cell r="B29" t="str">
            <v>OR Meal Box for 1</v>
          </cell>
          <cell r="C29">
            <v>65</v>
          </cell>
          <cell r="D29">
            <v>200</v>
          </cell>
          <cell r="E29">
            <v>155</v>
          </cell>
          <cell r="F29">
            <v>110</v>
          </cell>
        </row>
        <row r="30">
          <cell r="B30" t="str">
            <v>SK5-Tex</v>
          </cell>
          <cell r="C30">
            <v>21.98</v>
          </cell>
          <cell r="D30">
            <v>219</v>
          </cell>
          <cell r="E30">
            <v>168</v>
          </cell>
          <cell r="F30">
            <v>45</v>
          </cell>
          <cell r="G30" t="str">
            <v>ME300AFV2</v>
          </cell>
        </row>
        <row r="31">
          <cell r="B31" t="str">
            <v>Tub-Lead</v>
          </cell>
          <cell r="C31">
            <v>88</v>
          </cell>
          <cell r="D31">
            <v>185</v>
          </cell>
          <cell r="E31">
            <v>185</v>
          </cell>
          <cell r="F31">
            <v>100</v>
          </cell>
        </row>
        <row r="32">
          <cell r="B32" t="str">
            <v>SK4-Plain Clear</v>
          </cell>
          <cell r="C32">
            <v>13</v>
          </cell>
          <cell r="D32">
            <v>195</v>
          </cell>
          <cell r="E32">
            <v>145</v>
          </cell>
          <cell r="F32">
            <v>38</v>
          </cell>
          <cell r="G32" t="str">
            <v>250LAF-275MM</v>
          </cell>
        </row>
        <row r="33">
          <cell r="B33" t="str">
            <v>Ok Meal Box</v>
          </cell>
          <cell r="C33">
            <v>0</v>
          </cell>
          <cell r="D33">
            <v>200</v>
          </cell>
          <cell r="E33">
            <v>155</v>
          </cell>
          <cell r="F33">
            <v>110</v>
          </cell>
        </row>
        <row r="34">
          <cell r="B34" t="str">
            <v>Meal Box For 2 H</v>
          </cell>
          <cell r="C34">
            <v>0</v>
          </cell>
          <cell r="D34">
            <v>203</v>
          </cell>
          <cell r="E34">
            <v>155</v>
          </cell>
          <cell r="F34">
            <v>180</v>
          </cell>
        </row>
        <row r="35">
          <cell r="B35" t="str">
            <v>OR Meal Box - 1</v>
          </cell>
          <cell r="C35">
            <v>0</v>
          </cell>
          <cell r="D35">
            <v>200</v>
          </cell>
          <cell r="E35">
            <v>155</v>
          </cell>
          <cell r="F35">
            <v>110</v>
          </cell>
          <cell r="G35" t="str">
            <v>250LAF</v>
          </cell>
        </row>
        <row r="36">
          <cell r="B36" t="str">
            <v>SC17</v>
          </cell>
          <cell r="C36">
            <v>25</v>
          </cell>
          <cell r="D36">
            <v>250</v>
          </cell>
          <cell r="E36">
            <v>162</v>
          </cell>
          <cell r="F36">
            <v>44</v>
          </cell>
          <cell r="G36" t="str">
            <v>250LAF-300MM</v>
          </cell>
        </row>
        <row r="37">
          <cell r="B37" t="str">
            <v>BLUE BAG 45MU</v>
          </cell>
          <cell r="C37">
            <v>1</v>
          </cell>
          <cell r="D37">
            <v>200</v>
          </cell>
          <cell r="E37">
            <v>300</v>
          </cell>
          <cell r="F37">
            <v>45</v>
          </cell>
          <cell r="G37" t="str">
            <v>Blue Tint</v>
          </cell>
        </row>
        <row r="38">
          <cell r="B38" t="str">
            <v>Bag/Box</v>
          </cell>
          <cell r="C38">
            <v>1</v>
          </cell>
          <cell r="D38">
            <v>254</v>
          </cell>
          <cell r="E38">
            <v>381</v>
          </cell>
          <cell r="F38">
            <v>25</v>
          </cell>
          <cell r="G38" t="str">
            <v>Blue Tint</v>
          </cell>
        </row>
        <row r="39">
          <cell r="B39" t="str">
            <v>C5E CLEAR</v>
          </cell>
          <cell r="C39">
            <v>20</v>
          </cell>
          <cell r="D39">
            <v>220</v>
          </cell>
          <cell r="E39">
            <v>170</v>
          </cell>
          <cell r="F39">
            <v>38</v>
          </cell>
          <cell r="G39" t="str">
            <v>ME300AFV2</v>
          </cell>
        </row>
        <row r="40">
          <cell r="B40" t="str">
            <v>EVOLVE CPET 2171-1F</v>
          </cell>
          <cell r="C40">
            <v>16.420000000000002</v>
          </cell>
          <cell r="D40">
            <v>171</v>
          </cell>
          <cell r="E40">
            <v>127</v>
          </cell>
          <cell r="F40">
            <v>50</v>
          </cell>
          <cell r="G40" t="str">
            <v>250LAF-250MM</v>
          </cell>
        </row>
        <row r="41">
          <cell r="B41" t="str">
            <v>EV 2200-1E-FROST</v>
          </cell>
          <cell r="C41">
            <v>22</v>
          </cell>
          <cell r="D41">
            <v>200.2</v>
          </cell>
          <cell r="E41">
            <v>154.80000000000001</v>
          </cell>
          <cell r="F41">
            <v>34.9</v>
          </cell>
          <cell r="G41" t="str">
            <v>250LAF-250MM</v>
          </cell>
        </row>
        <row r="42">
          <cell r="B42" t="str">
            <v>HW308/60-3 X CAV</v>
          </cell>
          <cell r="C42">
            <v>58</v>
          </cell>
          <cell r="D42">
            <v>309</v>
          </cell>
          <cell r="E42">
            <v>240</v>
          </cell>
          <cell r="F42">
            <v>60</v>
          </cell>
          <cell r="G42" t="str">
            <v>RPSM-340-25MU</v>
          </cell>
        </row>
        <row r="43">
          <cell r="B43" t="str">
            <v>Trapezoid</v>
          </cell>
          <cell r="C43">
            <v>12</v>
          </cell>
          <cell r="D43">
            <v>145</v>
          </cell>
          <cell r="E43">
            <v>135</v>
          </cell>
          <cell r="F43">
            <v>35</v>
          </cell>
          <cell r="G43" t="str">
            <v>250LAF-250MM</v>
          </cell>
        </row>
        <row r="44">
          <cell r="B44" t="str">
            <v>HW308/60</v>
          </cell>
          <cell r="C44">
            <v>55</v>
          </cell>
          <cell r="D44">
            <v>309</v>
          </cell>
          <cell r="E44">
            <v>240</v>
          </cell>
          <cell r="F44">
            <v>60</v>
          </cell>
          <cell r="G44" t="str">
            <v>RPSM-340-25MU</v>
          </cell>
        </row>
        <row r="45">
          <cell r="B45" t="str">
            <v>HW308/96</v>
          </cell>
          <cell r="C45">
            <v>58</v>
          </cell>
          <cell r="D45">
            <v>309</v>
          </cell>
          <cell r="E45">
            <v>240</v>
          </cell>
          <cell r="F45">
            <v>96</v>
          </cell>
          <cell r="G45" t="str">
            <v>RPSM-340-25MU</v>
          </cell>
        </row>
        <row r="46">
          <cell r="B46" t="str">
            <v>FLAT TRAY</v>
          </cell>
          <cell r="C46">
            <v>20</v>
          </cell>
          <cell r="D46">
            <v>200</v>
          </cell>
          <cell r="E46">
            <v>155</v>
          </cell>
          <cell r="F46">
            <v>49</v>
          </cell>
          <cell r="G46" t="str">
            <v>250LAF-250MM</v>
          </cell>
        </row>
        <row r="47">
          <cell r="B47" t="str">
            <v>Pie Tray</v>
          </cell>
          <cell r="C47">
            <v>16</v>
          </cell>
          <cell r="D47">
            <v>170</v>
          </cell>
          <cell r="E47">
            <v>140</v>
          </cell>
          <cell r="F47">
            <v>29</v>
          </cell>
          <cell r="G47" t="str">
            <v>250LAF-250MM</v>
          </cell>
        </row>
        <row r="48">
          <cell r="B48" t="str">
            <v>MEALKIT-EHB</v>
          </cell>
        </row>
        <row r="49">
          <cell r="B49" t="str">
            <v>TB017-180PL</v>
          </cell>
          <cell r="C49">
            <v>15</v>
          </cell>
          <cell r="D49">
            <v>10</v>
          </cell>
          <cell r="E49">
            <v>10</v>
          </cell>
          <cell r="F49">
            <v>5.5</v>
          </cell>
          <cell r="G49" t="str">
            <v>TP95-D</v>
          </cell>
          <cell r="H49">
            <v>95</v>
          </cell>
        </row>
        <row r="50">
          <cell r="B50" t="str">
            <v>GRAB &amp; GO SQ</v>
          </cell>
          <cell r="C50">
            <v>11.9</v>
          </cell>
          <cell r="D50">
            <v>141</v>
          </cell>
          <cell r="E50">
            <v>141</v>
          </cell>
          <cell r="F50">
            <v>40</v>
          </cell>
          <cell r="G50" t="str">
            <v>250LAF-240MM</v>
          </cell>
        </row>
        <row r="51">
          <cell r="B51" t="str">
            <v>WRAP TRAY</v>
          </cell>
          <cell r="C51">
            <v>15</v>
          </cell>
          <cell r="D51">
            <v>180</v>
          </cell>
          <cell r="E51">
            <v>100</v>
          </cell>
          <cell r="F51">
            <v>47</v>
          </cell>
          <cell r="G51" t="str">
            <v>250LAF-240MM</v>
          </cell>
        </row>
        <row r="52">
          <cell r="B52" t="str">
            <v>A-650</v>
          </cell>
          <cell r="C52">
            <v>31</v>
          </cell>
          <cell r="D52">
            <v>175</v>
          </cell>
          <cell r="E52">
            <v>120</v>
          </cell>
          <cell r="F52">
            <v>51</v>
          </cell>
        </row>
        <row r="53">
          <cell r="B53" t="str">
            <v>HW3-50 Div</v>
          </cell>
          <cell r="C53">
            <v>69</v>
          </cell>
          <cell r="D53">
            <v>308</v>
          </cell>
          <cell r="E53">
            <v>239</v>
          </cell>
          <cell r="F53">
            <v>50</v>
          </cell>
          <cell r="G53" t="str">
            <v>410AF</v>
          </cell>
          <cell r="H53">
            <v>450</v>
          </cell>
        </row>
        <row r="54">
          <cell r="B54" t="str">
            <v>C5-Cav Sqr</v>
          </cell>
          <cell r="C54">
            <v>22.4</v>
          </cell>
          <cell r="D54">
            <v>220</v>
          </cell>
          <cell r="E54">
            <v>170</v>
          </cell>
          <cell r="F54">
            <v>29</v>
          </cell>
          <cell r="G54" t="str">
            <v>410ME</v>
          </cell>
        </row>
        <row r="55">
          <cell r="B55" t="str">
            <v>FW-30-Split</v>
          </cell>
          <cell r="C55">
            <v>17.7</v>
          </cell>
          <cell r="D55">
            <v>219</v>
          </cell>
          <cell r="E55">
            <v>168</v>
          </cell>
          <cell r="F55">
            <v>30</v>
          </cell>
        </row>
        <row r="56">
          <cell r="B56" t="str">
            <v>C-650</v>
          </cell>
          <cell r="C56">
            <v>35</v>
          </cell>
          <cell r="D56">
            <v>175</v>
          </cell>
          <cell r="E56">
            <v>120</v>
          </cell>
          <cell r="F56">
            <v>51</v>
          </cell>
        </row>
        <row r="57">
          <cell r="B57" t="str">
            <v>2200-1E</v>
          </cell>
          <cell r="C57">
            <v>20</v>
          </cell>
          <cell r="D57">
            <v>200</v>
          </cell>
          <cell r="E57">
            <v>155</v>
          </cell>
          <cell r="F57">
            <v>35</v>
          </cell>
          <cell r="G57" t="str">
            <v>250LAF</v>
          </cell>
        </row>
        <row r="58">
          <cell r="B58" t="str">
            <v>2200-1D</v>
          </cell>
          <cell r="C58">
            <v>20</v>
          </cell>
          <cell r="D58">
            <v>200</v>
          </cell>
          <cell r="E58">
            <v>155</v>
          </cell>
          <cell r="F58">
            <v>39</v>
          </cell>
          <cell r="G58" t="str">
            <v>250LAF</v>
          </cell>
        </row>
        <row r="59">
          <cell r="B59">
            <v>596</v>
          </cell>
          <cell r="C59">
            <v>85</v>
          </cell>
          <cell r="D59">
            <v>308</v>
          </cell>
          <cell r="E59">
            <v>240</v>
          </cell>
          <cell r="F59">
            <v>60</v>
          </cell>
          <cell r="G59" t="str">
            <v>410AF</v>
          </cell>
          <cell r="H59">
            <v>450</v>
          </cell>
        </row>
        <row r="60">
          <cell r="B60" t="str">
            <v>2200-2F</v>
          </cell>
          <cell r="C60">
            <v>20</v>
          </cell>
          <cell r="D60">
            <v>200</v>
          </cell>
          <cell r="E60">
            <v>155</v>
          </cell>
          <cell r="F60">
            <v>45</v>
          </cell>
          <cell r="G60" t="str">
            <v>250LAF</v>
          </cell>
        </row>
        <row r="61">
          <cell r="B61" t="str">
            <v>2200-2C</v>
          </cell>
          <cell r="C61">
            <v>20</v>
          </cell>
          <cell r="D61">
            <v>200</v>
          </cell>
          <cell r="E61">
            <v>155</v>
          </cell>
          <cell r="F61">
            <v>39</v>
          </cell>
          <cell r="G61" t="str">
            <v>250LAF</v>
          </cell>
        </row>
        <row r="62">
          <cell r="B62" t="str">
            <v>2200-2B</v>
          </cell>
          <cell r="C62">
            <v>20</v>
          </cell>
          <cell r="D62">
            <v>200</v>
          </cell>
          <cell r="E62">
            <v>155</v>
          </cell>
          <cell r="F62">
            <v>35</v>
          </cell>
          <cell r="G62" t="str">
            <v>250LAF</v>
          </cell>
        </row>
        <row r="63">
          <cell r="B63" t="str">
            <v>H3H 50 - CLEAR</v>
          </cell>
          <cell r="C63">
            <v>69</v>
          </cell>
          <cell r="D63">
            <v>308</v>
          </cell>
          <cell r="E63">
            <v>239</v>
          </cell>
          <cell r="F63">
            <v>50</v>
          </cell>
          <cell r="G63" t="str">
            <v>PP340AF</v>
          </cell>
          <cell r="H63">
            <v>450</v>
          </cell>
        </row>
        <row r="64">
          <cell r="B64" t="str">
            <v>Trapezoid</v>
          </cell>
          <cell r="C64">
            <v>11.5</v>
          </cell>
          <cell r="D64">
            <v>145</v>
          </cell>
          <cell r="E64">
            <v>135</v>
          </cell>
          <cell r="F64">
            <v>30</v>
          </cell>
          <cell r="G64" t="str">
            <v>250LAF-380MM</v>
          </cell>
          <cell r="H64">
            <v>155</v>
          </cell>
        </row>
        <row r="65">
          <cell r="B65" t="str">
            <v>H320/60 -CLEAR (596)</v>
          </cell>
          <cell r="C65">
            <v>85</v>
          </cell>
          <cell r="D65">
            <v>308</v>
          </cell>
          <cell r="E65">
            <v>240</v>
          </cell>
          <cell r="F65">
            <v>60</v>
          </cell>
          <cell r="G65" t="str">
            <v>PP340AF</v>
          </cell>
          <cell r="H65">
            <v>450</v>
          </cell>
        </row>
        <row r="66">
          <cell r="B66" t="str">
            <v>Duo-Pot</v>
          </cell>
          <cell r="C66">
            <v>11.2</v>
          </cell>
          <cell r="D66">
            <v>149</v>
          </cell>
          <cell r="E66">
            <v>85</v>
          </cell>
          <cell r="F66">
            <v>43</v>
          </cell>
          <cell r="G66" t="str">
            <v>250LAF-380MM</v>
          </cell>
          <cell r="H66">
            <v>195</v>
          </cell>
        </row>
        <row r="67">
          <cell r="B67" t="str">
            <v>SK4-CLEAR (C4 CLEAR R-PET)</v>
          </cell>
          <cell r="C67">
            <v>15.65</v>
          </cell>
          <cell r="D67">
            <v>195</v>
          </cell>
          <cell r="E67">
            <v>143</v>
          </cell>
          <cell r="F67">
            <v>40</v>
          </cell>
          <cell r="G67" t="str">
            <v>250LAF-380MM</v>
          </cell>
          <cell r="H67">
            <v>250</v>
          </cell>
        </row>
        <row r="68">
          <cell r="B68" t="str">
            <v>Trapezoid</v>
          </cell>
          <cell r="C68">
            <v>11.5</v>
          </cell>
          <cell r="D68">
            <v>145</v>
          </cell>
          <cell r="E68">
            <v>135</v>
          </cell>
          <cell r="F68">
            <v>30</v>
          </cell>
          <cell r="G68" t="str">
            <v>250LAF-250MM</v>
          </cell>
          <cell r="H68">
            <v>155</v>
          </cell>
        </row>
        <row r="69">
          <cell r="B69" t="str">
            <v>SK4-Plain</v>
          </cell>
          <cell r="C69">
            <v>15.65</v>
          </cell>
          <cell r="D69">
            <v>195</v>
          </cell>
          <cell r="E69">
            <v>145</v>
          </cell>
          <cell r="F69">
            <v>38</v>
          </cell>
          <cell r="G69" t="str">
            <v>410ME</v>
          </cell>
          <cell r="H69">
            <v>250</v>
          </cell>
        </row>
        <row r="70">
          <cell r="B70" t="str">
            <v>SK4-Div</v>
          </cell>
          <cell r="C70">
            <v>13.84</v>
          </cell>
          <cell r="D70">
            <v>195</v>
          </cell>
          <cell r="E70">
            <v>143</v>
          </cell>
          <cell r="F70">
            <v>40</v>
          </cell>
          <cell r="G70" t="str">
            <v>410ME</v>
          </cell>
          <cell r="H70">
            <v>250</v>
          </cell>
        </row>
        <row r="71">
          <cell r="B71" t="str">
            <v>SK4-Split</v>
          </cell>
          <cell r="C71">
            <v>13.84</v>
          </cell>
          <cell r="D71">
            <v>195</v>
          </cell>
          <cell r="E71">
            <v>143</v>
          </cell>
          <cell r="F71">
            <v>40</v>
          </cell>
          <cell r="G71" t="str">
            <v>410ME</v>
          </cell>
          <cell r="H71">
            <v>250</v>
          </cell>
        </row>
        <row r="72">
          <cell r="B72" t="str">
            <v>Bag/Box</v>
          </cell>
          <cell r="C72">
            <v>0</v>
          </cell>
        </row>
        <row r="73">
          <cell r="B73" t="str">
            <v>SK5-Split</v>
          </cell>
          <cell r="C73">
            <v>21.98</v>
          </cell>
          <cell r="D73">
            <v>219</v>
          </cell>
          <cell r="E73">
            <v>168</v>
          </cell>
          <cell r="F73">
            <v>45</v>
          </cell>
          <cell r="G73" t="str">
            <v>410ME</v>
          </cell>
        </row>
        <row r="74">
          <cell r="B74" t="str">
            <v>EVOLVE CPET 2200-1D</v>
          </cell>
          <cell r="C74">
            <v>21.38</v>
          </cell>
          <cell r="D74">
            <v>200</v>
          </cell>
          <cell r="E74">
            <v>153</v>
          </cell>
          <cell r="F74">
            <v>40</v>
          </cell>
          <cell r="G74" t="str">
            <v>250LAF-250MM</v>
          </cell>
        </row>
        <row r="75">
          <cell r="B75" t="str">
            <v>EVOLVE CPET 2200-1E</v>
          </cell>
          <cell r="C75">
            <v>21.38</v>
          </cell>
          <cell r="D75">
            <v>200.2</v>
          </cell>
          <cell r="E75">
            <v>154.80000000000001</v>
          </cell>
          <cell r="F75">
            <v>34.9</v>
          </cell>
          <cell r="G75" t="str">
            <v>250LAF-380MM</v>
          </cell>
        </row>
        <row r="76">
          <cell r="B76" t="str">
            <v>EVOLVE CPET 2200-1D</v>
          </cell>
          <cell r="C76">
            <v>21.38</v>
          </cell>
          <cell r="D76">
            <v>200</v>
          </cell>
          <cell r="E76">
            <v>153</v>
          </cell>
          <cell r="F76">
            <v>40</v>
          </cell>
          <cell r="G76" t="str">
            <v>250LAF-380MM</v>
          </cell>
        </row>
        <row r="77">
          <cell r="B77" t="str">
            <v>EVOLVE CPET 2200-2F</v>
          </cell>
          <cell r="C77">
            <v>23.32</v>
          </cell>
          <cell r="D77">
            <v>200.5</v>
          </cell>
          <cell r="E77">
            <v>155.1</v>
          </cell>
          <cell r="F77">
            <v>44.7</v>
          </cell>
          <cell r="G77" t="str">
            <v>250LAF-380MM</v>
          </cell>
        </row>
        <row r="78">
          <cell r="B78" t="str">
            <v>EVOLVE CPET 2200-2F</v>
          </cell>
          <cell r="C78">
            <v>23.32</v>
          </cell>
          <cell r="D78">
            <v>200.5</v>
          </cell>
          <cell r="E78">
            <v>155.1</v>
          </cell>
          <cell r="F78">
            <v>44.7</v>
          </cell>
          <cell r="G78" t="str">
            <v>250LAF-250MM</v>
          </cell>
        </row>
        <row r="79">
          <cell r="B79" t="str">
            <v>EVOLVE CPET 2200-1E</v>
          </cell>
          <cell r="C79">
            <v>21.38</v>
          </cell>
          <cell r="D79">
            <v>200.2</v>
          </cell>
          <cell r="E79">
            <v>154.80000000000001</v>
          </cell>
          <cell r="F79">
            <v>34.9</v>
          </cell>
          <cell r="G79" t="str">
            <v>250LAF-250MM</v>
          </cell>
        </row>
        <row r="80">
          <cell r="B80" t="str">
            <v>H320/60 -CLEAR (596)</v>
          </cell>
          <cell r="C80">
            <v>85</v>
          </cell>
          <cell r="D80">
            <v>308</v>
          </cell>
          <cell r="E80">
            <v>240</v>
          </cell>
          <cell r="F80">
            <v>60</v>
          </cell>
          <cell r="G80" t="str">
            <v>PP410AF</v>
          </cell>
          <cell r="H80">
            <v>450</v>
          </cell>
        </row>
        <row r="81">
          <cell r="B81" t="str">
            <v>Duo-Pot</v>
          </cell>
          <cell r="C81">
            <v>11.2</v>
          </cell>
          <cell r="D81">
            <v>149</v>
          </cell>
          <cell r="E81">
            <v>85</v>
          </cell>
          <cell r="F81">
            <v>43</v>
          </cell>
          <cell r="G81" t="str">
            <v>250LAF-250MM</v>
          </cell>
          <cell r="H81">
            <v>195</v>
          </cell>
        </row>
        <row r="82">
          <cell r="B82" t="str">
            <v>H3H 50 - CLEAR</v>
          </cell>
          <cell r="C82">
            <v>69</v>
          </cell>
          <cell r="D82">
            <v>308</v>
          </cell>
          <cell r="E82">
            <v>239</v>
          </cell>
          <cell r="F82">
            <v>50</v>
          </cell>
          <cell r="G82" t="str">
            <v>PP410AF</v>
          </cell>
          <cell r="H82">
            <v>450</v>
          </cell>
        </row>
        <row r="83">
          <cell r="B83" t="str">
            <v>2200-1B</v>
          </cell>
          <cell r="C83">
            <v>20</v>
          </cell>
          <cell r="D83">
            <v>200</v>
          </cell>
          <cell r="E83">
            <v>155</v>
          </cell>
          <cell r="F83">
            <v>34</v>
          </cell>
          <cell r="G83" t="str">
            <v>250LAF-380MM</v>
          </cell>
        </row>
        <row r="84">
          <cell r="B84" t="str">
            <v>2200-1B</v>
          </cell>
          <cell r="C84">
            <v>20</v>
          </cell>
          <cell r="D84">
            <v>200</v>
          </cell>
          <cell r="E84">
            <v>155</v>
          </cell>
          <cell r="F84">
            <v>34</v>
          </cell>
          <cell r="G84" t="str">
            <v>250LAF-250MM</v>
          </cell>
        </row>
        <row r="85">
          <cell r="B85" t="str">
            <v>EVOLVE CPET 2200-2B</v>
          </cell>
          <cell r="C85">
            <v>21.38</v>
          </cell>
          <cell r="D85">
            <v>200.3</v>
          </cell>
          <cell r="E85">
            <v>155</v>
          </cell>
          <cell r="F85">
            <v>34.799999999999997</v>
          </cell>
          <cell r="G85" t="str">
            <v>250LAF-250MM</v>
          </cell>
        </row>
        <row r="86">
          <cell r="B86" t="str">
            <v>H320/100-CLEAR (554)</v>
          </cell>
          <cell r="C86">
            <v>103</v>
          </cell>
          <cell r="D86">
            <v>308</v>
          </cell>
          <cell r="E86">
            <v>240</v>
          </cell>
          <cell r="F86">
            <v>100</v>
          </cell>
          <cell r="G86" t="str">
            <v>PP410AF</v>
          </cell>
          <cell r="H86">
            <v>450</v>
          </cell>
        </row>
        <row r="87">
          <cell r="B87" t="str">
            <v>SK5-Plain</v>
          </cell>
          <cell r="C87">
            <v>19.899999999999999</v>
          </cell>
          <cell r="D87">
            <v>220</v>
          </cell>
          <cell r="E87">
            <v>170</v>
          </cell>
          <cell r="F87">
            <v>38</v>
          </cell>
          <cell r="G87" t="str">
            <v>ME410AFV2</v>
          </cell>
        </row>
        <row r="88">
          <cell r="B88" t="str">
            <v>Trapezoid - Plain</v>
          </cell>
          <cell r="C88">
            <v>11.5</v>
          </cell>
          <cell r="D88">
            <v>145</v>
          </cell>
          <cell r="E88">
            <v>135</v>
          </cell>
          <cell r="F88">
            <v>30</v>
          </cell>
          <cell r="G88" t="str">
            <v>250LAF-380MM</v>
          </cell>
          <cell r="H88">
            <v>155</v>
          </cell>
        </row>
        <row r="89">
          <cell r="B89">
            <v>554</v>
          </cell>
          <cell r="C89">
            <v>103</v>
          </cell>
          <cell r="D89">
            <v>308</v>
          </cell>
          <cell r="E89">
            <v>240</v>
          </cell>
          <cell r="F89">
            <v>100</v>
          </cell>
          <cell r="G89" t="str">
            <v>410AF</v>
          </cell>
          <cell r="H89">
            <v>450</v>
          </cell>
        </row>
        <row r="90">
          <cell r="B90">
            <v>551</v>
          </cell>
          <cell r="C90">
            <v>45</v>
          </cell>
          <cell r="D90">
            <v>265</v>
          </cell>
          <cell r="E90">
            <v>165</v>
          </cell>
          <cell r="F90">
            <v>45</v>
          </cell>
        </row>
        <row r="91">
          <cell r="B91" t="str">
            <v>H320/100-CLEAR (554)</v>
          </cell>
          <cell r="C91">
            <v>103</v>
          </cell>
          <cell r="D91">
            <v>308</v>
          </cell>
          <cell r="E91">
            <v>240</v>
          </cell>
          <cell r="F91">
            <v>100</v>
          </cell>
          <cell r="G91" t="str">
            <v>PP410AF</v>
          </cell>
          <cell r="H91">
            <v>450</v>
          </cell>
        </row>
        <row r="92">
          <cell r="B92" t="str">
            <v>SC700</v>
          </cell>
          <cell r="C92">
            <v>17</v>
          </cell>
          <cell r="D92">
            <v>187</v>
          </cell>
          <cell r="E92">
            <v>136</v>
          </cell>
          <cell r="F92">
            <v>40</v>
          </cell>
          <cell r="G92" t="str">
            <v>250LAF-145MM</v>
          </cell>
        </row>
        <row r="93">
          <cell r="B93" t="str">
            <v>EVOLVE CPET 2200-2C</v>
          </cell>
          <cell r="C93">
            <v>21.38</v>
          </cell>
          <cell r="D93">
            <v>200.4</v>
          </cell>
          <cell r="E93">
            <v>154.5</v>
          </cell>
          <cell r="F93">
            <v>34.200000000000003</v>
          </cell>
          <cell r="G93" t="str">
            <v>250LAF-380MM</v>
          </cell>
        </row>
        <row r="94">
          <cell r="B94" t="str">
            <v>EVOLVE CPET 2200-2C</v>
          </cell>
          <cell r="C94">
            <v>21.38</v>
          </cell>
          <cell r="D94">
            <v>200.4</v>
          </cell>
          <cell r="E94">
            <v>154.5</v>
          </cell>
          <cell r="F94">
            <v>34.200000000000003</v>
          </cell>
          <cell r="G94" t="str">
            <v>250LAF-250MM</v>
          </cell>
        </row>
        <row r="95">
          <cell r="B95" t="str">
            <v>EVOLVE CPET 2200-2B</v>
          </cell>
          <cell r="C95">
            <v>21.38</v>
          </cell>
          <cell r="D95">
            <v>200.3</v>
          </cell>
          <cell r="E95">
            <v>155</v>
          </cell>
          <cell r="F95">
            <v>34.799999999999997</v>
          </cell>
          <cell r="G95" t="str">
            <v>250LAF-380MM</v>
          </cell>
        </row>
        <row r="96">
          <cell r="B96" t="str">
            <v>SC700</v>
          </cell>
          <cell r="C96">
            <v>17</v>
          </cell>
          <cell r="D96">
            <v>187</v>
          </cell>
          <cell r="E96">
            <v>136</v>
          </cell>
          <cell r="F96">
            <v>40</v>
          </cell>
          <cell r="G96" t="str">
            <v>250LAF-145MM</v>
          </cell>
        </row>
        <row r="97">
          <cell r="B97" t="str">
            <v>EVOLVE CPET 2171-1F</v>
          </cell>
          <cell r="C97">
            <v>16.420000000000002</v>
          </cell>
          <cell r="D97">
            <v>171</v>
          </cell>
          <cell r="E97">
            <v>127</v>
          </cell>
          <cell r="F97">
            <v>50</v>
          </cell>
          <cell r="G97" t="str">
            <v>250LAF-250MM</v>
          </cell>
        </row>
        <row r="98">
          <cell r="B98" t="str">
            <v>H320/115-CLEAR (554)</v>
          </cell>
          <cell r="C98">
            <v>100</v>
          </cell>
          <cell r="D98">
            <v>320</v>
          </cell>
          <cell r="E98">
            <v>245</v>
          </cell>
          <cell r="F98">
            <v>115</v>
          </cell>
          <cell r="G98" t="str">
            <v>S340AF (PE)</v>
          </cell>
        </row>
        <row r="99">
          <cell r="B99" t="str">
            <v>H320/115-CLEAR (554)</v>
          </cell>
          <cell r="C99">
            <v>100</v>
          </cell>
          <cell r="D99">
            <v>320</v>
          </cell>
          <cell r="E99">
            <v>245</v>
          </cell>
          <cell r="F99">
            <v>115</v>
          </cell>
          <cell r="G99" t="str">
            <v>S340AF (PE)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40" t="s">
        <v>3</v>
      </c>
      <c r="G1" s="40"/>
      <c r="H1" s="40"/>
      <c r="I1" s="40"/>
      <c r="J1" s="40"/>
      <c r="K1" s="41"/>
      <c r="L1" s="41" t="s">
        <v>4</v>
      </c>
      <c r="M1" s="54"/>
      <c r="N1" s="41" t="s">
        <v>6</v>
      </c>
      <c r="O1" s="56"/>
      <c r="P1" s="56"/>
      <c r="Q1" s="54"/>
      <c r="R1" s="41" t="s">
        <v>5</v>
      </c>
      <c r="S1" s="56"/>
      <c r="T1" s="56"/>
      <c r="U1" s="56"/>
      <c r="V1" s="56"/>
      <c r="W1" s="56"/>
      <c r="X1" s="54"/>
      <c r="Y1" s="40" t="s">
        <v>9</v>
      </c>
      <c r="Z1" s="40"/>
      <c r="AA1" s="40"/>
    </row>
    <row r="2" spans="1:34" x14ac:dyDescent="0.25">
      <c r="A2" s="7"/>
      <c r="B2" s="8"/>
      <c r="C2" s="8"/>
      <c r="D2" s="8"/>
      <c r="E2" s="9"/>
      <c r="F2" s="40" t="s">
        <v>24</v>
      </c>
      <c r="G2" s="40"/>
      <c r="H2" s="40"/>
      <c r="I2" s="40"/>
      <c r="J2" s="40"/>
      <c r="K2" s="41"/>
      <c r="L2" s="41">
        <v>1</v>
      </c>
      <c r="M2" s="54"/>
      <c r="N2" s="55">
        <v>44659</v>
      </c>
      <c r="O2" s="56"/>
      <c r="P2" s="56"/>
      <c r="Q2" s="54"/>
      <c r="R2" s="55" t="s">
        <v>20</v>
      </c>
      <c r="S2" s="56"/>
      <c r="T2" s="56"/>
      <c r="U2" s="56"/>
      <c r="V2" s="56"/>
      <c r="W2" s="56"/>
      <c r="X2" s="54"/>
      <c r="Y2" s="57" t="s">
        <v>12</v>
      </c>
      <c r="Z2" s="58"/>
      <c r="AA2" s="59"/>
    </row>
    <row r="3" spans="1:34" ht="24.75" customHeight="1" x14ac:dyDescent="0.25">
      <c r="A3" s="7"/>
      <c r="B3" s="8"/>
      <c r="C3" s="8"/>
      <c r="D3" s="8"/>
      <c r="E3" s="9"/>
      <c r="F3" s="45" t="s">
        <v>7</v>
      </c>
      <c r="G3" s="46"/>
      <c r="H3" s="46"/>
      <c r="I3" s="46"/>
      <c r="J3" s="46"/>
      <c r="K3" s="47"/>
      <c r="L3" s="31" t="s">
        <v>13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60"/>
      <c r="Z3" s="61"/>
      <c r="AA3" s="62"/>
      <c r="AD3" t="str">
        <f>IFERROR(VLOOKUP(C3,('[1]Tray Ref'!#REF!),14,FALSE),"")</f>
        <v/>
      </c>
    </row>
    <row r="4" spans="1:34" ht="7.5" customHeight="1" x14ac:dyDescent="0.25">
      <c r="A4" s="10"/>
      <c r="B4" s="11"/>
      <c r="C4" s="11"/>
      <c r="D4" s="11"/>
      <c r="E4" s="12"/>
      <c r="F4" s="48"/>
      <c r="G4" s="49"/>
      <c r="H4" s="49"/>
      <c r="I4" s="49"/>
      <c r="J4" s="49"/>
      <c r="K4" s="50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63"/>
      <c r="Z4" s="64"/>
      <c r="AA4" s="65"/>
    </row>
    <row r="5" spans="1:34" ht="28.5" customHeight="1" x14ac:dyDescent="0.25">
      <c r="A5" s="37" t="s">
        <v>10</v>
      </c>
      <c r="B5" s="38"/>
      <c r="C5" s="38"/>
      <c r="D5" s="38"/>
      <c r="E5" s="39"/>
      <c r="F5" s="51" t="s">
        <v>19</v>
      </c>
      <c r="G5" s="52"/>
      <c r="H5" s="52"/>
      <c r="I5" s="52"/>
      <c r="J5" s="52"/>
      <c r="K5" s="53"/>
      <c r="L5" s="66" t="s">
        <v>8</v>
      </c>
      <c r="M5" s="67"/>
      <c r="N5" s="67"/>
      <c r="O5" s="68"/>
      <c r="P5" s="66" t="s">
        <v>21</v>
      </c>
      <c r="Q5" s="67"/>
      <c r="R5" s="67"/>
      <c r="S5" s="68"/>
      <c r="T5" s="66" t="s">
        <v>22</v>
      </c>
      <c r="U5" s="67"/>
      <c r="V5" s="67"/>
      <c r="W5" s="67"/>
      <c r="X5" s="68"/>
      <c r="Y5" s="69" t="s">
        <v>11</v>
      </c>
      <c r="Z5" s="69"/>
      <c r="AA5" s="69"/>
    </row>
    <row r="6" spans="1:34" ht="6.75" customHeight="1" x14ac:dyDescent="0.25"/>
    <row r="7" spans="1:34" ht="18.75" x14ac:dyDescent="0.3">
      <c r="A7" s="42" t="s">
        <v>17</v>
      </c>
      <c r="B7" s="43"/>
      <c r="C7" s="43"/>
      <c r="D7" s="44"/>
      <c r="E7" s="16" t="s">
        <v>23</v>
      </c>
      <c r="F7" s="16"/>
      <c r="G7" s="16"/>
      <c r="H7" s="16"/>
      <c r="I7" s="16"/>
      <c r="J7" s="16"/>
      <c r="K7" s="16"/>
      <c r="L7" s="16" t="s">
        <v>13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4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E8" s="2" t="str">
        <f>IFERROR(VLOOKUP(C8,('[1]Tray Ref'!#REF!),15,FALSE),"")</f>
        <v/>
      </c>
    </row>
    <row r="9" spans="1:3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E10" s="2"/>
    </row>
    <row r="11" spans="1:3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4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G16" s="8"/>
      <c r="AH16" s="8"/>
    </row>
    <row r="17" spans="1:38" ht="18.75" customHeight="1" x14ac:dyDescent="0.25">
      <c r="A17" s="31" t="s">
        <v>18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3"/>
      <c r="P17" s="19" t="s">
        <v>14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G17" s="8"/>
      <c r="AH17" s="8"/>
    </row>
    <row r="18" spans="1:38" ht="18.75" customHeight="1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G18" s="8"/>
      <c r="AH18" s="8"/>
    </row>
    <row r="19" spans="1:38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G19" s="8"/>
      <c r="AH19" s="8"/>
    </row>
    <row r="20" spans="1:3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  <c r="AG20" s="8"/>
      <c r="AH20" s="8"/>
    </row>
    <row r="21" spans="1:38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8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8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8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8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8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8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L27" t="str">
        <f>IFERROR(VLOOKUP(K27,('[1]Tray Ref'!$B$2:H1033),14,FALSE),"")</f>
        <v/>
      </c>
    </row>
    <row r="28" spans="1:38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8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8" ht="18.75" customHeight="1" x14ac:dyDescent="0.25">
      <c r="A30" s="25" t="s">
        <v>15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8" ht="2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8" ht="12.75" customHeight="1" x14ac:dyDescent="0.25">
      <c r="A32" s="3" t="s">
        <v>16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8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</sheetData>
  <mergeCells count="33">
    <mergeCell ref="AG16:AH20"/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E10">
    <cfRule type="duplicateValues" dxfId="0" priority="1"/>
  </conditionalFormatting>
  <pageMargins left="0.6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2024-08-20T16:31:47Z</cp:lastPrinted>
  <dcterms:created xsi:type="dcterms:W3CDTF">2018-08-01T08:42:18Z</dcterms:created>
  <dcterms:modified xsi:type="dcterms:W3CDTF">2024-08-20T16:34:02Z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