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lines" sheetId="1" state="visible" r:id="rId1"/>
    <sheet name="RM compare" sheetId="2" state="visible" r:id="rId2"/>
    <sheet name="Explode" sheetId="3" state="visible" r:id="rId3"/>
    <sheet name="System only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&quot;%&quot;;-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</t>
        </is>
      </c>
      <c r="B1" t="inlineStr">
        <is>
          <t>excel_code</t>
        </is>
      </c>
      <c r="C1" t="inlineStr">
        <is>
          <t>excel_name</t>
        </is>
      </c>
      <c r="D1" t="inlineStr">
        <is>
          <t>cases</t>
        </is>
      </c>
      <c r="E1" t="inlineStr">
        <is>
          <t>packs</t>
        </is>
      </c>
      <c r="F1" t="inlineStr">
        <is>
          <t>explode_qty</t>
        </is>
      </c>
      <c r="G1" t="inlineStr">
        <is>
          <t>product_id</t>
        </is>
      </c>
      <c r="H1" t="inlineStr">
        <is>
          <t>recipe_code</t>
        </is>
      </c>
      <c r="I1" t="inlineStr">
        <is>
          <t>product_name</t>
        </is>
      </c>
      <c r="J1" t="inlineStr">
        <is>
          <t>match</t>
        </is>
      </c>
    </row>
    <row r="2">
      <c r="A2" t="n">
        <v>305</v>
      </c>
      <c r="B2" t="inlineStr">
        <is>
          <t>CCCAC-R20TSE</t>
        </is>
      </c>
      <c r="C2" t="inlineStr">
        <is>
          <t>SE Std Penne al Pomodoro W/Chicken</t>
        </is>
      </c>
      <c r="D2" t="inlineStr">
        <is>
          <t>250</t>
        </is>
      </c>
      <c r="E2" t="inlineStr">
        <is>
          <t>5000</t>
        </is>
      </c>
      <c r="F2" t="inlineStr">
        <is>
          <t>250</t>
        </is>
      </c>
      <c r="G2" t="n">
        <v>1668</v>
      </c>
      <c r="H2" t="inlineStr">
        <is>
          <t>CCCAC-R20TSE</t>
        </is>
      </c>
      <c r="I2" t="inlineStr">
        <is>
          <t>SE - Std  Penne al Pomodoro with Chicken | 390G X 20</t>
        </is>
      </c>
      <c r="J2" t="inlineStr">
        <is>
          <t>code</t>
        </is>
      </c>
    </row>
    <row r="3">
      <c r="A3" t="n">
        <v>306</v>
      </c>
      <c r="B3" t="inlineStr">
        <is>
          <t>CCCAC-1R20TSE</t>
        </is>
      </c>
      <c r="C3" t="inlineStr">
        <is>
          <t>SE Lean Penne al Pomodoro W/Chicken</t>
        </is>
      </c>
      <c r="D3" t="inlineStr">
        <is>
          <t>50</t>
        </is>
      </c>
      <c r="E3" t="inlineStr">
        <is>
          <t>1000</t>
        </is>
      </c>
      <c r="F3" t="inlineStr">
        <is>
          <t>50</t>
        </is>
      </c>
      <c r="G3" t="n">
        <v>1669</v>
      </c>
      <c r="H3" t="inlineStr">
        <is>
          <t>CCCAC-1R20TSE</t>
        </is>
      </c>
      <c r="I3" t="inlineStr">
        <is>
          <t>SE - Lean Penne al Pomodoro with Chicken | 400G X 20</t>
        </is>
      </c>
      <c r="J3" t="inlineStr">
        <is>
          <t>code</t>
        </is>
      </c>
    </row>
    <row r="4">
      <c r="A4" t="n">
        <v>307</v>
      </c>
      <c r="B4" t="inlineStr">
        <is>
          <t>CCCAC-R16TSE</t>
        </is>
      </c>
      <c r="C4" t="inlineStr">
        <is>
          <t>SE Lrg Penne al Pomodoro W/Chicken</t>
        </is>
      </c>
      <c r="D4" t="inlineStr">
        <is>
          <t>62.5</t>
        </is>
      </c>
      <c r="E4" t="inlineStr">
        <is>
          <t>1000</t>
        </is>
      </c>
      <c r="F4" t="inlineStr">
        <is>
          <t>62.5</t>
        </is>
      </c>
      <c r="G4" t="n">
        <v>1670</v>
      </c>
      <c r="H4" t="inlineStr">
        <is>
          <t>CCCAC-R16TSE</t>
        </is>
      </c>
      <c r="I4" t="inlineStr">
        <is>
          <t>SE - Lrg Penne al Pomodoro with Chicken | 545G X 16</t>
        </is>
      </c>
      <c r="J4" t="inlineStr">
        <is>
          <t>code</t>
        </is>
      </c>
    </row>
    <row r="5">
      <c r="A5" t="n">
        <v>314</v>
      </c>
      <c r="B5" t="inlineStr">
        <is>
          <t>CCTRC1-R20TSE</t>
        </is>
      </c>
      <c r="C5" t="inlineStr">
        <is>
          <t>SE Std Red Thai Chicken</t>
        </is>
      </c>
      <c r="D5" t="inlineStr">
        <is>
          <t>250</t>
        </is>
      </c>
      <c r="E5" t="inlineStr">
        <is>
          <t>5000</t>
        </is>
      </c>
      <c r="F5" t="inlineStr">
        <is>
          <t>250</t>
        </is>
      </c>
      <c r="G5" t="n">
        <v>1671</v>
      </c>
      <c r="H5" t="inlineStr">
        <is>
          <t>CCTRC1-R20TSE</t>
        </is>
      </c>
      <c r="I5" t="inlineStr">
        <is>
          <t>SE - Std Red Thai Chicken Curry | 390G X 20</t>
        </is>
      </c>
      <c r="J5" t="inlineStr">
        <is>
          <t>code</t>
        </is>
      </c>
    </row>
    <row r="6">
      <c r="A6" t="n">
        <v>315</v>
      </c>
      <c r="B6" t="inlineStr">
        <is>
          <t>CCTRC1-1R20TSE</t>
        </is>
      </c>
      <c r="C6" t="inlineStr">
        <is>
          <t>SE Lean Red Thai Chicken</t>
        </is>
      </c>
      <c r="D6" t="inlineStr">
        <is>
          <t>50</t>
        </is>
      </c>
      <c r="E6" t="inlineStr">
        <is>
          <t>1000</t>
        </is>
      </c>
      <c r="F6" t="inlineStr">
        <is>
          <t>50</t>
        </is>
      </c>
      <c r="G6" t="n">
        <v>1672</v>
      </c>
      <c r="H6" t="inlineStr">
        <is>
          <t>CCTRC1-1R20TSE</t>
        </is>
      </c>
      <c r="I6" t="inlineStr">
        <is>
          <t>SE - Lean Red Thai Chicken Curry | 400G X 20</t>
        </is>
      </c>
      <c r="J6" t="inlineStr">
        <is>
          <t>code</t>
        </is>
      </c>
    </row>
    <row r="7">
      <c r="A7" t="n">
        <v>316</v>
      </c>
      <c r="B7" t="inlineStr">
        <is>
          <t>CCTRC1-R16TSE</t>
        </is>
      </c>
      <c r="C7" t="inlineStr">
        <is>
          <t>SE Lrg Red Thai Chicken</t>
        </is>
      </c>
      <c r="D7" t="inlineStr">
        <is>
          <t>62.5</t>
        </is>
      </c>
      <c r="E7" t="inlineStr">
        <is>
          <t>1000</t>
        </is>
      </c>
      <c r="F7" t="inlineStr">
        <is>
          <t>62.5</t>
        </is>
      </c>
      <c r="G7" t="n">
        <v>1673</v>
      </c>
      <c r="H7" t="inlineStr">
        <is>
          <t>CCTRC1-R16TSE</t>
        </is>
      </c>
      <c r="I7" t="inlineStr">
        <is>
          <t>SE - Lrg Red Thai Chicken Curry | 545G X 16</t>
        </is>
      </c>
      <c r="J7" t="inlineStr">
        <is>
          <t>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excel_code</t>
        </is>
      </c>
      <c r="B1" t="inlineStr">
        <is>
          <t>excel_name</t>
        </is>
      </c>
      <c r="C1" t="inlineStr">
        <is>
          <t>excel_g</t>
        </is>
      </c>
      <c r="D1" t="inlineStr">
        <is>
          <t>system_g</t>
        </is>
      </c>
      <c r="E1" t="inlineStr">
        <is>
          <t>diff</t>
        </is>
      </c>
      <c r="F1" t="inlineStr">
        <is>
          <t>percentage</t>
        </is>
      </c>
      <c r="G1" t="inlineStr">
        <is>
          <t>implied_yield_pct</t>
        </is>
      </c>
      <c r="H1" t="inlineStr">
        <is>
          <t>fix</t>
        </is>
      </c>
    </row>
    <row r="2">
      <c r="A2" t="inlineStr">
        <is>
          <t>AFFINITY</t>
        </is>
      </c>
      <c r="B2" t="inlineStr">
        <is>
          <t>Water</t>
        </is>
      </c>
      <c r="C2" t="n">
        <v>1183200</v>
      </c>
      <c r="E2">
        <f>D2-C2</f>
        <v/>
      </c>
      <c r="H2" t="inlineStr">
        <is>
          <t>not in explode (missing BOM, or treated as intermediate because it has a recipe)</t>
        </is>
      </c>
    </row>
    <row r="3">
      <c r="A3" t="inlineStr">
        <is>
          <t>RMDAR001-01</t>
        </is>
      </c>
      <c r="B3" t="inlineStr">
        <is>
          <t>Coriander</t>
        </is>
      </c>
      <c r="C3" t="n">
        <v>12000</v>
      </c>
      <c r="D3" t="n">
        <v>11349.25708</v>
      </c>
      <c r="E3">
        <f>D3-C3</f>
        <v/>
      </c>
      <c r="F3" s="1">
        <f>(D3-C3)/D3*100</f>
        <v/>
      </c>
      <c r="G3" s="2">
        <f>D3/C3*100</f>
        <v/>
      </c>
      <c r="H3" t="inlineStr">
        <is>
          <t>recipe qty or yield vs Excel; confirm pack size</t>
        </is>
      </c>
    </row>
    <row r="4">
      <c r="A4" t="inlineStr">
        <is>
          <t>RMDAR001-04</t>
        </is>
      </c>
      <c r="B4" t="inlineStr">
        <is>
          <t>IQF CURLY PARSLEY MEDIUM STD</t>
        </is>
      </c>
      <c r="C4" t="n">
        <v>20000</v>
      </c>
      <c r="E4">
        <f>D4-C4</f>
        <v/>
      </c>
      <c r="H4" t="inlineStr">
        <is>
          <t>not in explode (missing BOM, or treated as intermediate because it has a recipe)</t>
        </is>
      </c>
    </row>
    <row r="5">
      <c r="A5" t="inlineStr">
        <is>
          <t>RMDAR001-07</t>
        </is>
      </c>
      <c r="B5" t="inlineStr">
        <is>
          <t>IQF BASIL LARGE PREMIUM</t>
        </is>
      </c>
      <c r="C5" t="n">
        <v>28000</v>
      </c>
      <c r="D5" t="n">
        <v>21002.160483</v>
      </c>
      <c r="E5">
        <f>D5-C5</f>
        <v/>
      </c>
      <c r="F5" s="1">
        <f>(D5-C5)/D5*100</f>
        <v/>
      </c>
      <c r="G5" s="2">
        <f>D5/C5*100</f>
        <v/>
      </c>
      <c r="H5" t="inlineStr">
        <is>
          <t>recipe qty or yield vs Excel; confirm pack size</t>
        </is>
      </c>
    </row>
    <row r="6">
      <c r="A6" t="inlineStr">
        <is>
          <t>RMDAR001-10</t>
        </is>
      </c>
      <c r="B6" t="inlineStr">
        <is>
          <t>IQF Milled lime leaves (1 X 15KG)</t>
        </is>
      </c>
      <c r="C6" t="n">
        <v>22200</v>
      </c>
      <c r="D6" t="n">
        <v>19735.482668</v>
      </c>
      <c r="E6">
        <f>D6-C6</f>
        <v/>
      </c>
      <c r="F6" s="1">
        <f>(D6-C6)/D6*100</f>
        <v/>
      </c>
      <c r="G6" s="2">
        <f>D6/C6*100</f>
        <v/>
      </c>
      <c r="H6" t="inlineStr">
        <is>
          <t>recipe qty or yield vs Excel; confirm pack size</t>
        </is>
      </c>
    </row>
    <row r="7">
      <c r="A7" t="inlineStr">
        <is>
          <t>RMDAR001-14</t>
        </is>
      </c>
      <c r="B7" t="inlineStr">
        <is>
          <t>Lemon Grass Milled (1 x 15 KG)</t>
        </is>
      </c>
      <c r="C7" t="n">
        <v>22200</v>
      </c>
      <c r="D7" t="n">
        <v>19735.482668</v>
      </c>
      <c r="E7">
        <f>D7-C7</f>
        <v/>
      </c>
      <c r="F7" s="1">
        <f>(D7-C7)/D7*100</f>
        <v/>
      </c>
      <c r="G7" s="2">
        <f>D7/C7*100</f>
        <v/>
      </c>
      <c r="H7" t="inlineStr">
        <is>
          <t>recipe qty or yield vs Excel; confirm pack size</t>
        </is>
      </c>
    </row>
    <row r="8">
      <c r="A8" t="inlineStr">
        <is>
          <t>RMDAR001-15</t>
        </is>
      </c>
      <c r="B8" t="inlineStr">
        <is>
          <t>Galangal Milled (1 x 15KG)</t>
        </is>
      </c>
      <c r="C8" t="n">
        <v>2400</v>
      </c>
      <c r="D8" t="n">
        <v>2156.524139</v>
      </c>
      <c r="E8">
        <f>D8-C8</f>
        <v/>
      </c>
      <c r="F8" s="1">
        <f>(D8-C8)/D8*100</f>
        <v/>
      </c>
      <c r="G8" s="2">
        <f>D8/C8*100</f>
        <v/>
      </c>
      <c r="H8" t="inlineStr">
        <is>
          <t>recipe qty or yield vs Excel; confirm pack size</t>
        </is>
      </c>
    </row>
    <row r="9">
      <c r="A9" t="inlineStr">
        <is>
          <t>RMKTC001-13</t>
        </is>
      </c>
      <c r="B9" t="inlineStr">
        <is>
          <t>Pomace Olive Oil</t>
        </is>
      </c>
      <c r="C9" t="n">
        <v>127350</v>
      </c>
      <c r="E9">
        <f>D9-C9</f>
        <v/>
      </c>
      <c r="H9" t="inlineStr">
        <is>
          <t>unmapped — add excel code to code-map.json</t>
        </is>
      </c>
    </row>
    <row r="10">
      <c r="A10" t="inlineStr">
        <is>
          <t>RMTOP001-52</t>
        </is>
      </c>
      <c r="B10" t="inlineStr">
        <is>
          <t>MIXED HERBS (6 x 300)</t>
        </is>
      </c>
      <c r="C10" t="n">
        <v>5600</v>
      </c>
      <c r="D10" t="n">
        <v>4133.700199</v>
      </c>
      <c r="E10">
        <f>D10-C10</f>
        <v/>
      </c>
      <c r="F10" s="1">
        <f>(D10-C10)/D10*100</f>
        <v/>
      </c>
      <c r="G10" s="2">
        <f>D10/C10*100</f>
        <v/>
      </c>
      <c r="H10" t="inlineStr">
        <is>
          <t>recipe qty or yield vs Excel; confirm pack size</t>
        </is>
      </c>
    </row>
    <row r="11">
      <c r="A11" t="inlineStr">
        <is>
          <t>RMVIR001-27</t>
        </is>
      </c>
      <c r="B11" t="inlineStr">
        <is>
          <t>Veg Buillion</t>
        </is>
      </c>
      <c r="C11" t="n">
        <v>3500</v>
      </c>
      <c r="D11" t="n">
        <v>2583.562625</v>
      </c>
      <c r="E11">
        <f>D11-C11</f>
        <v/>
      </c>
      <c r="F11" s="1">
        <f>(D11-C11)/D11*100</f>
        <v/>
      </c>
      <c r="G11" s="2">
        <f>D11/C11*100</f>
        <v/>
      </c>
      <c r="H11" t="inlineStr">
        <is>
          <t>recipe qty or yield vs Excel; confirm pack size</t>
        </is>
      </c>
    </row>
    <row r="12">
      <c r="A12" t="inlineStr">
        <is>
          <t>RMVIR001-74</t>
        </is>
      </c>
      <c r="B12" t="inlineStr">
        <is>
          <t>Ground Pepper White Heat Treated (1 x 25KG)</t>
        </is>
      </c>
      <c r="C12" t="n">
        <v>1200</v>
      </c>
      <c r="D12" t="n">
        <v>900.092592</v>
      </c>
      <c r="E12">
        <f>D12-C12</f>
        <v/>
      </c>
      <c r="F12" s="1">
        <f>(D12-C12)/D12*100</f>
        <v/>
      </c>
      <c r="G12" s="2">
        <f>D12/C12*100</f>
        <v/>
      </c>
      <c r="H12" t="inlineStr">
        <is>
          <t>recipe qty or yield vs Excel; confirm pack size</t>
        </is>
      </c>
    </row>
    <row r="13">
      <c r="A13" t="inlineStr">
        <is>
          <t>RMVIR001-83</t>
        </is>
      </c>
      <c r="B13" t="inlineStr">
        <is>
          <t>Pepper Black Coarse HT (1X25 kg)</t>
        </is>
      </c>
      <c r="C13" t="n">
        <v>1400</v>
      </c>
      <c r="D13" t="n">
        <v>1033.42505</v>
      </c>
      <c r="E13">
        <f>D13-C13</f>
        <v/>
      </c>
      <c r="F13" s="1">
        <f>(D13-C13)/D13*100</f>
        <v/>
      </c>
      <c r="G13" s="2">
        <f>D13/C13*100</f>
        <v/>
      </c>
      <c r="H13" t="inlineStr">
        <is>
          <t>recipe qty or yield vs Excel; confirm pack size</t>
        </is>
      </c>
    </row>
    <row r="14">
      <c r="A14" t="inlineStr">
        <is>
          <t>RMEUR002-01</t>
        </is>
      </c>
      <c r="B14" t="inlineStr">
        <is>
          <t>ONION PUREE</t>
        </is>
      </c>
      <c r="C14" t="n">
        <v>48000</v>
      </c>
      <c r="D14" t="n">
        <v>43130.482789</v>
      </c>
      <c r="E14">
        <f>D14-C14</f>
        <v/>
      </c>
      <c r="F14" s="1">
        <f>(D14-C14)/D14*100</f>
        <v/>
      </c>
      <c r="G14" s="2">
        <f>D14/C14*100</f>
        <v/>
      </c>
      <c r="H14" t="inlineStr">
        <is>
          <t>recipe qty or yield vs Excel; confirm pack size</t>
        </is>
      </c>
    </row>
    <row r="15">
      <c r="A15" t="inlineStr">
        <is>
          <t>RMEUR002-02</t>
        </is>
      </c>
      <c r="B15" t="inlineStr">
        <is>
          <t>RTU 10MM (Ready To Use Onions) (Min Ord 60 Bags)</t>
        </is>
      </c>
      <c r="C15" t="n">
        <v>112000</v>
      </c>
      <c r="D15" t="n">
        <v>82674.003984</v>
      </c>
      <c r="E15">
        <f>D15-C15</f>
        <v/>
      </c>
      <c r="F15" s="1">
        <f>(D15-C15)/D15*100</f>
        <v/>
      </c>
      <c r="G15" s="2">
        <f>D15/C15*100</f>
        <v/>
      </c>
      <c r="H15" t="inlineStr">
        <is>
          <t>recipe qty or yield vs Excel; confirm pack size</t>
        </is>
      </c>
    </row>
    <row r="16">
      <c r="A16" t="inlineStr">
        <is>
          <t>RMFOO008-02</t>
        </is>
      </c>
      <c r="B16" t="inlineStr">
        <is>
          <t>IQF Penne Pasta</t>
        </is>
      </c>
      <c r="C16" t="n">
        <v>780000</v>
      </c>
      <c r="D16" t="n">
        <v>640000</v>
      </c>
      <c r="E16">
        <f>D16-C16</f>
        <v/>
      </c>
      <c r="F16" s="1">
        <f>(D16-C16)/D16*100</f>
        <v/>
      </c>
      <c r="G16" s="2">
        <f>D16/C16*100</f>
        <v/>
      </c>
      <c r="H16" t="inlineStr">
        <is>
          <t>~20% — check yield_factor / process_loss</t>
        </is>
      </c>
    </row>
    <row r="17">
      <c r="A17" t="inlineStr">
        <is>
          <t>RMELL001-01</t>
        </is>
      </c>
      <c r="B17" t="inlineStr">
        <is>
          <t>5% Rice Vinegar 25 litres</t>
        </is>
      </c>
      <c r="C17" t="n">
        <v>9600</v>
      </c>
      <c r="E17">
        <f>D17-C17</f>
        <v/>
      </c>
      <c r="H17" t="inlineStr">
        <is>
          <t>unmapped — add excel code to code-map.json</t>
        </is>
      </c>
    </row>
    <row r="18">
      <c r="A18" t="inlineStr">
        <is>
          <t>RMP&amp;B001-14</t>
        </is>
      </c>
      <c r="B18" t="inlineStr">
        <is>
          <t>HEERA XXL 1121 SELLA RICE(1x10kg) (MOQ:121)</t>
        </is>
      </c>
      <c r="C18" t="n">
        <v>315000</v>
      </c>
      <c r="D18" t="n">
        <v>277734.652735</v>
      </c>
      <c r="E18">
        <f>D18-C18</f>
        <v/>
      </c>
      <c r="F18" s="1">
        <f>(D18-C18)/D18*100</f>
        <v/>
      </c>
      <c r="G18" s="2">
        <f>D18/C18*100</f>
        <v/>
      </c>
      <c r="H18" t="inlineStr">
        <is>
          <t>recipe qty or yield vs Excel; confirm pack size</t>
        </is>
      </c>
    </row>
    <row r="19">
      <c r="A19" t="inlineStr">
        <is>
          <t>RMKLU001-08</t>
        </is>
      </c>
      <c r="B19" t="inlineStr">
        <is>
          <t>GROUND ALMONDS (CAT A) (1x10kg)</t>
        </is>
      </c>
      <c r="C19" t="n">
        <v>12000</v>
      </c>
      <c r="D19" t="n">
        <v>9000.925922</v>
      </c>
      <c r="E19">
        <f>D19-C19</f>
        <v/>
      </c>
      <c r="F19" s="1">
        <f>(D19-C19)/D19*100</f>
        <v/>
      </c>
      <c r="G19" s="2">
        <f>D19/C19*100</f>
        <v/>
      </c>
      <c r="H19" t="inlineStr">
        <is>
          <t>recipe qty or yield vs Excel; confirm pack size</t>
        </is>
      </c>
    </row>
    <row r="20">
      <c r="A20" t="inlineStr">
        <is>
          <t>RMKEN003-01</t>
        </is>
      </c>
      <c r="B20" t="inlineStr">
        <is>
          <t>SUCRANNA GRANULATED SUGAR ( Order 40 Bags)</t>
        </is>
      </c>
      <c r="C20" t="n">
        <v>30400</v>
      </c>
      <c r="E20">
        <f>D20-C20</f>
        <v/>
      </c>
      <c r="H20" t="inlineStr">
        <is>
          <t>not in explode (missing BOM, or treated as intermediate because it has a recipe)</t>
        </is>
      </c>
    </row>
    <row r="21">
      <c r="A21" t="inlineStr">
        <is>
          <t>RMKEN003-02</t>
        </is>
      </c>
      <c r="B21" t="inlineStr">
        <is>
          <t>PDV SALT ( Order 49 Bags)</t>
        </is>
      </c>
      <c r="C21" t="n">
        <v>15780</v>
      </c>
      <c r="E21">
        <f>D21-C21</f>
        <v/>
      </c>
      <c r="H21" t="inlineStr">
        <is>
          <t>not in explode (missing BOM, or treated as intermediate because it has a recipe)</t>
        </is>
      </c>
    </row>
    <row r="22">
      <c r="A22" t="inlineStr">
        <is>
          <t>RMHAR002-23</t>
        </is>
      </c>
      <c r="B22" t="inlineStr">
        <is>
          <t>10MM DICED SWEET POTATO</t>
        </is>
      </c>
      <c r="C22" t="n">
        <v>300000</v>
      </c>
      <c r="D22" t="n">
        <v>235294.117647</v>
      </c>
      <c r="E22">
        <f>D22-C22</f>
        <v/>
      </c>
      <c r="F22" s="1">
        <f>(D22-C22)/D22*100</f>
        <v/>
      </c>
      <c r="G22" s="2">
        <f>D22/C22*100</f>
        <v/>
      </c>
      <c r="H22" t="inlineStr">
        <is>
          <t>recipe qty or yield vs Excel; confirm pack size</t>
        </is>
      </c>
    </row>
    <row r="23">
      <c r="A23" t="inlineStr">
        <is>
          <t>RMHAR002-34</t>
        </is>
      </c>
      <c r="B23" t="inlineStr">
        <is>
          <t>IQF Red Chilli Puree</t>
        </is>
      </c>
      <c r="C23" t="n">
        <v>21600</v>
      </c>
      <c r="D23" t="n">
        <v>19975.353638</v>
      </c>
      <c r="E23">
        <f>D23-C23</f>
        <v/>
      </c>
      <c r="F23" s="1">
        <f>(D23-C23)/D23*100</f>
        <v/>
      </c>
      <c r="G23" s="2">
        <f>D23/C23*100</f>
        <v/>
      </c>
      <c r="H23" t="inlineStr">
        <is>
          <t>recipe qty or yield vs Excel; confirm pack size</t>
        </is>
      </c>
    </row>
    <row r="24">
      <c r="A24" t="inlineStr">
        <is>
          <t>RMHAR002-37</t>
        </is>
      </c>
      <c r="B24" t="inlineStr">
        <is>
          <t>IQF Ginger Puree (1x10kg)</t>
        </is>
      </c>
      <c r="C24" t="n">
        <v>22200</v>
      </c>
      <c r="E24">
        <f>D24-C24</f>
        <v/>
      </c>
      <c r="H24" t="inlineStr">
        <is>
          <t>not in explode (missing BOM, or treated as intermediate because it has a recipe)</t>
        </is>
      </c>
    </row>
    <row r="25">
      <c r="A25" t="inlineStr">
        <is>
          <t>RMHAR002-49</t>
        </is>
      </c>
      <c r="B25" t="inlineStr">
        <is>
          <t>CARROTS BATTON 6 x 6 x 45mm</t>
        </is>
      </c>
      <c r="C25" t="n">
        <v>400000</v>
      </c>
      <c r="D25" t="n">
        <v>361764.705882</v>
      </c>
      <c r="E25">
        <f>D25-C25</f>
        <v/>
      </c>
      <c r="F25" s="1">
        <f>(D25-C25)/D25*100</f>
        <v/>
      </c>
      <c r="G25" s="2">
        <f>D25/C25*100</f>
        <v/>
      </c>
      <c r="H25" t="inlineStr">
        <is>
          <t>recipe qty or yield vs Excel; confirm pack size</t>
        </is>
      </c>
    </row>
    <row r="26">
      <c r="A26" t="inlineStr">
        <is>
          <t>RMHAR002-52</t>
        </is>
      </c>
      <c r="B26" t="inlineStr">
        <is>
          <t>CHOPPED MUSHROOM</t>
        </is>
      </c>
      <c r="C26" t="n">
        <v>182000</v>
      </c>
      <c r="D26" t="n">
        <v>134345.256475</v>
      </c>
      <c r="E26">
        <f>D26-C26</f>
        <v/>
      </c>
      <c r="F26" s="1">
        <f>(D26-C26)/D26*100</f>
        <v/>
      </c>
      <c r="G26" s="2">
        <f>D26/C26*100</f>
        <v/>
      </c>
      <c r="H26" t="inlineStr">
        <is>
          <t>recipe qty or yield vs Excel; confirm pack size</t>
        </is>
      </c>
    </row>
    <row r="27">
      <c r="A27" t="inlineStr">
        <is>
          <t>RMHAR002-53</t>
        </is>
      </c>
      <c r="B27" t="inlineStr">
        <is>
          <t>12MM DICED GREEN BEANS</t>
        </is>
      </c>
      <c r="C27" t="n">
        <v>300000</v>
      </c>
      <c r="D27" t="n">
        <v>235294.117647</v>
      </c>
      <c r="E27">
        <f>D27-C27</f>
        <v/>
      </c>
      <c r="F27" s="1">
        <f>(D27-C27)/D27*100</f>
        <v/>
      </c>
      <c r="G27" s="2">
        <f>D27/C27*100</f>
        <v/>
      </c>
      <c r="H27" t="inlineStr">
        <is>
          <t>recipe qty or yield vs Excel; confirm pack size</t>
        </is>
      </c>
    </row>
    <row r="28">
      <c r="A28" t="inlineStr">
        <is>
          <t>RMTHE002-09</t>
        </is>
      </c>
      <c r="B28" t="inlineStr">
        <is>
          <t>SLICED BLACK OLIVES</t>
        </is>
      </c>
      <c r="C28" t="n">
        <v>35000</v>
      </c>
      <c r="E28">
        <f>D28-C28</f>
        <v/>
      </c>
      <c r="H28" t="inlineStr">
        <is>
          <t>unmapped — add excel code to code-map.json</t>
        </is>
      </c>
    </row>
    <row r="29">
      <c r="A29" t="inlineStr">
        <is>
          <t>RMUNI001-05</t>
        </is>
      </c>
      <c r="B29" t="inlineStr">
        <is>
          <t>Corn Flour</t>
        </is>
      </c>
      <c r="C29" t="n">
        <v>35800</v>
      </c>
      <c r="D29" t="n">
        <v>31325.811493</v>
      </c>
      <c r="E29">
        <f>D29-C29</f>
        <v/>
      </c>
      <c r="F29" s="1">
        <f>(D29-C29)/D29*100</f>
        <v/>
      </c>
      <c r="G29" s="2">
        <f>D29/C29*100</f>
        <v/>
      </c>
      <c r="H29" t="inlineStr">
        <is>
          <t>recipe qty or yield vs Excel; confirm pack size</t>
        </is>
      </c>
    </row>
    <row r="30">
      <c r="A30" t="inlineStr">
        <is>
          <t>RMKIR001-03</t>
        </is>
      </c>
      <c r="B30" t="inlineStr">
        <is>
          <t>Lemon Juice NFC (Vegan) (1 x 20KG) (MOQ:48)</t>
        </is>
      </c>
      <c r="C30" t="n">
        <v>60000</v>
      </c>
      <c r="D30" t="n">
        <v>49701.291924</v>
      </c>
      <c r="E30">
        <f>D30-C30</f>
        <v/>
      </c>
      <c r="F30" s="1">
        <f>(D30-C30)/D30*100</f>
        <v/>
      </c>
      <c r="G30" s="2">
        <f>D30/C30*100</f>
        <v/>
      </c>
      <c r="H30" t="inlineStr">
        <is>
          <t>~20% — check yield_factor / process_loss</t>
        </is>
      </c>
    </row>
    <row r="31">
      <c r="A31" t="inlineStr">
        <is>
          <t>RMKIR001-04</t>
        </is>
      </c>
      <c r="B31" t="inlineStr">
        <is>
          <t>Coconut milk  (17-19% fat no additives)(MOQ:48)</t>
        </is>
      </c>
      <c r="C31" t="n">
        <v>240000</v>
      </c>
      <c r="D31" t="n">
        <v>215652.413943</v>
      </c>
      <c r="E31">
        <f>D31-C31</f>
        <v/>
      </c>
      <c r="F31" s="1">
        <f>(D31-C31)/D31*100</f>
        <v/>
      </c>
      <c r="G31" s="2">
        <f>D31/C31*100</f>
        <v/>
      </c>
      <c r="H31" t="inlineStr">
        <is>
          <t>recipe qty or yield vs Excel; confirm pack size</t>
        </is>
      </c>
    </row>
    <row r="32">
      <c r="A32" t="inlineStr">
        <is>
          <t>RMKIR001-07</t>
        </is>
      </c>
      <c r="B32" t="inlineStr">
        <is>
          <t>Tomato Paste 28/30(1 X 20KG)</t>
        </is>
      </c>
      <c r="C32" t="n">
        <v>84400</v>
      </c>
      <c r="D32" t="n">
        <v>64610.397327</v>
      </c>
      <c r="E32">
        <f>D32-C32</f>
        <v/>
      </c>
      <c r="F32" s="1">
        <f>(D32-C32)/D32*100</f>
        <v/>
      </c>
      <c r="G32" s="2">
        <f>D32/C32*100</f>
        <v/>
      </c>
      <c r="H32" t="inlineStr">
        <is>
          <t>recipe qty or yield vs Excel; confirm pack size</t>
        </is>
      </c>
    </row>
    <row r="33">
      <c r="A33" t="inlineStr">
        <is>
          <t>RMKIR001-08</t>
        </is>
      </c>
      <c r="B33" t="inlineStr">
        <is>
          <t>Diced Tomatoes 15mm (1x20kg)</t>
        </is>
      </c>
      <c r="C33" t="n">
        <v>196000</v>
      </c>
      <c r="E33">
        <f>D33-C33</f>
        <v/>
      </c>
      <c r="H33" t="inlineStr">
        <is>
          <t>unmapped — add excel code to code-map.json</t>
        </is>
      </c>
    </row>
    <row r="34">
      <c r="A34" t="inlineStr">
        <is>
          <t>RMFOO001-01</t>
        </is>
      </c>
      <c r="B34" t="inlineStr">
        <is>
          <t>10MM RED PEPPER DICED</t>
        </is>
      </c>
      <c r="C34" t="n">
        <v>96000</v>
      </c>
      <c r="D34" t="n">
        <v>86260.965577</v>
      </c>
      <c r="E34">
        <f>D34-C34</f>
        <v/>
      </c>
      <c r="F34" s="1">
        <f>(D34-C34)/D34*100</f>
        <v/>
      </c>
      <c r="G34" s="2">
        <f>D34/C34*100</f>
        <v/>
      </c>
      <c r="H34" t="inlineStr">
        <is>
          <t>recipe qty or yield vs Excel; confirm pack size</t>
        </is>
      </c>
    </row>
    <row r="35">
      <c r="A35" t="inlineStr">
        <is>
          <t>RMFOO001-06</t>
        </is>
      </c>
      <c r="B35" t="inlineStr">
        <is>
          <t>IQF Sliced Spring Onion 4-6mm (1 X 10KG)</t>
        </is>
      </c>
      <c r="C35" t="n">
        <v>55500</v>
      </c>
      <c r="D35" t="n">
        <v>49338.706668</v>
      </c>
      <c r="E35">
        <f>D35-C35</f>
        <v/>
      </c>
      <c r="F35" s="1">
        <f>(D35-C35)/D35*100</f>
        <v/>
      </c>
      <c r="G35" s="2">
        <f>D35/C35*100</f>
        <v/>
      </c>
      <c r="H35" t="inlineStr">
        <is>
          <t>recipe qty or yield vs Excel; confirm pack size</t>
        </is>
      </c>
    </row>
    <row r="36">
      <c r="A36" t="inlineStr">
        <is>
          <t>RMFOO001-07</t>
        </is>
      </c>
      <c r="B36" t="inlineStr">
        <is>
          <t>Diced Red Pepper 20MM (1 x 10KG)</t>
        </is>
      </c>
      <c r="C36" t="n">
        <v>400000</v>
      </c>
      <c r="E36">
        <f>D36-C36</f>
        <v/>
      </c>
      <c r="H36" t="inlineStr">
        <is>
          <t>not in explode (missing BOM, or treated as intermediate because it has a recipe)</t>
        </is>
      </c>
    </row>
    <row r="37">
      <c r="A37" t="inlineStr">
        <is>
          <t>RMFOO001-15</t>
        </is>
      </c>
      <c r="B37" t="inlineStr">
        <is>
          <t>Garlic Puree Tablet IQF (1x10kg)</t>
        </is>
      </c>
      <c r="C37" t="n">
        <v>81199.99999999999</v>
      </c>
      <c r="D37" t="n">
        <v>68269.623073</v>
      </c>
      <c r="E37">
        <f>D37-C37</f>
        <v/>
      </c>
      <c r="F37" s="1">
        <f>(D37-C37)/D37*100</f>
        <v/>
      </c>
      <c r="G37" s="2">
        <f>D37/C37*100</f>
        <v/>
      </c>
      <c r="H37" t="inlineStr">
        <is>
          <t>~20% — check yield_factor / process_loss</t>
        </is>
      </c>
    </row>
    <row r="38">
      <c r="A38" t="inlineStr">
        <is>
          <t>RMSOP001-04</t>
        </is>
      </c>
      <c r="B38" t="inlineStr">
        <is>
          <t>PRB LIGHT SOY SAUCE SUPERIOR 2x10kg</t>
        </is>
      </c>
      <c r="C38" t="n">
        <v>28800</v>
      </c>
      <c r="E38">
        <f>D38-C38</f>
        <v/>
      </c>
      <c r="H38" t="inlineStr">
        <is>
          <t>unmapped — add excel code to code-map.json</t>
        </is>
      </c>
    </row>
    <row r="39">
      <c r="A39" t="inlineStr">
        <is>
          <t>RMSOP001-06</t>
        </is>
      </c>
      <c r="B39" t="inlineStr">
        <is>
          <t>MP RED CURRY PASTE (VEGETARIAN) 12x1kg</t>
        </is>
      </c>
      <c r="C39" t="n">
        <v>19200</v>
      </c>
      <c r="E39">
        <f>D39-C39</f>
        <v/>
      </c>
      <c r="H39" t="inlineStr">
        <is>
          <t>unmapped — add excel code to code-map.json</t>
        </is>
      </c>
    </row>
    <row r="40">
      <c r="A40" t="inlineStr">
        <is>
          <t>RMHUS001-06</t>
        </is>
      </c>
      <c r="B40" t="inlineStr">
        <is>
          <t>EU - Chicken Breast Diced 10-14g</t>
        </is>
      </c>
      <c r="C40" t="n">
        <v>2400000</v>
      </c>
      <c r="D40" t="n">
        <v>2035018.300158</v>
      </c>
      <c r="E40">
        <f>D40-C40</f>
        <v/>
      </c>
      <c r="F40" s="1">
        <f>(D40-C40)/D40*100</f>
        <v/>
      </c>
      <c r="G40" s="2">
        <f>D40/C40*100</f>
        <v/>
      </c>
      <c r="H40" t="inlineStr">
        <is>
          <t>~20% — check yield_factor / process_loss</t>
        </is>
      </c>
    </row>
    <row r="41">
      <c r="A41" t="inlineStr">
        <is>
          <t>RMEAS001-06</t>
        </is>
      </c>
      <c r="B41" t="inlineStr">
        <is>
          <t>Paprika Ground (1X25kg)</t>
        </is>
      </c>
      <c r="C41" t="n">
        <v>2400</v>
      </c>
      <c r="E41">
        <f>D41-C41</f>
        <v/>
      </c>
      <c r="H41" t="inlineStr">
        <is>
          <t>unmapped — add excel code to code-map.json</t>
        </is>
      </c>
    </row>
    <row r="42">
      <c r="A42" t="inlineStr">
        <is>
          <t>RMHUS001-06</t>
        </is>
      </c>
      <c r="B42" t="inlineStr">
        <is>
          <t>EU - Chicken Breast Diced 10-14g</t>
        </is>
      </c>
      <c r="C42" t="n">
        <v>2400000</v>
      </c>
      <c r="D42" t="n">
        <v>2035018.300158</v>
      </c>
      <c r="E42">
        <f>D42-C42</f>
        <v/>
      </c>
      <c r="F42" s="1">
        <f>(D42-C42)/D42*100</f>
        <v/>
      </c>
      <c r="G42" s="2">
        <f>D42/C42*100</f>
        <v/>
      </c>
      <c r="H42" t="inlineStr">
        <is>
          <t>~20% — check yield_factor / process_loss</t>
        </is>
      </c>
    </row>
  </sheetData>
  <conditionalFormatting sqref="F2:F4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product_id</t>
        </is>
      </c>
      <c r="C1" t="inlineStr">
        <is>
          <t>recipe_code</t>
        </is>
      </c>
      <c r="D1" t="inlineStr">
        <is>
          <t>product_name</t>
        </is>
      </c>
      <c r="E1" t="inlineStr">
        <is>
          <t>unit</t>
        </is>
      </c>
      <c r="F1" t="inlineStr">
        <is>
          <t>kind</t>
        </is>
      </c>
      <c r="G1" t="inlineStr">
        <is>
          <t>summary</t>
        </is>
      </c>
      <c r="H1" t="inlineStr">
        <is>
          <t>step</t>
        </is>
      </c>
      <c r="I1" t="inlineStr">
        <is>
          <t>op</t>
        </is>
      </c>
      <c r="J1" t="inlineStr">
        <is>
          <t>formula</t>
        </is>
      </c>
      <c r="K1" t="inlineStr">
        <is>
          <t>from</t>
        </is>
      </c>
      <c r="L1" t="inlineStr">
        <is>
          <t>to</t>
        </is>
      </c>
      <c r="M1" t="inlineStr">
        <is>
          <t>skipped</t>
        </is>
      </c>
      <c r="N1" t="inlineStr">
        <is>
          <t>reason</t>
        </is>
      </c>
      <c r="O1" t="inlineStr">
        <is>
          <t>factor</t>
        </is>
      </c>
      <c r="P1" t="inlineStr">
        <is>
          <t>conversion</t>
        </is>
      </c>
      <c r="Q1" t="inlineStr">
        <is>
          <t>conversion_source</t>
        </is>
      </c>
      <c r="R1" t="inlineStr">
        <is>
          <t>result_net</t>
        </is>
      </c>
      <c r="S1" t="inlineStr">
        <is>
          <t>result_gross</t>
        </is>
      </c>
    </row>
    <row r="2">
      <c r="A2" t="n">
        <v>1</v>
      </c>
      <c r="B2" t="n">
        <v>1668</v>
      </c>
      <c r="C2" t="inlineStr">
        <is>
          <t>CCCAC-R20TSE</t>
        </is>
      </c>
      <c r="D2" t="inlineStr">
        <is>
          <t>SE - Std  Penne al Pomodoro with Chicken | 390G X 20</t>
        </is>
      </c>
      <c r="E2" t="inlineStr">
        <is>
          <t>Case</t>
        </is>
      </c>
      <c r="F2" t="inlineStr">
        <is>
          <t>demand</t>
        </is>
      </c>
      <c r="G2" t="inlineStr">
        <is>
          <t>250 net / 250 gross from line 250. Stock not applied.</t>
        </is>
      </c>
      <c r="H2" t="n">
        <v>1</v>
      </c>
      <c r="I2" t="inlineStr">
        <is>
          <t>gross</t>
        </is>
      </c>
      <c r="J2" t="inlineStr">
        <is>
          <t>net / recipe_yield</t>
        </is>
      </c>
      <c r="K2" t="inlineStr">
        <is>
          <t>250 / 1 (recipe yield 100%)</t>
        </is>
      </c>
      <c r="L2" t="inlineStr">
        <is>
          <t>250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1668</v>
      </c>
      <c r="C3" t="inlineStr">
        <is>
          <t>CCCAC-R20TSE</t>
        </is>
      </c>
      <c r="D3" t="inlineStr">
        <is>
          <t>SE - Std  Penne al Pomodoro with Chicken | 390G X 20</t>
        </is>
      </c>
      <c r="E3" t="inlineStr">
        <is>
          <t>Case</t>
        </is>
      </c>
      <c r="F3" t="inlineStr">
        <is>
          <t>demand</t>
        </is>
      </c>
      <c r="G3" t="inlineStr"/>
      <c r="H3" t="n">
        <v>2</v>
      </c>
      <c r="I3" t="inlineStr">
        <is>
          <t>stock_net</t>
        </is>
      </c>
      <c r="J3" t="inlineStr"/>
      <c r="K3" t="inlineStr"/>
      <c r="L3" t="inlineStr"/>
      <c r="M3" t="b">
        <v>1</v>
      </c>
      <c r="N3" t="inlineStr">
        <is>
          <t>consider_stock=false</t>
        </is>
      </c>
      <c r="O3" t="inlineStr"/>
      <c r="P3" t="inlineStr"/>
      <c r="Q3" t="inlineStr"/>
      <c r="R3" t="inlineStr"/>
      <c r="S3" t="inlineStr"/>
    </row>
    <row r="4">
      <c r="A4" t="n">
        <v>1</v>
      </c>
      <c r="B4" t="n">
        <v>1668</v>
      </c>
      <c r="C4" t="inlineStr">
        <is>
          <t>CCCAC-R20TSE</t>
        </is>
      </c>
      <c r="D4" t="inlineStr">
        <is>
          <t>SE - Std  Penne al Pomodoro with Chicken | 390G X 20</t>
        </is>
      </c>
      <c r="E4" t="inlineStr">
        <is>
          <t>Case</t>
        </is>
      </c>
      <c r="F4" t="inlineStr">
        <is>
          <t>demand</t>
        </is>
      </c>
      <c r="G4" t="inlineStr"/>
      <c r="H4" t="n">
        <v>3</v>
      </c>
      <c r="I4" t="inlineStr">
        <is>
          <t>batch_split</t>
        </is>
      </c>
      <c r="J4" t="inlineStr">
        <is>
          <t>split gross into batches</t>
        </is>
      </c>
      <c r="K4" t="inlineStr">
        <is>
          <t>250</t>
        </is>
      </c>
      <c r="L4" t="inlineStr">
        <is>
          <t>250</t>
        </is>
      </c>
      <c r="M4" t="inlineStr"/>
      <c r="N4" t="inlineStr"/>
      <c r="O4" t="inlineStr"/>
      <c r="P4" t="inlineStr"/>
      <c r="Q4" t="inlineStr"/>
      <c r="R4" t="inlineStr">
        <is>
          <t>250</t>
        </is>
      </c>
      <c r="S4" t="inlineStr">
        <is>
          <t>250</t>
        </is>
      </c>
    </row>
    <row r="5">
      <c r="A5" t="n">
        <v>1</v>
      </c>
      <c r="B5" t="n">
        <v>1669</v>
      </c>
      <c r="C5" t="inlineStr">
        <is>
          <t>CCCAC-1R20TSE</t>
        </is>
      </c>
      <c r="D5" t="inlineStr">
        <is>
          <t>SE - Lean Penne al Pomodoro with Chicken | 400G X 20</t>
        </is>
      </c>
      <c r="E5" t="inlineStr">
        <is>
          <t>Case</t>
        </is>
      </c>
      <c r="F5" t="inlineStr">
        <is>
          <t>demand</t>
        </is>
      </c>
      <c r="G5" t="inlineStr">
        <is>
          <t>50 net / 50 gross from line 50. Stock not applied.</t>
        </is>
      </c>
      <c r="H5" t="n">
        <v>1</v>
      </c>
      <c r="I5" t="inlineStr">
        <is>
          <t>gross</t>
        </is>
      </c>
      <c r="J5" t="inlineStr">
        <is>
          <t>net / recipe_yield</t>
        </is>
      </c>
      <c r="K5" t="inlineStr">
        <is>
          <t>50 / 1 (recipe yield 100%)</t>
        </is>
      </c>
      <c r="L5" t="inlineStr">
        <is>
          <t>50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</v>
      </c>
      <c r="B6" t="n">
        <v>1669</v>
      </c>
      <c r="C6" t="inlineStr">
        <is>
          <t>CCCAC-1R20TSE</t>
        </is>
      </c>
      <c r="D6" t="inlineStr">
        <is>
          <t>SE - Lean Penne al Pomodoro with Chicken | 400G X 20</t>
        </is>
      </c>
      <c r="E6" t="inlineStr">
        <is>
          <t>Case</t>
        </is>
      </c>
      <c r="F6" t="inlineStr">
        <is>
          <t>demand</t>
        </is>
      </c>
      <c r="G6" t="inlineStr"/>
      <c r="H6" t="n">
        <v>2</v>
      </c>
      <c r="I6" t="inlineStr">
        <is>
          <t>stock_net</t>
        </is>
      </c>
      <c r="J6" t="inlineStr"/>
      <c r="K6" t="inlineStr"/>
      <c r="L6" t="inlineStr"/>
      <c r="M6" t="b">
        <v>1</v>
      </c>
      <c r="N6" t="inlineStr">
        <is>
          <t>consider_stock=false</t>
        </is>
      </c>
      <c r="O6" t="inlineStr"/>
      <c r="P6" t="inlineStr"/>
      <c r="Q6" t="inlineStr"/>
      <c r="R6" t="inlineStr"/>
      <c r="S6" t="inlineStr"/>
    </row>
    <row r="7">
      <c r="A7" t="n">
        <v>1</v>
      </c>
      <c r="B7" t="n">
        <v>1669</v>
      </c>
      <c r="C7" t="inlineStr">
        <is>
          <t>CCCAC-1R20TSE</t>
        </is>
      </c>
      <c r="D7" t="inlineStr">
        <is>
          <t>SE - Lean Penne al Pomodoro with Chicken | 400G X 20</t>
        </is>
      </c>
      <c r="E7" t="inlineStr">
        <is>
          <t>Case</t>
        </is>
      </c>
      <c r="F7" t="inlineStr">
        <is>
          <t>demand</t>
        </is>
      </c>
      <c r="G7" t="inlineStr"/>
      <c r="H7" t="n">
        <v>3</v>
      </c>
      <c r="I7" t="inlineStr">
        <is>
          <t>batch_split</t>
        </is>
      </c>
      <c r="J7" t="inlineStr">
        <is>
          <t>split gross into batches</t>
        </is>
      </c>
      <c r="K7" t="inlineStr">
        <is>
          <t>50</t>
        </is>
      </c>
      <c r="L7" t="inlineStr">
        <is>
          <t>50</t>
        </is>
      </c>
      <c r="M7" t="inlineStr"/>
      <c r="N7" t="inlineStr"/>
      <c r="O7" t="inlineStr"/>
      <c r="P7" t="inlineStr"/>
      <c r="Q7" t="inlineStr"/>
      <c r="R7" t="inlineStr">
        <is>
          <t>50</t>
        </is>
      </c>
      <c r="S7" t="inlineStr">
        <is>
          <t>50</t>
        </is>
      </c>
    </row>
    <row r="8">
      <c r="A8" t="n">
        <v>1</v>
      </c>
      <c r="B8" t="n">
        <v>1670</v>
      </c>
      <c r="C8" t="inlineStr">
        <is>
          <t>CCCAC-R16TSE</t>
        </is>
      </c>
      <c r="D8" t="inlineStr">
        <is>
          <t>SE - Lrg Penne al Pomodoro with Chicken | 545G X 16</t>
        </is>
      </c>
      <c r="E8" t="inlineStr">
        <is>
          <t>Case</t>
        </is>
      </c>
      <c r="F8" t="inlineStr">
        <is>
          <t>demand</t>
        </is>
      </c>
      <c r="G8" t="inlineStr">
        <is>
          <t>62.5 net / 62.5 gross from line 62.5. Stock not applied.</t>
        </is>
      </c>
      <c r="H8" t="n">
        <v>1</v>
      </c>
      <c r="I8" t="inlineStr">
        <is>
          <t>gross</t>
        </is>
      </c>
      <c r="J8" t="inlineStr">
        <is>
          <t>net / recipe_yield</t>
        </is>
      </c>
      <c r="K8" t="inlineStr">
        <is>
          <t>62.5 / 1 (recipe yield 100%)</t>
        </is>
      </c>
      <c r="L8" t="inlineStr">
        <is>
          <t>62.5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</v>
      </c>
      <c r="B9" t="n">
        <v>1670</v>
      </c>
      <c r="C9" t="inlineStr">
        <is>
          <t>CCCAC-R16TSE</t>
        </is>
      </c>
      <c r="D9" t="inlineStr">
        <is>
          <t>SE - Lrg Penne al Pomodoro with Chicken | 545G X 16</t>
        </is>
      </c>
      <c r="E9" t="inlineStr">
        <is>
          <t>Case</t>
        </is>
      </c>
      <c r="F9" t="inlineStr">
        <is>
          <t>demand</t>
        </is>
      </c>
      <c r="G9" t="inlineStr"/>
      <c r="H9" t="n">
        <v>2</v>
      </c>
      <c r="I9" t="inlineStr">
        <is>
          <t>stock_net</t>
        </is>
      </c>
      <c r="J9" t="inlineStr"/>
      <c r="K9" t="inlineStr"/>
      <c r="L9" t="inlineStr"/>
      <c r="M9" t="b">
        <v>1</v>
      </c>
      <c r="N9" t="inlineStr">
        <is>
          <t>consider_stock=false</t>
        </is>
      </c>
      <c r="O9" t="inlineStr"/>
      <c r="P9" t="inlineStr"/>
      <c r="Q9" t="inlineStr"/>
      <c r="R9" t="inlineStr"/>
      <c r="S9" t="inlineStr"/>
    </row>
    <row r="10">
      <c r="A10" t="n">
        <v>1</v>
      </c>
      <c r="B10" t="n">
        <v>1670</v>
      </c>
      <c r="C10" t="inlineStr">
        <is>
          <t>CCCAC-R16TSE</t>
        </is>
      </c>
      <c r="D10" t="inlineStr">
        <is>
          <t>SE - Lrg Penne al Pomodoro with Chicken | 545G X 16</t>
        </is>
      </c>
      <c r="E10" t="inlineStr">
        <is>
          <t>Case</t>
        </is>
      </c>
      <c r="F10" t="inlineStr">
        <is>
          <t>demand</t>
        </is>
      </c>
      <c r="G10" t="inlineStr"/>
      <c r="H10" t="n">
        <v>3</v>
      </c>
      <c r="I10" t="inlineStr">
        <is>
          <t>batch_split</t>
        </is>
      </c>
      <c r="J10" t="inlineStr">
        <is>
          <t>split gross into batches</t>
        </is>
      </c>
      <c r="K10" t="inlineStr">
        <is>
          <t>62.5</t>
        </is>
      </c>
      <c r="L10" t="inlineStr">
        <is>
          <t>62.5</t>
        </is>
      </c>
      <c r="M10" t="inlineStr"/>
      <c r="N10" t="inlineStr"/>
      <c r="O10" t="inlineStr"/>
      <c r="P10" t="inlineStr"/>
      <c r="Q10" t="inlineStr"/>
      <c r="R10" t="inlineStr">
        <is>
          <t>62.5</t>
        </is>
      </c>
      <c r="S10" t="inlineStr">
        <is>
          <t>62.5</t>
        </is>
      </c>
    </row>
    <row r="11">
      <c r="A11" t="n">
        <v>1</v>
      </c>
      <c r="B11" t="n">
        <v>1671</v>
      </c>
      <c r="C11" t="inlineStr">
        <is>
          <t>CCTRC1-R20TSE</t>
        </is>
      </c>
      <c r="D11" t="inlineStr">
        <is>
          <t>SE - Std Red Thai Chicken Curry | 390G X 20</t>
        </is>
      </c>
      <c r="E11" t="inlineStr">
        <is>
          <t>Case</t>
        </is>
      </c>
      <c r="F11" t="inlineStr">
        <is>
          <t>demand</t>
        </is>
      </c>
      <c r="G11" t="inlineStr">
        <is>
          <t>250 net / 250 gross from line 250. Stock not applied.</t>
        </is>
      </c>
      <c r="H11" t="n">
        <v>1</v>
      </c>
      <c r="I11" t="inlineStr">
        <is>
          <t>gross</t>
        </is>
      </c>
      <c r="J11" t="inlineStr">
        <is>
          <t>net / recipe_yield</t>
        </is>
      </c>
      <c r="K11" t="inlineStr">
        <is>
          <t>250 / 1 (recipe yield 100%)</t>
        </is>
      </c>
      <c r="L11" t="inlineStr">
        <is>
          <t>250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</v>
      </c>
      <c r="B12" t="n">
        <v>1671</v>
      </c>
      <c r="C12" t="inlineStr">
        <is>
          <t>CCTRC1-R20TSE</t>
        </is>
      </c>
      <c r="D12" t="inlineStr">
        <is>
          <t>SE - Std Red Thai Chicken Curry | 390G X 20</t>
        </is>
      </c>
      <c r="E12" t="inlineStr">
        <is>
          <t>Case</t>
        </is>
      </c>
      <c r="F12" t="inlineStr">
        <is>
          <t>demand</t>
        </is>
      </c>
      <c r="G12" t="inlineStr"/>
      <c r="H12" t="n">
        <v>2</v>
      </c>
      <c r="I12" t="inlineStr">
        <is>
          <t>stock_net</t>
        </is>
      </c>
      <c r="J12" t="inlineStr"/>
      <c r="K12" t="inlineStr"/>
      <c r="L12" t="inlineStr"/>
      <c r="M12" t="b">
        <v>1</v>
      </c>
      <c r="N12" t="inlineStr">
        <is>
          <t>consider_stock=false</t>
        </is>
      </c>
      <c r="O12" t="inlineStr"/>
      <c r="P12" t="inlineStr"/>
      <c r="Q12" t="inlineStr"/>
      <c r="R12" t="inlineStr"/>
      <c r="S12" t="inlineStr"/>
    </row>
    <row r="13">
      <c r="A13" t="n">
        <v>1</v>
      </c>
      <c r="B13" t="n">
        <v>1671</v>
      </c>
      <c r="C13" t="inlineStr">
        <is>
          <t>CCTRC1-R20TSE</t>
        </is>
      </c>
      <c r="D13" t="inlineStr">
        <is>
          <t>SE - Std Red Thai Chicken Curry | 390G X 20</t>
        </is>
      </c>
      <c r="E13" t="inlineStr">
        <is>
          <t>Case</t>
        </is>
      </c>
      <c r="F13" t="inlineStr">
        <is>
          <t>demand</t>
        </is>
      </c>
      <c r="G13" t="inlineStr"/>
      <c r="H13" t="n">
        <v>3</v>
      </c>
      <c r="I13" t="inlineStr">
        <is>
          <t>batch_split</t>
        </is>
      </c>
      <c r="J13" t="inlineStr">
        <is>
          <t>split gross into batches</t>
        </is>
      </c>
      <c r="K13" t="inlineStr">
        <is>
          <t>250</t>
        </is>
      </c>
      <c r="L13" t="inlineStr">
        <is>
          <t>250</t>
        </is>
      </c>
      <c r="M13" t="inlineStr"/>
      <c r="N13" t="inlineStr"/>
      <c r="O13" t="inlineStr"/>
      <c r="P13" t="inlineStr"/>
      <c r="Q13" t="inlineStr"/>
      <c r="R13" t="inlineStr">
        <is>
          <t>250</t>
        </is>
      </c>
      <c r="S13" t="inlineStr">
        <is>
          <t>250</t>
        </is>
      </c>
    </row>
    <row r="14">
      <c r="A14" t="n">
        <v>1</v>
      </c>
      <c r="B14" t="n">
        <v>1672</v>
      </c>
      <c r="C14" t="inlineStr">
        <is>
          <t>CCTRC1-1R20TSE</t>
        </is>
      </c>
      <c r="D14" t="inlineStr">
        <is>
          <t>SE - Lean Red Thai Chicken Curry | 400G X 20</t>
        </is>
      </c>
      <c r="E14" t="inlineStr">
        <is>
          <t>Case</t>
        </is>
      </c>
      <c r="F14" t="inlineStr">
        <is>
          <t>demand</t>
        </is>
      </c>
      <c r="G14" t="inlineStr">
        <is>
          <t>50 net / 50 gross from line 50. Stock not applied.</t>
        </is>
      </c>
      <c r="H14" t="n">
        <v>1</v>
      </c>
      <c r="I14" t="inlineStr">
        <is>
          <t>gross</t>
        </is>
      </c>
      <c r="J14" t="inlineStr">
        <is>
          <t>net / recipe_yield</t>
        </is>
      </c>
      <c r="K14" t="inlineStr">
        <is>
          <t>50 / 1 (recipe yield 100%)</t>
        </is>
      </c>
      <c r="L14" t="inlineStr">
        <is>
          <t>50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1672</v>
      </c>
      <c r="C15" t="inlineStr">
        <is>
          <t>CCTRC1-1R20TSE</t>
        </is>
      </c>
      <c r="D15" t="inlineStr">
        <is>
          <t>SE - Lean Red Thai Chicken Curry | 400G X 20</t>
        </is>
      </c>
      <c r="E15" t="inlineStr">
        <is>
          <t>Case</t>
        </is>
      </c>
      <c r="F15" t="inlineStr">
        <is>
          <t>demand</t>
        </is>
      </c>
      <c r="G15" t="inlineStr"/>
      <c r="H15" t="n">
        <v>2</v>
      </c>
      <c r="I15" t="inlineStr">
        <is>
          <t>stock_net</t>
        </is>
      </c>
      <c r="J15" t="inlineStr"/>
      <c r="K15" t="inlineStr"/>
      <c r="L15" t="inlineStr"/>
      <c r="M15" t="b">
        <v>1</v>
      </c>
      <c r="N15" t="inlineStr">
        <is>
          <t>consider_stock=false</t>
        </is>
      </c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1672</v>
      </c>
      <c r="C16" t="inlineStr">
        <is>
          <t>CCTRC1-1R20TSE</t>
        </is>
      </c>
      <c r="D16" t="inlineStr">
        <is>
          <t>SE - Lean Red Thai Chicken Curry | 400G X 20</t>
        </is>
      </c>
      <c r="E16" t="inlineStr">
        <is>
          <t>Case</t>
        </is>
      </c>
      <c r="F16" t="inlineStr">
        <is>
          <t>demand</t>
        </is>
      </c>
      <c r="G16" t="inlineStr"/>
      <c r="H16" t="n">
        <v>3</v>
      </c>
      <c r="I16" t="inlineStr">
        <is>
          <t>batch_split</t>
        </is>
      </c>
      <c r="J16" t="inlineStr">
        <is>
          <t>split gross into batches</t>
        </is>
      </c>
      <c r="K16" t="inlineStr">
        <is>
          <t>50</t>
        </is>
      </c>
      <c r="L16" t="inlineStr">
        <is>
          <t>50</t>
        </is>
      </c>
      <c r="M16" t="inlineStr"/>
      <c r="N16" t="inlineStr"/>
      <c r="O16" t="inlineStr"/>
      <c r="P16" t="inlineStr"/>
      <c r="Q16" t="inlineStr"/>
      <c r="R16" t="inlineStr">
        <is>
          <t>50</t>
        </is>
      </c>
      <c r="S16" t="inlineStr">
        <is>
          <t>50</t>
        </is>
      </c>
    </row>
    <row r="17">
      <c r="A17" t="n">
        <v>1</v>
      </c>
      <c r="B17" t="n">
        <v>1673</v>
      </c>
      <c r="C17" t="inlineStr">
        <is>
          <t>CCTRC1-R16TSE</t>
        </is>
      </c>
      <c r="D17" t="inlineStr">
        <is>
          <t>SE - Lrg Red Thai Chicken Curry | 545G X 16</t>
        </is>
      </c>
      <c r="E17" t="inlineStr">
        <is>
          <t>Case</t>
        </is>
      </c>
      <c r="F17" t="inlineStr">
        <is>
          <t>demand</t>
        </is>
      </c>
      <c r="G17" t="inlineStr">
        <is>
          <t>62.5 net / 62.5 gross from line 62.5. Stock not applied.</t>
        </is>
      </c>
      <c r="H17" t="n">
        <v>1</v>
      </c>
      <c r="I17" t="inlineStr">
        <is>
          <t>gross</t>
        </is>
      </c>
      <c r="J17" t="inlineStr">
        <is>
          <t>net / recipe_yield</t>
        </is>
      </c>
      <c r="K17" t="inlineStr">
        <is>
          <t>62.5 / 1 (recipe yield 100%)</t>
        </is>
      </c>
      <c r="L17" t="inlineStr">
        <is>
          <t>62.5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</v>
      </c>
      <c r="B18" t="n">
        <v>1673</v>
      </c>
      <c r="C18" t="inlineStr">
        <is>
          <t>CCTRC1-R16TSE</t>
        </is>
      </c>
      <c r="D18" t="inlineStr">
        <is>
          <t>SE - Lrg Red Thai Chicken Curry | 545G X 16</t>
        </is>
      </c>
      <c r="E18" t="inlineStr">
        <is>
          <t>Case</t>
        </is>
      </c>
      <c r="F18" t="inlineStr">
        <is>
          <t>demand</t>
        </is>
      </c>
      <c r="G18" t="inlineStr"/>
      <c r="H18" t="n">
        <v>2</v>
      </c>
      <c r="I18" t="inlineStr">
        <is>
          <t>stock_net</t>
        </is>
      </c>
      <c r="J18" t="inlineStr"/>
      <c r="K18" t="inlineStr"/>
      <c r="L18" t="inlineStr"/>
      <c r="M18" t="b">
        <v>1</v>
      </c>
      <c r="N18" t="inlineStr">
        <is>
          <t>consider_stock=false</t>
        </is>
      </c>
      <c r="O18" t="inlineStr"/>
      <c r="P18" t="inlineStr"/>
      <c r="Q18" t="inlineStr"/>
      <c r="R18" t="inlineStr"/>
      <c r="S18" t="inlineStr"/>
    </row>
    <row r="19">
      <c r="A19" t="n">
        <v>1</v>
      </c>
      <c r="B19" t="n">
        <v>1673</v>
      </c>
      <c r="C19" t="inlineStr">
        <is>
          <t>CCTRC1-R16TSE</t>
        </is>
      </c>
      <c r="D19" t="inlineStr">
        <is>
          <t>SE - Lrg Red Thai Chicken Curry | 545G X 16</t>
        </is>
      </c>
      <c r="E19" t="inlineStr">
        <is>
          <t>Case</t>
        </is>
      </c>
      <c r="F19" t="inlineStr">
        <is>
          <t>demand</t>
        </is>
      </c>
      <c r="G19" t="inlineStr"/>
      <c r="H19" t="n">
        <v>3</v>
      </c>
      <c r="I19" t="inlineStr">
        <is>
          <t>batch_split</t>
        </is>
      </c>
      <c r="J19" t="inlineStr">
        <is>
          <t>split gross into batches</t>
        </is>
      </c>
      <c r="K19" t="inlineStr">
        <is>
          <t>62.5</t>
        </is>
      </c>
      <c r="L19" t="inlineStr">
        <is>
          <t>62.5</t>
        </is>
      </c>
      <c r="M19" t="inlineStr"/>
      <c r="N19" t="inlineStr"/>
      <c r="O19" t="inlineStr"/>
      <c r="P19" t="inlineStr"/>
      <c r="Q19" t="inlineStr"/>
      <c r="R19" t="inlineStr">
        <is>
          <t>62.5</t>
        </is>
      </c>
      <c r="S19" t="inlineStr">
        <is>
          <t>62.5</t>
        </is>
      </c>
    </row>
    <row r="20">
      <c r="A20" t="n">
        <v>2</v>
      </c>
      <c r="B20" t="n">
        <v>1652</v>
      </c>
      <c r="C20" t="inlineStr">
        <is>
          <t>CCCAC</t>
        </is>
      </c>
      <c r="D20" t="inlineStr">
        <is>
          <t>Penne al Pomodoro with Chicken - 390G - Std</t>
        </is>
      </c>
      <c r="E20" t="inlineStr">
        <is>
          <t>TRAY</t>
        </is>
      </c>
      <c r="F20" t="inlineStr">
        <is>
          <t>child</t>
        </is>
      </c>
      <c r="G20" t="inlineStr">
        <is>
          <t>5000 from parent 250 × BOM 20. Stock not applied.</t>
        </is>
      </c>
      <c r="H20" t="n">
        <v>1</v>
      </c>
      <c r="I20" t="inlineStr">
        <is>
          <t>scale_bom</t>
        </is>
      </c>
      <c r="J20" t="inlineStr">
        <is>
          <t>parent_gross × bom_qty</t>
        </is>
      </c>
      <c r="K20" t="inlineStr">
        <is>
          <t>250 × 20</t>
        </is>
      </c>
      <c r="L20" t="inlineStr">
        <is>
          <t>5000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1652</v>
      </c>
      <c r="C21" t="inlineStr">
        <is>
          <t>CCCAC</t>
        </is>
      </c>
      <c r="D21" t="inlineStr">
        <is>
          <t>Penne al Pomodoro with Chicken - 390G - Std</t>
        </is>
      </c>
      <c r="E21" t="inlineStr">
        <is>
          <t>TRAY</t>
        </is>
      </c>
      <c r="F21" t="inlineStr">
        <is>
          <t>child</t>
        </is>
      </c>
      <c r="G21" t="inlineStr"/>
      <c r="H21" t="n">
        <v>2</v>
      </c>
      <c r="I21" t="inlineStr">
        <is>
          <t>gross</t>
        </is>
      </c>
      <c r="J21" t="inlineStr">
        <is>
          <t>net / recipe_yield</t>
        </is>
      </c>
      <c r="K21" t="inlineStr">
        <is>
          <t>5000 / 1 (recipe yield 100%)</t>
        </is>
      </c>
      <c r="L21" t="inlineStr">
        <is>
          <t>5000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</v>
      </c>
      <c r="B22" t="n">
        <v>1652</v>
      </c>
      <c r="C22" t="inlineStr">
        <is>
          <t>CCCAC</t>
        </is>
      </c>
      <c r="D22" t="inlineStr">
        <is>
          <t>Penne al Pomodoro with Chicken - 390G - Std</t>
        </is>
      </c>
      <c r="E22" t="inlineStr">
        <is>
          <t>TRAY</t>
        </is>
      </c>
      <c r="F22" t="inlineStr">
        <is>
          <t>child</t>
        </is>
      </c>
      <c r="G22" t="inlineStr"/>
      <c r="H22" t="n">
        <v>3</v>
      </c>
      <c r="I22" t="inlineStr">
        <is>
          <t>stock_net</t>
        </is>
      </c>
      <c r="J22" t="inlineStr"/>
      <c r="K22" t="inlineStr"/>
      <c r="L22" t="inlineStr"/>
      <c r="M22" t="b">
        <v>1</v>
      </c>
      <c r="N22" t="inlineStr">
        <is>
          <t>consider_stock=false</t>
        </is>
      </c>
      <c r="O22" t="inlineStr"/>
      <c r="P22" t="inlineStr"/>
      <c r="Q22" t="inlineStr"/>
      <c r="R22" t="inlineStr">
        <is>
          <t>5000</t>
        </is>
      </c>
      <c r="S22" t="inlineStr">
        <is>
          <t>5000</t>
        </is>
      </c>
    </row>
    <row r="23">
      <c r="A23" t="n">
        <v>2</v>
      </c>
      <c r="B23" t="n">
        <v>538</v>
      </c>
      <c r="C23" t="inlineStr">
        <is>
          <t>OC0021</t>
        </is>
      </c>
      <c r="D23" t="inlineStr">
        <is>
          <t>B187 Tray box (382x283x248) (1x320)</t>
        </is>
      </c>
      <c r="E23" t="inlineStr">
        <is>
          <t>grams</t>
        </is>
      </c>
      <c r="F23" t="inlineStr">
        <is>
          <t>child</t>
        </is>
      </c>
      <c r="G23" t="inlineStr">
        <is>
          <t>250 from parent 250 × BOM 1. Stock not applied.</t>
        </is>
      </c>
      <c r="H23" t="n">
        <v>1</v>
      </c>
      <c r="I23" t="inlineStr">
        <is>
          <t>scale_bom</t>
        </is>
      </c>
      <c r="J23" t="inlineStr">
        <is>
          <t>parent_gross × bom_qty</t>
        </is>
      </c>
      <c r="K23" t="inlineStr">
        <is>
          <t>250 × 1</t>
        </is>
      </c>
      <c r="L23" t="inlineStr">
        <is>
          <t>250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</v>
      </c>
      <c r="B24" t="n">
        <v>538</v>
      </c>
      <c r="C24" t="inlineStr">
        <is>
          <t>OC0021</t>
        </is>
      </c>
      <c r="D24" t="inlineStr">
        <is>
          <t>B187 Tray box (382x283x248) (1x320)</t>
        </is>
      </c>
      <c r="E24" t="inlineStr">
        <is>
          <t>grams</t>
        </is>
      </c>
      <c r="F24" t="inlineStr">
        <is>
          <t>child</t>
        </is>
      </c>
      <c r="G24" t="inlineStr"/>
      <c r="H24" t="n">
        <v>2</v>
      </c>
      <c r="I24" t="inlineStr">
        <is>
          <t>gross</t>
        </is>
      </c>
      <c r="J24" t="inlineStr">
        <is>
          <t>net / recipe_yield</t>
        </is>
      </c>
      <c r="K24" t="inlineStr">
        <is>
          <t>250 / 1 (recipe yield 100%)</t>
        </is>
      </c>
      <c r="L24" t="inlineStr">
        <is>
          <t>250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</v>
      </c>
      <c r="B25" t="n">
        <v>538</v>
      </c>
      <c r="C25" t="inlineStr">
        <is>
          <t>OC0021</t>
        </is>
      </c>
      <c r="D25" t="inlineStr">
        <is>
          <t>B187 Tray box (382x283x248) (1x320)</t>
        </is>
      </c>
      <c r="E25" t="inlineStr">
        <is>
          <t>grams</t>
        </is>
      </c>
      <c r="F25" t="inlineStr">
        <is>
          <t>child</t>
        </is>
      </c>
      <c r="G25" t="inlineStr"/>
      <c r="H25" t="n">
        <v>3</v>
      </c>
      <c r="I25" t="inlineStr">
        <is>
          <t>stock_net</t>
        </is>
      </c>
      <c r="J25" t="inlineStr"/>
      <c r="K25" t="inlineStr"/>
      <c r="L25" t="inlineStr"/>
      <c r="M25" t="b">
        <v>1</v>
      </c>
      <c r="N25" t="inlineStr">
        <is>
          <t>consider_stock=false</t>
        </is>
      </c>
      <c r="O25" t="inlineStr"/>
      <c r="P25" t="inlineStr"/>
      <c r="Q25" t="inlineStr"/>
      <c r="R25" t="inlineStr">
        <is>
          <t>250</t>
        </is>
      </c>
      <c r="S25" t="inlineStr">
        <is>
          <t>250</t>
        </is>
      </c>
    </row>
    <row r="26">
      <c r="A26" t="n">
        <v>2</v>
      </c>
      <c r="B26" t="n">
        <v>1653</v>
      </c>
      <c r="C26" t="inlineStr">
        <is>
          <t>CCCAC1</t>
        </is>
      </c>
      <c r="D26" t="inlineStr">
        <is>
          <t>Penne al Pomodoro with Chicken - 400G - Lean</t>
        </is>
      </c>
      <c r="E26" t="inlineStr">
        <is>
          <t>TRAY</t>
        </is>
      </c>
      <c r="F26" t="inlineStr">
        <is>
          <t>child</t>
        </is>
      </c>
      <c r="G26" t="inlineStr">
        <is>
          <t>1000 from parent 50 × BOM 20. Stock not applied.</t>
        </is>
      </c>
      <c r="H26" t="n">
        <v>1</v>
      </c>
      <c r="I26" t="inlineStr">
        <is>
          <t>scale_bom</t>
        </is>
      </c>
      <c r="J26" t="inlineStr">
        <is>
          <t>parent_gross × bom_qty</t>
        </is>
      </c>
      <c r="K26" t="inlineStr">
        <is>
          <t>50 × 20</t>
        </is>
      </c>
      <c r="L26" t="inlineStr">
        <is>
          <t>1000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</v>
      </c>
      <c r="B27" t="n">
        <v>1653</v>
      </c>
      <c r="C27" t="inlineStr">
        <is>
          <t>CCCAC1</t>
        </is>
      </c>
      <c r="D27" t="inlineStr">
        <is>
          <t>Penne al Pomodoro with Chicken - 400G - Lean</t>
        </is>
      </c>
      <c r="E27" t="inlineStr">
        <is>
          <t>TRAY</t>
        </is>
      </c>
      <c r="F27" t="inlineStr">
        <is>
          <t>child</t>
        </is>
      </c>
      <c r="G27" t="inlineStr"/>
      <c r="H27" t="n">
        <v>2</v>
      </c>
      <c r="I27" t="inlineStr">
        <is>
          <t>gross</t>
        </is>
      </c>
      <c r="J27" t="inlineStr">
        <is>
          <t>net / recipe_yield</t>
        </is>
      </c>
      <c r="K27" t="inlineStr">
        <is>
          <t>1000 / 1 (recipe yield 100%)</t>
        </is>
      </c>
      <c r="L27" t="inlineStr">
        <is>
          <t>1000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</v>
      </c>
      <c r="B28" t="n">
        <v>1653</v>
      </c>
      <c r="C28" t="inlineStr">
        <is>
          <t>CCCAC1</t>
        </is>
      </c>
      <c r="D28" t="inlineStr">
        <is>
          <t>Penne al Pomodoro with Chicken - 400G - Lean</t>
        </is>
      </c>
      <c r="E28" t="inlineStr">
        <is>
          <t>TRAY</t>
        </is>
      </c>
      <c r="F28" t="inlineStr">
        <is>
          <t>child</t>
        </is>
      </c>
      <c r="G28" t="inlineStr"/>
      <c r="H28" t="n">
        <v>3</v>
      </c>
      <c r="I28" t="inlineStr">
        <is>
          <t>stock_net</t>
        </is>
      </c>
      <c r="J28" t="inlineStr"/>
      <c r="K28" t="inlineStr"/>
      <c r="L28" t="inlineStr"/>
      <c r="M28" t="b">
        <v>1</v>
      </c>
      <c r="N28" t="inlineStr">
        <is>
          <t>consider_stock=false</t>
        </is>
      </c>
      <c r="O28" t="inlineStr"/>
      <c r="P28" t="inlineStr"/>
      <c r="Q28" t="inlineStr"/>
      <c r="R28" t="inlineStr">
        <is>
          <t>1000</t>
        </is>
      </c>
      <c r="S28" t="inlineStr">
        <is>
          <t>1000</t>
        </is>
      </c>
    </row>
    <row r="29">
      <c r="A29" t="n">
        <v>2</v>
      </c>
      <c r="B29" t="n">
        <v>538</v>
      </c>
      <c r="C29" t="inlineStr">
        <is>
          <t>OC0021</t>
        </is>
      </c>
      <c r="D29" t="inlineStr">
        <is>
          <t>B187 Tray box (382x283x248) (1x320)</t>
        </is>
      </c>
      <c r="E29" t="inlineStr">
        <is>
          <t>grams</t>
        </is>
      </c>
      <c r="F29" t="inlineStr">
        <is>
          <t>child</t>
        </is>
      </c>
      <c r="G29" t="inlineStr">
        <is>
          <t>50 from parent 50 × BOM 1. Stock not applied.</t>
        </is>
      </c>
      <c r="H29" t="n">
        <v>1</v>
      </c>
      <c r="I29" t="inlineStr">
        <is>
          <t>scale_bom</t>
        </is>
      </c>
      <c r="J29" t="inlineStr">
        <is>
          <t>parent_gross × bom_qty</t>
        </is>
      </c>
      <c r="K29" t="inlineStr">
        <is>
          <t>50 × 1</t>
        </is>
      </c>
      <c r="L29" t="inlineStr">
        <is>
          <t>50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</v>
      </c>
      <c r="B30" t="n">
        <v>538</v>
      </c>
      <c r="C30" t="inlineStr">
        <is>
          <t>OC0021</t>
        </is>
      </c>
      <c r="D30" t="inlineStr">
        <is>
          <t>B187 Tray box (382x283x248) (1x320)</t>
        </is>
      </c>
      <c r="E30" t="inlineStr">
        <is>
          <t>grams</t>
        </is>
      </c>
      <c r="F30" t="inlineStr">
        <is>
          <t>child</t>
        </is>
      </c>
      <c r="G30" t="inlineStr"/>
      <c r="H30" t="n">
        <v>2</v>
      </c>
      <c r="I30" t="inlineStr">
        <is>
          <t>gross</t>
        </is>
      </c>
      <c r="J30" t="inlineStr">
        <is>
          <t>net / recipe_yield</t>
        </is>
      </c>
      <c r="K30" t="inlineStr">
        <is>
          <t>50 / 1 (recipe yield 100%)</t>
        </is>
      </c>
      <c r="L30" t="inlineStr">
        <is>
          <t>50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</v>
      </c>
      <c r="B31" t="n">
        <v>538</v>
      </c>
      <c r="C31" t="inlineStr">
        <is>
          <t>OC0021</t>
        </is>
      </c>
      <c r="D31" t="inlineStr">
        <is>
          <t>B187 Tray box (382x283x248) (1x320)</t>
        </is>
      </c>
      <c r="E31" t="inlineStr">
        <is>
          <t>grams</t>
        </is>
      </c>
      <c r="F31" t="inlineStr">
        <is>
          <t>child</t>
        </is>
      </c>
      <c r="G31" t="inlineStr"/>
      <c r="H31" t="n">
        <v>3</v>
      </c>
      <c r="I31" t="inlineStr">
        <is>
          <t>stock_net</t>
        </is>
      </c>
      <c r="J31" t="inlineStr"/>
      <c r="K31" t="inlineStr"/>
      <c r="L31" t="inlineStr"/>
      <c r="M31" t="b">
        <v>1</v>
      </c>
      <c r="N31" t="inlineStr">
        <is>
          <t>consider_stock=false</t>
        </is>
      </c>
      <c r="O31" t="inlineStr"/>
      <c r="P31" t="inlineStr"/>
      <c r="Q31" t="inlineStr"/>
      <c r="R31" t="inlineStr">
        <is>
          <t>50</t>
        </is>
      </c>
      <c r="S31" t="inlineStr">
        <is>
          <t>50</t>
        </is>
      </c>
    </row>
    <row r="32">
      <c r="A32" t="n">
        <v>2</v>
      </c>
      <c r="B32" t="n">
        <v>1658</v>
      </c>
      <c r="C32" t="inlineStr">
        <is>
          <t>CCTRC1</t>
        </is>
      </c>
      <c r="D32" t="inlineStr">
        <is>
          <t>Red Thai Chicken Curry - 390G - Std</t>
        </is>
      </c>
      <c r="E32" t="inlineStr">
        <is>
          <t>TRAY</t>
        </is>
      </c>
      <c r="F32" t="inlineStr">
        <is>
          <t>child</t>
        </is>
      </c>
      <c r="G32" t="inlineStr">
        <is>
          <t>5000 from parent 250 × BOM 20. Stock not applied.</t>
        </is>
      </c>
      <c r="H32" t="n">
        <v>1</v>
      </c>
      <c r="I32" t="inlineStr">
        <is>
          <t>scale_bom</t>
        </is>
      </c>
      <c r="J32" t="inlineStr">
        <is>
          <t>parent_gross × bom_qty</t>
        </is>
      </c>
      <c r="K32" t="inlineStr">
        <is>
          <t>250 × 20</t>
        </is>
      </c>
      <c r="L32" t="inlineStr">
        <is>
          <t>5000</t>
        </is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</v>
      </c>
      <c r="B33" t="n">
        <v>1658</v>
      </c>
      <c r="C33" t="inlineStr">
        <is>
          <t>CCTRC1</t>
        </is>
      </c>
      <c r="D33" t="inlineStr">
        <is>
          <t>Red Thai Chicken Curry - 390G - Std</t>
        </is>
      </c>
      <c r="E33" t="inlineStr">
        <is>
          <t>TRAY</t>
        </is>
      </c>
      <c r="F33" t="inlineStr">
        <is>
          <t>child</t>
        </is>
      </c>
      <c r="G33" t="inlineStr"/>
      <c r="H33" t="n">
        <v>2</v>
      </c>
      <c r="I33" t="inlineStr">
        <is>
          <t>gross</t>
        </is>
      </c>
      <c r="J33" t="inlineStr">
        <is>
          <t>net / recipe_yield</t>
        </is>
      </c>
      <c r="K33" t="inlineStr">
        <is>
          <t>5000 / 1 (recipe yield 100%)</t>
        </is>
      </c>
      <c r="L33" t="inlineStr">
        <is>
          <t>5000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2</v>
      </c>
      <c r="B34" t="n">
        <v>1658</v>
      </c>
      <c r="C34" t="inlineStr">
        <is>
          <t>CCTRC1</t>
        </is>
      </c>
      <c r="D34" t="inlineStr">
        <is>
          <t>Red Thai Chicken Curry - 390G - Std</t>
        </is>
      </c>
      <c r="E34" t="inlineStr">
        <is>
          <t>TRAY</t>
        </is>
      </c>
      <c r="F34" t="inlineStr">
        <is>
          <t>child</t>
        </is>
      </c>
      <c r="G34" t="inlineStr"/>
      <c r="H34" t="n">
        <v>3</v>
      </c>
      <c r="I34" t="inlineStr">
        <is>
          <t>stock_net</t>
        </is>
      </c>
      <c r="J34" t="inlineStr"/>
      <c r="K34" t="inlineStr"/>
      <c r="L34" t="inlineStr"/>
      <c r="M34" t="b">
        <v>1</v>
      </c>
      <c r="N34" t="inlineStr">
        <is>
          <t>consider_stock=false</t>
        </is>
      </c>
      <c r="O34" t="inlineStr"/>
      <c r="P34" t="inlineStr"/>
      <c r="Q34" t="inlineStr"/>
      <c r="R34" t="inlineStr">
        <is>
          <t>5000</t>
        </is>
      </c>
      <c r="S34" t="inlineStr">
        <is>
          <t>5000</t>
        </is>
      </c>
    </row>
    <row r="35">
      <c r="A35" t="n">
        <v>2</v>
      </c>
      <c r="B35" t="n">
        <v>538</v>
      </c>
      <c r="C35" t="inlineStr">
        <is>
          <t>OC0021</t>
        </is>
      </c>
      <c r="D35" t="inlineStr">
        <is>
          <t>B187 Tray box (382x283x248) (1x320)</t>
        </is>
      </c>
      <c r="E35" t="inlineStr">
        <is>
          <t>grams</t>
        </is>
      </c>
      <c r="F35" t="inlineStr">
        <is>
          <t>child</t>
        </is>
      </c>
      <c r="G35" t="inlineStr">
        <is>
          <t>250 from parent 250 × BOM 1. Stock not applied.</t>
        </is>
      </c>
      <c r="H35" t="n">
        <v>1</v>
      </c>
      <c r="I35" t="inlineStr">
        <is>
          <t>scale_bom</t>
        </is>
      </c>
      <c r="J35" t="inlineStr">
        <is>
          <t>parent_gross × bom_qty</t>
        </is>
      </c>
      <c r="K35" t="inlineStr">
        <is>
          <t>250 × 1</t>
        </is>
      </c>
      <c r="L35" t="inlineStr">
        <is>
          <t>250</t>
        </is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2</v>
      </c>
      <c r="B36" t="n">
        <v>538</v>
      </c>
      <c r="C36" t="inlineStr">
        <is>
          <t>OC0021</t>
        </is>
      </c>
      <c r="D36" t="inlineStr">
        <is>
          <t>B187 Tray box (382x283x248) (1x320)</t>
        </is>
      </c>
      <c r="E36" t="inlineStr">
        <is>
          <t>grams</t>
        </is>
      </c>
      <c r="F36" t="inlineStr">
        <is>
          <t>child</t>
        </is>
      </c>
      <c r="G36" t="inlineStr"/>
      <c r="H36" t="n">
        <v>2</v>
      </c>
      <c r="I36" t="inlineStr">
        <is>
          <t>gross</t>
        </is>
      </c>
      <c r="J36" t="inlineStr">
        <is>
          <t>net / recipe_yield</t>
        </is>
      </c>
      <c r="K36" t="inlineStr">
        <is>
          <t>250 / 1 (recipe yield 100%)</t>
        </is>
      </c>
      <c r="L36" t="inlineStr">
        <is>
          <t>250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2</v>
      </c>
      <c r="B37" t="n">
        <v>538</v>
      </c>
      <c r="C37" t="inlineStr">
        <is>
          <t>OC0021</t>
        </is>
      </c>
      <c r="D37" t="inlineStr">
        <is>
          <t>B187 Tray box (382x283x248) (1x320)</t>
        </is>
      </c>
      <c r="E37" t="inlineStr">
        <is>
          <t>grams</t>
        </is>
      </c>
      <c r="F37" t="inlineStr">
        <is>
          <t>child</t>
        </is>
      </c>
      <c r="G37" t="inlineStr"/>
      <c r="H37" t="n">
        <v>3</v>
      </c>
      <c r="I37" t="inlineStr">
        <is>
          <t>stock_net</t>
        </is>
      </c>
      <c r="J37" t="inlineStr"/>
      <c r="K37" t="inlineStr"/>
      <c r="L37" t="inlineStr"/>
      <c r="M37" t="b">
        <v>1</v>
      </c>
      <c r="N37" t="inlineStr">
        <is>
          <t>consider_stock=false</t>
        </is>
      </c>
      <c r="O37" t="inlineStr"/>
      <c r="P37" t="inlineStr"/>
      <c r="Q37" t="inlineStr"/>
      <c r="R37" t="inlineStr">
        <is>
          <t>250</t>
        </is>
      </c>
      <c r="S37" t="inlineStr">
        <is>
          <t>250</t>
        </is>
      </c>
    </row>
    <row r="38">
      <c r="A38" t="n">
        <v>2</v>
      </c>
      <c r="B38" t="n">
        <v>1660</v>
      </c>
      <c r="C38" t="inlineStr">
        <is>
          <t>CCTRC1 - 1</t>
        </is>
      </c>
      <c r="D38" t="inlineStr">
        <is>
          <t>Red Thai Chicken Curry - 400G - Lean</t>
        </is>
      </c>
      <c r="E38" t="inlineStr">
        <is>
          <t>TRAY</t>
        </is>
      </c>
      <c r="F38" t="inlineStr">
        <is>
          <t>child</t>
        </is>
      </c>
      <c r="G38" t="inlineStr">
        <is>
          <t>1000 from parent 50 × BOM 20. Stock not applied.</t>
        </is>
      </c>
      <c r="H38" t="n">
        <v>1</v>
      </c>
      <c r="I38" t="inlineStr">
        <is>
          <t>scale_bom</t>
        </is>
      </c>
      <c r="J38" t="inlineStr">
        <is>
          <t>parent_gross × bom_qty</t>
        </is>
      </c>
      <c r="K38" t="inlineStr">
        <is>
          <t>50 × 20</t>
        </is>
      </c>
      <c r="L38" t="inlineStr">
        <is>
          <t>1000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2</v>
      </c>
      <c r="B39" t="n">
        <v>1660</v>
      </c>
      <c r="C39" t="inlineStr">
        <is>
          <t>CCTRC1 - 1</t>
        </is>
      </c>
      <c r="D39" t="inlineStr">
        <is>
          <t>Red Thai Chicken Curry - 400G - Lean</t>
        </is>
      </c>
      <c r="E39" t="inlineStr">
        <is>
          <t>TRAY</t>
        </is>
      </c>
      <c r="F39" t="inlineStr">
        <is>
          <t>child</t>
        </is>
      </c>
      <c r="G39" t="inlineStr"/>
      <c r="H39" t="n">
        <v>2</v>
      </c>
      <c r="I39" t="inlineStr">
        <is>
          <t>gross</t>
        </is>
      </c>
      <c r="J39" t="inlineStr">
        <is>
          <t>net / recipe_yield</t>
        </is>
      </c>
      <c r="K39" t="inlineStr">
        <is>
          <t>1000 / 1 (recipe yield 100%)</t>
        </is>
      </c>
      <c r="L39" t="inlineStr">
        <is>
          <t>1000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2</v>
      </c>
      <c r="B40" t="n">
        <v>1660</v>
      </c>
      <c r="C40" t="inlineStr">
        <is>
          <t>CCTRC1 - 1</t>
        </is>
      </c>
      <c r="D40" t="inlineStr">
        <is>
          <t>Red Thai Chicken Curry - 400G - Lean</t>
        </is>
      </c>
      <c r="E40" t="inlineStr">
        <is>
          <t>TRAY</t>
        </is>
      </c>
      <c r="F40" t="inlineStr">
        <is>
          <t>child</t>
        </is>
      </c>
      <c r="G40" t="inlineStr"/>
      <c r="H40" t="n">
        <v>3</v>
      </c>
      <c r="I40" t="inlineStr">
        <is>
          <t>stock_net</t>
        </is>
      </c>
      <c r="J40" t="inlineStr"/>
      <c r="K40" t="inlineStr"/>
      <c r="L40" t="inlineStr"/>
      <c r="M40" t="b">
        <v>1</v>
      </c>
      <c r="N40" t="inlineStr">
        <is>
          <t>consider_stock=false</t>
        </is>
      </c>
      <c r="O40" t="inlineStr"/>
      <c r="P40" t="inlineStr"/>
      <c r="Q40" t="inlineStr"/>
      <c r="R40" t="inlineStr">
        <is>
          <t>1000</t>
        </is>
      </c>
      <c r="S40" t="inlineStr">
        <is>
          <t>1000</t>
        </is>
      </c>
    </row>
    <row r="41">
      <c r="A41" t="n">
        <v>2</v>
      </c>
      <c r="B41" t="n">
        <v>538</v>
      </c>
      <c r="C41" t="inlineStr">
        <is>
          <t>OC0021</t>
        </is>
      </c>
      <c r="D41" t="inlineStr">
        <is>
          <t>B187 Tray box (382x283x248) (1x320)</t>
        </is>
      </c>
      <c r="E41" t="inlineStr">
        <is>
          <t>grams</t>
        </is>
      </c>
      <c r="F41" t="inlineStr">
        <is>
          <t>child</t>
        </is>
      </c>
      <c r="G41" t="inlineStr">
        <is>
          <t>50 from parent 50 × BOM 1. Stock not applied.</t>
        </is>
      </c>
      <c r="H41" t="n">
        <v>1</v>
      </c>
      <c r="I41" t="inlineStr">
        <is>
          <t>scale_bom</t>
        </is>
      </c>
      <c r="J41" t="inlineStr">
        <is>
          <t>parent_gross × bom_qty</t>
        </is>
      </c>
      <c r="K41" t="inlineStr">
        <is>
          <t>50 × 1</t>
        </is>
      </c>
      <c r="L41" t="inlineStr">
        <is>
          <t>50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2</v>
      </c>
      <c r="B42" t="n">
        <v>538</v>
      </c>
      <c r="C42" t="inlineStr">
        <is>
          <t>OC0021</t>
        </is>
      </c>
      <c r="D42" t="inlineStr">
        <is>
          <t>B187 Tray box (382x283x248) (1x320)</t>
        </is>
      </c>
      <c r="E42" t="inlineStr">
        <is>
          <t>grams</t>
        </is>
      </c>
      <c r="F42" t="inlineStr">
        <is>
          <t>child</t>
        </is>
      </c>
      <c r="G42" t="inlineStr"/>
      <c r="H42" t="n">
        <v>2</v>
      </c>
      <c r="I42" t="inlineStr">
        <is>
          <t>gross</t>
        </is>
      </c>
      <c r="J42" t="inlineStr">
        <is>
          <t>net / recipe_yield</t>
        </is>
      </c>
      <c r="K42" t="inlineStr">
        <is>
          <t>50 / 1 (recipe yield 100%)</t>
        </is>
      </c>
      <c r="L42" t="inlineStr">
        <is>
          <t>50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2</v>
      </c>
      <c r="B43" t="n">
        <v>538</v>
      </c>
      <c r="C43" t="inlineStr">
        <is>
          <t>OC0021</t>
        </is>
      </c>
      <c r="D43" t="inlineStr">
        <is>
          <t>B187 Tray box (382x283x248) (1x320)</t>
        </is>
      </c>
      <c r="E43" t="inlineStr">
        <is>
          <t>grams</t>
        </is>
      </c>
      <c r="F43" t="inlineStr">
        <is>
          <t>child</t>
        </is>
      </c>
      <c r="G43" t="inlineStr"/>
      <c r="H43" t="n">
        <v>3</v>
      </c>
      <c r="I43" t="inlineStr">
        <is>
          <t>stock_net</t>
        </is>
      </c>
      <c r="J43" t="inlineStr"/>
      <c r="K43" t="inlineStr"/>
      <c r="L43" t="inlineStr"/>
      <c r="M43" t="b">
        <v>1</v>
      </c>
      <c r="N43" t="inlineStr">
        <is>
          <t>consider_stock=false</t>
        </is>
      </c>
      <c r="O43" t="inlineStr"/>
      <c r="P43" t="inlineStr"/>
      <c r="Q43" t="inlineStr"/>
      <c r="R43" t="inlineStr">
        <is>
          <t>50</t>
        </is>
      </c>
      <c r="S43" t="inlineStr">
        <is>
          <t>50</t>
        </is>
      </c>
    </row>
    <row r="44">
      <c r="A44" t="n">
        <v>2</v>
      </c>
      <c r="B44" t="n">
        <v>1661</v>
      </c>
      <c r="C44" t="inlineStr">
        <is>
          <t>CCTRC1 - 2</t>
        </is>
      </c>
      <c r="D44" t="inlineStr">
        <is>
          <t>Red Thai Chicken Curry - 545G - Large</t>
        </is>
      </c>
      <c r="E44" t="inlineStr">
        <is>
          <t>TRAY</t>
        </is>
      </c>
      <c r="F44" t="inlineStr">
        <is>
          <t>child</t>
        </is>
      </c>
      <c r="G44" t="inlineStr">
        <is>
          <t>1000 from parent 62.5 × BOM 16. Stock not applied.</t>
        </is>
      </c>
      <c r="H44" t="n">
        <v>1</v>
      </c>
      <c r="I44" t="inlineStr">
        <is>
          <t>scale_bom</t>
        </is>
      </c>
      <c r="J44" t="inlineStr">
        <is>
          <t>parent_gross × bom_qty</t>
        </is>
      </c>
      <c r="K44" t="inlineStr">
        <is>
          <t>62.5 × 16</t>
        </is>
      </c>
      <c r="L44" t="inlineStr">
        <is>
          <t>1000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2</v>
      </c>
      <c r="B45" t="n">
        <v>1661</v>
      </c>
      <c r="C45" t="inlineStr">
        <is>
          <t>CCTRC1 - 2</t>
        </is>
      </c>
      <c r="D45" t="inlineStr">
        <is>
          <t>Red Thai Chicken Curry - 545G - Large</t>
        </is>
      </c>
      <c r="E45" t="inlineStr">
        <is>
          <t>TRAY</t>
        </is>
      </c>
      <c r="F45" t="inlineStr">
        <is>
          <t>child</t>
        </is>
      </c>
      <c r="G45" t="inlineStr"/>
      <c r="H45" t="n">
        <v>2</v>
      </c>
      <c r="I45" t="inlineStr">
        <is>
          <t>gross</t>
        </is>
      </c>
      <c r="J45" t="inlineStr">
        <is>
          <t>net / recipe_yield</t>
        </is>
      </c>
      <c r="K45" t="inlineStr">
        <is>
          <t>1000 / 1 (recipe yield 100%)</t>
        </is>
      </c>
      <c r="L45" t="inlineStr">
        <is>
          <t>1000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2</v>
      </c>
      <c r="B46" t="n">
        <v>1661</v>
      </c>
      <c r="C46" t="inlineStr">
        <is>
          <t>CCTRC1 - 2</t>
        </is>
      </c>
      <c r="D46" t="inlineStr">
        <is>
          <t>Red Thai Chicken Curry - 545G - Large</t>
        </is>
      </c>
      <c r="E46" t="inlineStr">
        <is>
          <t>TRAY</t>
        </is>
      </c>
      <c r="F46" t="inlineStr">
        <is>
          <t>child</t>
        </is>
      </c>
      <c r="G46" t="inlineStr"/>
      <c r="H46" t="n">
        <v>3</v>
      </c>
      <c r="I46" t="inlineStr">
        <is>
          <t>stock_net</t>
        </is>
      </c>
      <c r="J46" t="inlineStr"/>
      <c r="K46" t="inlineStr"/>
      <c r="L46" t="inlineStr"/>
      <c r="M46" t="b">
        <v>1</v>
      </c>
      <c r="N46" t="inlineStr">
        <is>
          <t>consider_stock=false</t>
        </is>
      </c>
      <c r="O46" t="inlineStr"/>
      <c r="P46" t="inlineStr"/>
      <c r="Q46" t="inlineStr"/>
      <c r="R46" t="inlineStr">
        <is>
          <t>1000</t>
        </is>
      </c>
      <c r="S46" t="inlineStr">
        <is>
          <t>1000</t>
        </is>
      </c>
    </row>
    <row r="47">
      <c r="A47" t="n">
        <v>2</v>
      </c>
      <c r="B47" t="n">
        <v>538</v>
      </c>
      <c r="C47" t="inlineStr">
        <is>
          <t>OC0021</t>
        </is>
      </c>
      <c r="D47" t="inlineStr">
        <is>
          <t>B187 Tray box (382x283x248) (1x320)</t>
        </is>
      </c>
      <c r="E47" t="inlineStr">
        <is>
          <t>grams</t>
        </is>
      </c>
      <c r="F47" t="inlineStr">
        <is>
          <t>child</t>
        </is>
      </c>
      <c r="G47" t="inlineStr">
        <is>
          <t>62.5 from parent 62.5 × BOM 1. Stock not applied.</t>
        </is>
      </c>
      <c r="H47" t="n">
        <v>1</v>
      </c>
      <c r="I47" t="inlineStr">
        <is>
          <t>scale_bom</t>
        </is>
      </c>
      <c r="J47" t="inlineStr">
        <is>
          <t>parent_gross × bom_qty</t>
        </is>
      </c>
      <c r="K47" t="inlineStr">
        <is>
          <t>62.5 × 1</t>
        </is>
      </c>
      <c r="L47" t="inlineStr">
        <is>
          <t>62.5</t>
        </is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2</v>
      </c>
      <c r="B48" t="n">
        <v>538</v>
      </c>
      <c r="C48" t="inlineStr">
        <is>
          <t>OC0021</t>
        </is>
      </c>
      <c r="D48" t="inlineStr">
        <is>
          <t>B187 Tray box (382x283x248) (1x320)</t>
        </is>
      </c>
      <c r="E48" t="inlineStr">
        <is>
          <t>grams</t>
        </is>
      </c>
      <c r="F48" t="inlineStr">
        <is>
          <t>child</t>
        </is>
      </c>
      <c r="G48" t="inlineStr"/>
      <c r="H48" t="n">
        <v>2</v>
      </c>
      <c r="I48" t="inlineStr">
        <is>
          <t>gross</t>
        </is>
      </c>
      <c r="J48" t="inlineStr">
        <is>
          <t>net / recipe_yield</t>
        </is>
      </c>
      <c r="K48" t="inlineStr">
        <is>
          <t>62.5 / 1 (recipe yield 100%)</t>
        </is>
      </c>
      <c r="L48" t="inlineStr">
        <is>
          <t>62.5</t>
        </is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2</v>
      </c>
      <c r="B49" t="n">
        <v>538</v>
      </c>
      <c r="C49" t="inlineStr">
        <is>
          <t>OC0021</t>
        </is>
      </c>
      <c r="D49" t="inlineStr">
        <is>
          <t>B187 Tray box (382x283x248) (1x320)</t>
        </is>
      </c>
      <c r="E49" t="inlineStr">
        <is>
          <t>grams</t>
        </is>
      </c>
      <c r="F49" t="inlineStr">
        <is>
          <t>child</t>
        </is>
      </c>
      <c r="G49" t="inlineStr"/>
      <c r="H49" t="n">
        <v>3</v>
      </c>
      <c r="I49" t="inlineStr">
        <is>
          <t>stock_net</t>
        </is>
      </c>
      <c r="J49" t="inlineStr"/>
      <c r="K49" t="inlineStr"/>
      <c r="L49" t="inlineStr"/>
      <c r="M49" t="b">
        <v>1</v>
      </c>
      <c r="N49" t="inlineStr">
        <is>
          <t>consider_stock=false</t>
        </is>
      </c>
      <c r="O49" t="inlineStr"/>
      <c r="P49" t="inlineStr"/>
      <c r="Q49" t="inlineStr"/>
      <c r="R49" t="inlineStr">
        <is>
          <t>62.5</t>
        </is>
      </c>
      <c r="S49" t="inlineStr">
        <is>
          <t>62.5</t>
        </is>
      </c>
    </row>
    <row r="50">
      <c r="A50" t="n">
        <v>3</v>
      </c>
      <c r="B50" t="n">
        <v>1541</v>
      </c>
      <c r="C50" t="inlineStr">
        <is>
          <t>GFF576R - St</t>
        </is>
      </c>
      <c r="D50" t="inlineStr">
        <is>
          <t>Steamed Pasta (Simmers) - 576 - Steaming</t>
        </is>
      </c>
      <c r="E50" t="inlineStr">
        <is>
          <t>grams</t>
        </is>
      </c>
      <c r="F50" t="inlineStr">
        <is>
          <t>child</t>
        </is>
      </c>
      <c r="G50" t="inlineStr">
        <is>
          <t>600000 from parent 5000 × BOM 120. Stock not applied.</t>
        </is>
      </c>
      <c r="H50" t="n">
        <v>1</v>
      </c>
      <c r="I50" t="inlineStr">
        <is>
          <t>scale_bom</t>
        </is>
      </c>
      <c r="J50" t="inlineStr">
        <is>
          <t>parent_gross × bom_qty</t>
        </is>
      </c>
      <c r="K50" t="inlineStr">
        <is>
          <t>5000 × 120</t>
        </is>
      </c>
      <c r="L50" t="inlineStr">
        <is>
          <t>600000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3</v>
      </c>
      <c r="B51" t="n">
        <v>1541</v>
      </c>
      <c r="C51" t="inlineStr">
        <is>
          <t>GFF576R - St</t>
        </is>
      </c>
      <c r="D51" t="inlineStr">
        <is>
          <t>Steamed Pasta (Simmers) - 576 - Steaming</t>
        </is>
      </c>
      <c r="E51" t="inlineStr">
        <is>
          <t>grams</t>
        </is>
      </c>
      <c r="F51" t="inlineStr">
        <is>
          <t>child</t>
        </is>
      </c>
      <c r="G51" t="inlineStr"/>
      <c r="H51" t="n">
        <v>2</v>
      </c>
      <c r="I51" t="inlineStr">
        <is>
          <t>gross</t>
        </is>
      </c>
      <c r="J51" t="inlineStr">
        <is>
          <t>net / recipe_yield</t>
        </is>
      </c>
      <c r="K51" t="inlineStr">
        <is>
          <t>600000 / 1 (recipe yield 100%)</t>
        </is>
      </c>
      <c r="L51" t="inlineStr">
        <is>
          <t>600000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3</v>
      </c>
      <c r="B52" t="n">
        <v>1541</v>
      </c>
      <c r="C52" t="inlineStr">
        <is>
          <t>GFF576R - St</t>
        </is>
      </c>
      <c r="D52" t="inlineStr">
        <is>
          <t>Steamed Pasta (Simmers) - 576 - Steaming</t>
        </is>
      </c>
      <c r="E52" t="inlineStr">
        <is>
          <t>grams</t>
        </is>
      </c>
      <c r="F52" t="inlineStr">
        <is>
          <t>child</t>
        </is>
      </c>
      <c r="G52" t="inlineStr"/>
      <c r="H52" t="n">
        <v>3</v>
      </c>
      <c r="I52" t="inlineStr">
        <is>
          <t>stock_net</t>
        </is>
      </c>
      <c r="J52" t="inlineStr"/>
      <c r="K52" t="inlineStr"/>
      <c r="L52" t="inlineStr"/>
      <c r="M52" t="b">
        <v>1</v>
      </c>
      <c r="N52" t="inlineStr">
        <is>
          <t>consider_stock=false</t>
        </is>
      </c>
      <c r="O52" t="inlineStr"/>
      <c r="P52" t="inlineStr"/>
      <c r="Q52" t="inlineStr"/>
      <c r="R52" t="inlineStr">
        <is>
          <t>600000</t>
        </is>
      </c>
      <c r="S52" t="inlineStr">
        <is>
          <t>600000</t>
        </is>
      </c>
    </row>
    <row r="53">
      <c r="A53" t="n">
        <v>3</v>
      </c>
      <c r="B53" t="n">
        <v>1552</v>
      </c>
      <c r="C53" t="inlineStr">
        <is>
          <t>GFF574R - St</t>
        </is>
      </c>
      <c r="D53" t="inlineStr">
        <is>
          <t>Pesto Marinated Chicken (Simmers) - 574 - Steaming</t>
        </is>
      </c>
      <c r="E53" t="inlineStr">
        <is>
          <t>grams</t>
        </is>
      </c>
      <c r="F53" t="inlineStr">
        <is>
          <t>child</t>
        </is>
      </c>
      <c r="G53" t="inlineStr">
        <is>
          <t>550000 from parent 5000 × BOM 110. Stock not applied.</t>
        </is>
      </c>
      <c r="H53" t="n">
        <v>1</v>
      </c>
      <c r="I53" t="inlineStr">
        <is>
          <t>scale_bom</t>
        </is>
      </c>
      <c r="J53" t="inlineStr">
        <is>
          <t>parent_gross × bom_qty</t>
        </is>
      </c>
      <c r="K53" t="inlineStr">
        <is>
          <t>5000 × 110</t>
        </is>
      </c>
      <c r="L53" t="inlineStr">
        <is>
          <t>550000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3</v>
      </c>
      <c r="B54" t="n">
        <v>1552</v>
      </c>
      <c r="C54" t="inlineStr">
        <is>
          <t>GFF574R - St</t>
        </is>
      </c>
      <c r="D54" t="inlineStr">
        <is>
          <t>Pesto Marinated Chicken (Simmers) - 574 - Steaming</t>
        </is>
      </c>
      <c r="E54" t="inlineStr">
        <is>
          <t>grams</t>
        </is>
      </c>
      <c r="F54" t="inlineStr">
        <is>
          <t>child</t>
        </is>
      </c>
      <c r="G54" t="inlineStr"/>
      <c r="H54" t="n">
        <v>2</v>
      </c>
      <c r="I54" t="inlineStr">
        <is>
          <t>gross</t>
        </is>
      </c>
      <c r="J54" t="inlineStr">
        <is>
          <t>net / recipe_yield</t>
        </is>
      </c>
      <c r="K54" t="inlineStr">
        <is>
          <t>550000 / 1 (recipe yield 100%)</t>
        </is>
      </c>
      <c r="L54" t="inlineStr">
        <is>
          <t>550000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3</v>
      </c>
      <c r="B55" t="n">
        <v>1552</v>
      </c>
      <c r="C55" t="inlineStr">
        <is>
          <t>GFF574R - St</t>
        </is>
      </c>
      <c r="D55" t="inlineStr">
        <is>
          <t>Pesto Marinated Chicken (Simmers) - 574 - Steaming</t>
        </is>
      </c>
      <c r="E55" t="inlineStr">
        <is>
          <t>grams</t>
        </is>
      </c>
      <c r="F55" t="inlineStr">
        <is>
          <t>child</t>
        </is>
      </c>
      <c r="G55" t="inlineStr"/>
      <c r="H55" t="n">
        <v>3</v>
      </c>
      <c r="I55" t="inlineStr">
        <is>
          <t>stock_net</t>
        </is>
      </c>
      <c r="J55" t="inlineStr"/>
      <c r="K55" t="inlineStr"/>
      <c r="L55" t="inlineStr"/>
      <c r="M55" t="b">
        <v>1</v>
      </c>
      <c r="N55" t="inlineStr">
        <is>
          <t>consider_stock=false</t>
        </is>
      </c>
      <c r="O55" t="inlineStr"/>
      <c r="P55" t="inlineStr"/>
      <c r="Q55" t="inlineStr"/>
      <c r="R55" t="inlineStr">
        <is>
          <t>550000</t>
        </is>
      </c>
      <c r="S55" t="inlineStr">
        <is>
          <t>550000</t>
        </is>
      </c>
    </row>
    <row r="56">
      <c r="A56" t="n">
        <v>3</v>
      </c>
      <c r="B56" t="n">
        <v>1542</v>
      </c>
      <c r="C56" t="inlineStr">
        <is>
          <t>GFF577R - St</t>
        </is>
      </c>
      <c r="D56" t="inlineStr">
        <is>
          <t>Steamed Green Beans and Sweet Potato (Simmers) - 577 - Steaming</t>
        </is>
      </c>
      <c r="E56" t="inlineStr">
        <is>
          <t>grams</t>
        </is>
      </c>
      <c r="F56" t="inlineStr">
        <is>
          <t>child</t>
        </is>
      </c>
      <c r="G56" t="inlineStr">
        <is>
          <t>300000 from parent 5000 × BOM 60. Stock not applied.</t>
        </is>
      </c>
      <c r="H56" t="n">
        <v>1</v>
      </c>
      <c r="I56" t="inlineStr">
        <is>
          <t>scale_bom</t>
        </is>
      </c>
      <c r="J56" t="inlineStr">
        <is>
          <t>parent_gross × bom_qty</t>
        </is>
      </c>
      <c r="K56" t="inlineStr">
        <is>
          <t>5000 × 60</t>
        </is>
      </c>
      <c r="L56" t="inlineStr">
        <is>
          <t>300000</t>
        </is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3</v>
      </c>
      <c r="B57" t="n">
        <v>1542</v>
      </c>
      <c r="C57" t="inlineStr">
        <is>
          <t>GFF577R - St</t>
        </is>
      </c>
      <c r="D57" t="inlineStr">
        <is>
          <t>Steamed Green Beans and Sweet Potato (Simmers) - 577 - Steaming</t>
        </is>
      </c>
      <c r="E57" t="inlineStr">
        <is>
          <t>grams</t>
        </is>
      </c>
      <c r="F57" t="inlineStr">
        <is>
          <t>child</t>
        </is>
      </c>
      <c r="G57" t="inlineStr"/>
      <c r="H57" t="n">
        <v>2</v>
      </c>
      <c r="I57" t="inlineStr">
        <is>
          <t>gross</t>
        </is>
      </c>
      <c r="J57" t="inlineStr">
        <is>
          <t>net / recipe_yield</t>
        </is>
      </c>
      <c r="K57" t="inlineStr">
        <is>
          <t>300000 / 0.85 (recipe yield 85%)</t>
        </is>
      </c>
      <c r="L57" t="inlineStr">
        <is>
          <t>352941.1764705882352941176471</t>
        </is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3</v>
      </c>
      <c r="B58" t="n">
        <v>1542</v>
      </c>
      <c r="C58" t="inlineStr">
        <is>
          <t>GFF577R - St</t>
        </is>
      </c>
      <c r="D58" t="inlineStr">
        <is>
          <t>Steamed Green Beans and Sweet Potato (Simmers) - 577 - Steaming</t>
        </is>
      </c>
      <c r="E58" t="inlineStr">
        <is>
          <t>grams</t>
        </is>
      </c>
      <c r="F58" t="inlineStr">
        <is>
          <t>child</t>
        </is>
      </c>
      <c r="G58" t="inlineStr"/>
      <c r="H58" t="n">
        <v>3</v>
      </c>
      <c r="I58" t="inlineStr">
        <is>
          <t>stock_net</t>
        </is>
      </c>
      <c r="J58" t="inlineStr"/>
      <c r="K58" t="inlineStr"/>
      <c r="L58" t="inlineStr"/>
      <c r="M58" t="b">
        <v>1</v>
      </c>
      <c r="N58" t="inlineStr">
        <is>
          <t>consider_stock=false</t>
        </is>
      </c>
      <c r="O58" t="inlineStr"/>
      <c r="P58" t="inlineStr"/>
      <c r="Q58" t="inlineStr"/>
      <c r="R58" t="inlineStr">
        <is>
          <t>300000</t>
        </is>
      </c>
      <c r="S58" t="inlineStr">
        <is>
          <t>352941.1764705882352941176471</t>
        </is>
      </c>
    </row>
    <row r="59">
      <c r="A59" t="n">
        <v>3</v>
      </c>
      <c r="B59" t="n">
        <v>1540</v>
      </c>
      <c r="C59" t="inlineStr">
        <is>
          <t>GFF575R - C</t>
        </is>
      </c>
      <c r="D59" t="inlineStr">
        <is>
          <t>Cacciatore Sauce (Simmers) - 575 - Cooking</t>
        </is>
      </c>
      <c r="E59" t="inlineStr">
        <is>
          <t>grams</t>
        </is>
      </c>
      <c r="F59" t="inlineStr">
        <is>
          <t>child</t>
        </is>
      </c>
      <c r="G59" t="inlineStr">
        <is>
          <t>500000 from parent 5000 × BOM 100. Stock not applied.</t>
        </is>
      </c>
      <c r="H59" t="n">
        <v>1</v>
      </c>
      <c r="I59" t="inlineStr">
        <is>
          <t>scale_bom</t>
        </is>
      </c>
      <c r="J59" t="inlineStr">
        <is>
          <t>parent_gross × bom_qty</t>
        </is>
      </c>
      <c r="K59" t="inlineStr">
        <is>
          <t>5000 × 100</t>
        </is>
      </c>
      <c r="L59" t="inlineStr">
        <is>
          <t>500000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3</v>
      </c>
      <c r="B60" t="n">
        <v>1540</v>
      </c>
      <c r="C60" t="inlineStr">
        <is>
          <t>GFF575R - C</t>
        </is>
      </c>
      <c r="D60" t="inlineStr">
        <is>
          <t>Cacciatore Sauce (Simmers) - 575 - Cooking</t>
        </is>
      </c>
      <c r="E60" t="inlineStr">
        <is>
          <t>grams</t>
        </is>
      </c>
      <c r="F60" t="inlineStr">
        <is>
          <t>child</t>
        </is>
      </c>
      <c r="G60" t="inlineStr"/>
      <c r="H60" t="n">
        <v>2</v>
      </c>
      <c r="I60" t="inlineStr">
        <is>
          <t>gross</t>
        </is>
      </c>
      <c r="J60" t="inlineStr">
        <is>
          <t>net / recipe_yield</t>
        </is>
      </c>
      <c r="K60" t="inlineStr">
        <is>
          <t>500000 / 0.8586 (recipe yield 85.86%)</t>
        </is>
      </c>
      <c r="L60" t="inlineStr">
        <is>
          <t>582343.3496389471232238527836</t>
        </is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3</v>
      </c>
      <c r="B61" t="n">
        <v>1540</v>
      </c>
      <c r="C61" t="inlineStr">
        <is>
          <t>GFF575R - C</t>
        </is>
      </c>
      <c r="D61" t="inlineStr">
        <is>
          <t>Cacciatore Sauce (Simmers) - 575 - Cooking</t>
        </is>
      </c>
      <c r="E61" t="inlineStr">
        <is>
          <t>grams</t>
        </is>
      </c>
      <c r="F61" t="inlineStr">
        <is>
          <t>child</t>
        </is>
      </c>
      <c r="G61" t="inlineStr"/>
      <c r="H61" t="n">
        <v>3</v>
      </c>
      <c r="I61" t="inlineStr">
        <is>
          <t>stock_net</t>
        </is>
      </c>
      <c r="J61" t="inlineStr"/>
      <c r="K61" t="inlineStr"/>
      <c r="L61" t="inlineStr"/>
      <c r="M61" t="b">
        <v>1</v>
      </c>
      <c r="N61" t="inlineStr">
        <is>
          <t>consider_stock=false</t>
        </is>
      </c>
      <c r="O61" t="inlineStr"/>
      <c r="P61" t="inlineStr"/>
      <c r="Q61" t="inlineStr"/>
      <c r="R61" t="inlineStr">
        <is>
          <t>500000</t>
        </is>
      </c>
      <c r="S61" t="inlineStr">
        <is>
          <t>582343.3496389471232238527836</t>
        </is>
      </c>
    </row>
    <row r="62">
      <c r="A62" t="n">
        <v>3</v>
      </c>
      <c r="B62" t="n">
        <v>1541</v>
      </c>
      <c r="C62" t="inlineStr">
        <is>
          <t>GFF576R - St</t>
        </is>
      </c>
      <c r="D62" t="inlineStr">
        <is>
          <t>Steamed Pasta (Simmers) - 576 - Steaming</t>
        </is>
      </c>
      <c r="E62" t="inlineStr">
        <is>
          <t>grams</t>
        </is>
      </c>
      <c r="F62" t="inlineStr">
        <is>
          <t>child</t>
        </is>
      </c>
      <c r="G62" t="inlineStr">
        <is>
          <t>40000 from parent 1000 × BOM 40. Stock not applied.</t>
        </is>
      </c>
      <c r="H62" t="n">
        <v>1</v>
      </c>
      <c r="I62" t="inlineStr">
        <is>
          <t>scale_bom</t>
        </is>
      </c>
      <c r="J62" t="inlineStr">
        <is>
          <t>parent_gross × bom_qty</t>
        </is>
      </c>
      <c r="K62" t="inlineStr">
        <is>
          <t>1000 × 40</t>
        </is>
      </c>
      <c r="L62" t="inlineStr">
        <is>
          <t>40000</t>
        </is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3</v>
      </c>
      <c r="B63" t="n">
        <v>1541</v>
      </c>
      <c r="C63" t="inlineStr">
        <is>
          <t>GFF576R - St</t>
        </is>
      </c>
      <c r="D63" t="inlineStr">
        <is>
          <t>Steamed Pasta (Simmers) - 576 - Steaming</t>
        </is>
      </c>
      <c r="E63" t="inlineStr">
        <is>
          <t>grams</t>
        </is>
      </c>
      <c r="F63" t="inlineStr">
        <is>
          <t>child</t>
        </is>
      </c>
      <c r="G63" t="inlineStr"/>
      <c r="H63" t="n">
        <v>2</v>
      </c>
      <c r="I63" t="inlineStr">
        <is>
          <t>gross</t>
        </is>
      </c>
      <c r="J63" t="inlineStr">
        <is>
          <t>net / recipe_yield</t>
        </is>
      </c>
      <c r="K63" t="inlineStr">
        <is>
          <t>40000 / 1 (recipe yield 100%)</t>
        </is>
      </c>
      <c r="L63" t="inlineStr">
        <is>
          <t>40000</t>
        </is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3</v>
      </c>
      <c r="B64" t="n">
        <v>1541</v>
      </c>
      <c r="C64" t="inlineStr">
        <is>
          <t>GFF576R - St</t>
        </is>
      </c>
      <c r="D64" t="inlineStr">
        <is>
          <t>Steamed Pasta (Simmers) - 576 - Steaming</t>
        </is>
      </c>
      <c r="E64" t="inlineStr">
        <is>
          <t>grams</t>
        </is>
      </c>
      <c r="F64" t="inlineStr">
        <is>
          <t>child</t>
        </is>
      </c>
      <c r="G64" t="inlineStr"/>
      <c r="H64" t="n">
        <v>3</v>
      </c>
      <c r="I64" t="inlineStr">
        <is>
          <t>stock_net</t>
        </is>
      </c>
      <c r="J64" t="inlineStr"/>
      <c r="K64" t="inlineStr"/>
      <c r="L64" t="inlineStr"/>
      <c r="M64" t="b">
        <v>1</v>
      </c>
      <c r="N64" t="inlineStr">
        <is>
          <t>consider_stock=false</t>
        </is>
      </c>
      <c r="O64" t="inlineStr"/>
      <c r="P64" t="inlineStr"/>
      <c r="Q64" t="inlineStr"/>
      <c r="R64" t="inlineStr">
        <is>
          <t>40000</t>
        </is>
      </c>
      <c r="S64" t="inlineStr">
        <is>
          <t>40000</t>
        </is>
      </c>
    </row>
    <row r="65">
      <c r="A65" t="n">
        <v>3</v>
      </c>
      <c r="B65" t="n">
        <v>1552</v>
      </c>
      <c r="C65" t="inlineStr">
        <is>
          <t>GFF574R - St</t>
        </is>
      </c>
      <c r="D65" t="inlineStr">
        <is>
          <t>Pesto Marinated Chicken (Simmers) - 574 - Steaming</t>
        </is>
      </c>
      <c r="E65" t="inlineStr">
        <is>
          <t>grams</t>
        </is>
      </c>
      <c r="F65" t="inlineStr">
        <is>
          <t>child</t>
        </is>
      </c>
      <c r="G65" t="inlineStr">
        <is>
          <t>140000 from parent 1000 × BOM 140. Stock not applied.</t>
        </is>
      </c>
      <c r="H65" t="n">
        <v>1</v>
      </c>
      <c r="I65" t="inlineStr">
        <is>
          <t>scale_bom</t>
        </is>
      </c>
      <c r="J65" t="inlineStr">
        <is>
          <t>parent_gross × bom_qty</t>
        </is>
      </c>
      <c r="K65" t="inlineStr">
        <is>
          <t>1000 × 140</t>
        </is>
      </c>
      <c r="L65" t="inlineStr">
        <is>
          <t>140000</t>
        </is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3</v>
      </c>
      <c r="B66" t="n">
        <v>1552</v>
      </c>
      <c r="C66" t="inlineStr">
        <is>
          <t>GFF574R - St</t>
        </is>
      </c>
      <c r="D66" t="inlineStr">
        <is>
          <t>Pesto Marinated Chicken (Simmers) - 574 - Steaming</t>
        </is>
      </c>
      <c r="E66" t="inlineStr">
        <is>
          <t>grams</t>
        </is>
      </c>
      <c r="F66" t="inlineStr">
        <is>
          <t>child</t>
        </is>
      </c>
      <c r="G66" t="inlineStr"/>
      <c r="H66" t="n">
        <v>2</v>
      </c>
      <c r="I66" t="inlineStr">
        <is>
          <t>gross</t>
        </is>
      </c>
      <c r="J66" t="inlineStr">
        <is>
          <t>net / recipe_yield</t>
        </is>
      </c>
      <c r="K66" t="inlineStr">
        <is>
          <t>140000 / 1 (recipe yield 100%)</t>
        </is>
      </c>
      <c r="L66" t="inlineStr">
        <is>
          <t>140000</t>
        </is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3</v>
      </c>
      <c r="B67" t="n">
        <v>1552</v>
      </c>
      <c r="C67" t="inlineStr">
        <is>
          <t>GFF574R - St</t>
        </is>
      </c>
      <c r="D67" t="inlineStr">
        <is>
          <t>Pesto Marinated Chicken (Simmers) - 574 - Steaming</t>
        </is>
      </c>
      <c r="E67" t="inlineStr">
        <is>
          <t>grams</t>
        </is>
      </c>
      <c r="F67" t="inlineStr">
        <is>
          <t>child</t>
        </is>
      </c>
      <c r="G67" t="inlineStr"/>
      <c r="H67" t="n">
        <v>3</v>
      </c>
      <c r="I67" t="inlineStr">
        <is>
          <t>stock_net</t>
        </is>
      </c>
      <c r="J67" t="inlineStr"/>
      <c r="K67" t="inlineStr"/>
      <c r="L67" t="inlineStr"/>
      <c r="M67" t="b">
        <v>1</v>
      </c>
      <c r="N67" t="inlineStr">
        <is>
          <t>consider_stock=false</t>
        </is>
      </c>
      <c r="O67" t="inlineStr"/>
      <c r="P67" t="inlineStr"/>
      <c r="Q67" t="inlineStr"/>
      <c r="R67" t="inlineStr">
        <is>
          <t>140000</t>
        </is>
      </c>
      <c r="S67" t="inlineStr">
        <is>
          <t>140000</t>
        </is>
      </c>
    </row>
    <row r="68">
      <c r="A68" t="n">
        <v>3</v>
      </c>
      <c r="B68" t="n">
        <v>1542</v>
      </c>
      <c r="C68" t="inlineStr">
        <is>
          <t>GFF577R - St</t>
        </is>
      </c>
      <c r="D68" t="inlineStr">
        <is>
          <t>Steamed Green Beans and Sweet Potato (Simmers) - 577 - Steaming</t>
        </is>
      </c>
      <c r="E68" t="inlineStr">
        <is>
          <t>grams</t>
        </is>
      </c>
      <c r="F68" t="inlineStr">
        <is>
          <t>child</t>
        </is>
      </c>
      <c r="G68" t="inlineStr">
        <is>
          <t>100000 from parent 1000 × BOM 100. Stock not applied.</t>
        </is>
      </c>
      <c r="H68" t="n">
        <v>1</v>
      </c>
      <c r="I68" t="inlineStr">
        <is>
          <t>scale_bom</t>
        </is>
      </c>
      <c r="J68" t="inlineStr">
        <is>
          <t>parent_gross × bom_qty</t>
        </is>
      </c>
      <c r="K68" t="inlineStr">
        <is>
          <t>1000 × 100</t>
        </is>
      </c>
      <c r="L68" t="inlineStr">
        <is>
          <t>100000</t>
        </is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3</v>
      </c>
      <c r="B69" t="n">
        <v>1542</v>
      </c>
      <c r="C69" t="inlineStr">
        <is>
          <t>GFF577R - St</t>
        </is>
      </c>
      <c r="D69" t="inlineStr">
        <is>
          <t>Steamed Green Beans and Sweet Potato (Simmers) - 577 - Steaming</t>
        </is>
      </c>
      <c r="E69" t="inlineStr">
        <is>
          <t>grams</t>
        </is>
      </c>
      <c r="F69" t="inlineStr">
        <is>
          <t>child</t>
        </is>
      </c>
      <c r="G69" t="inlineStr"/>
      <c r="H69" t="n">
        <v>2</v>
      </c>
      <c r="I69" t="inlineStr">
        <is>
          <t>gross</t>
        </is>
      </c>
      <c r="J69" t="inlineStr">
        <is>
          <t>net / recipe_yield</t>
        </is>
      </c>
      <c r="K69" t="inlineStr">
        <is>
          <t>100000 / 0.85 (recipe yield 85%)</t>
        </is>
      </c>
      <c r="L69" t="inlineStr">
        <is>
          <t>117647.0588235294117647058824</t>
        </is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3</v>
      </c>
      <c r="B70" t="n">
        <v>1542</v>
      </c>
      <c r="C70" t="inlineStr">
        <is>
          <t>GFF577R - St</t>
        </is>
      </c>
      <c r="D70" t="inlineStr">
        <is>
          <t>Steamed Green Beans and Sweet Potato (Simmers) - 577 - Steaming</t>
        </is>
      </c>
      <c r="E70" t="inlineStr">
        <is>
          <t>grams</t>
        </is>
      </c>
      <c r="F70" t="inlineStr">
        <is>
          <t>child</t>
        </is>
      </c>
      <c r="G70" t="inlineStr"/>
      <c r="H70" t="n">
        <v>3</v>
      </c>
      <c r="I70" t="inlineStr">
        <is>
          <t>stock_net</t>
        </is>
      </c>
      <c r="J70" t="inlineStr"/>
      <c r="K70" t="inlineStr"/>
      <c r="L70" t="inlineStr"/>
      <c r="M70" t="b">
        <v>1</v>
      </c>
      <c r="N70" t="inlineStr">
        <is>
          <t>consider_stock=false</t>
        </is>
      </c>
      <c r="O70" t="inlineStr"/>
      <c r="P70" t="inlineStr"/>
      <c r="Q70" t="inlineStr"/>
      <c r="R70" t="inlineStr">
        <is>
          <t>100000</t>
        </is>
      </c>
      <c r="S70" t="inlineStr">
        <is>
          <t>117647.0588235294117647058824</t>
        </is>
      </c>
    </row>
    <row r="71">
      <c r="A71" t="n">
        <v>3</v>
      </c>
      <c r="B71" t="n">
        <v>1540</v>
      </c>
      <c r="C71" t="inlineStr">
        <is>
          <t>GFF575R - C</t>
        </is>
      </c>
      <c r="D71" t="inlineStr">
        <is>
          <t>Cacciatore Sauce (Simmers) - 575 - Cooking</t>
        </is>
      </c>
      <c r="E71" t="inlineStr">
        <is>
          <t>grams</t>
        </is>
      </c>
      <c r="F71" t="inlineStr">
        <is>
          <t>child</t>
        </is>
      </c>
      <c r="G71" t="inlineStr">
        <is>
          <t>120000 from parent 1000 × BOM 120. Stock not applied.</t>
        </is>
      </c>
      <c r="H71" t="n">
        <v>1</v>
      </c>
      <c r="I71" t="inlineStr">
        <is>
          <t>scale_bom</t>
        </is>
      </c>
      <c r="J71" t="inlineStr">
        <is>
          <t>parent_gross × bom_qty</t>
        </is>
      </c>
      <c r="K71" t="inlineStr">
        <is>
          <t>1000 × 120</t>
        </is>
      </c>
      <c r="L71" t="inlineStr">
        <is>
          <t>120000</t>
        </is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3</v>
      </c>
      <c r="B72" t="n">
        <v>1540</v>
      </c>
      <c r="C72" t="inlineStr">
        <is>
          <t>GFF575R - C</t>
        </is>
      </c>
      <c r="D72" t="inlineStr">
        <is>
          <t>Cacciatore Sauce (Simmers) - 575 - Cooking</t>
        </is>
      </c>
      <c r="E72" t="inlineStr">
        <is>
          <t>grams</t>
        </is>
      </c>
      <c r="F72" t="inlineStr">
        <is>
          <t>child</t>
        </is>
      </c>
      <c r="G72" t="inlineStr"/>
      <c r="H72" t="n">
        <v>2</v>
      </c>
      <c r="I72" t="inlineStr">
        <is>
          <t>gross</t>
        </is>
      </c>
      <c r="J72" t="inlineStr">
        <is>
          <t>net / recipe_yield</t>
        </is>
      </c>
      <c r="K72" t="inlineStr">
        <is>
          <t>120000 / 0.8586 (recipe yield 85.86%)</t>
        </is>
      </c>
      <c r="L72" t="inlineStr">
        <is>
          <t>139762.4039133473095737246681</t>
        </is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3</v>
      </c>
      <c r="B73" t="n">
        <v>1540</v>
      </c>
      <c r="C73" t="inlineStr">
        <is>
          <t>GFF575R - C</t>
        </is>
      </c>
      <c r="D73" t="inlineStr">
        <is>
          <t>Cacciatore Sauce (Simmers) - 575 - Cooking</t>
        </is>
      </c>
      <c r="E73" t="inlineStr">
        <is>
          <t>grams</t>
        </is>
      </c>
      <c r="F73" t="inlineStr">
        <is>
          <t>child</t>
        </is>
      </c>
      <c r="G73" t="inlineStr"/>
      <c r="H73" t="n">
        <v>3</v>
      </c>
      <c r="I73" t="inlineStr">
        <is>
          <t>stock_net</t>
        </is>
      </c>
      <c r="J73" t="inlineStr"/>
      <c r="K73" t="inlineStr"/>
      <c r="L73" t="inlineStr"/>
      <c r="M73" t="b">
        <v>1</v>
      </c>
      <c r="N73" t="inlineStr">
        <is>
          <t>consider_stock=false</t>
        </is>
      </c>
      <c r="O73" t="inlineStr"/>
      <c r="P73" t="inlineStr"/>
      <c r="Q73" t="inlineStr"/>
      <c r="R73" t="inlineStr">
        <is>
          <t>120000</t>
        </is>
      </c>
      <c r="S73" t="inlineStr">
        <is>
          <t>139762.4039133473095737246681</t>
        </is>
      </c>
    </row>
    <row r="74">
      <c r="A74" t="n">
        <v>3</v>
      </c>
      <c r="B74" t="n">
        <v>720</v>
      </c>
      <c r="C74" t="inlineStr">
        <is>
          <t>PKNOV001-02</t>
        </is>
      </c>
      <c r="D74" t="inlineStr">
        <is>
          <t>B187/45 Cuisine Kraft Tray</t>
        </is>
      </c>
      <c r="E74" t="inlineStr">
        <is>
          <t>TRAY</t>
        </is>
      </c>
      <c r="F74" t="inlineStr">
        <is>
          <t>child</t>
        </is>
      </c>
      <c r="G74" t="inlineStr">
        <is>
          <t>1000 from parent 1000 × BOM 1. Stock not applied.</t>
        </is>
      </c>
      <c r="H74" t="n">
        <v>1</v>
      </c>
      <c r="I74" t="inlineStr">
        <is>
          <t>scale_bom</t>
        </is>
      </c>
      <c r="J74" t="inlineStr">
        <is>
          <t>parent_gross × bom_qty</t>
        </is>
      </c>
      <c r="K74" t="inlineStr">
        <is>
          <t>1000 × 1</t>
        </is>
      </c>
      <c r="L74" t="inlineStr">
        <is>
          <t>1000</t>
        </is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3</v>
      </c>
      <c r="B75" t="n">
        <v>720</v>
      </c>
      <c r="C75" t="inlineStr">
        <is>
          <t>PKNOV001-02</t>
        </is>
      </c>
      <c r="D75" t="inlineStr">
        <is>
          <t>B187/45 Cuisine Kraft Tray</t>
        </is>
      </c>
      <c r="E75" t="inlineStr">
        <is>
          <t>TRAY</t>
        </is>
      </c>
      <c r="F75" t="inlineStr">
        <is>
          <t>child</t>
        </is>
      </c>
      <c r="G75" t="inlineStr"/>
      <c r="H75" t="n">
        <v>2</v>
      </c>
      <c r="I75" t="inlineStr">
        <is>
          <t>convert_uom</t>
        </is>
      </c>
      <c r="J75" t="inlineStr"/>
      <c r="K75" t="inlineStr">
        <is>
          <t>1000 grams</t>
        </is>
      </c>
      <c r="L75" t="inlineStr">
        <is>
          <t>1000 TRAY</t>
        </is>
      </c>
      <c r="M75" t="b">
        <v>1</v>
      </c>
      <c r="N75" t="inlineStr">
        <is>
          <t>missing_uom_conversion</t>
        </is>
      </c>
      <c r="O75" t="inlineStr"/>
      <c r="P75" t="inlineStr"/>
      <c r="Q75" t="inlineStr"/>
      <c r="R75" t="inlineStr"/>
      <c r="S75" t="inlineStr"/>
    </row>
    <row r="76">
      <c r="A76" t="n">
        <v>3</v>
      </c>
      <c r="B76" t="n">
        <v>720</v>
      </c>
      <c r="C76" t="inlineStr">
        <is>
          <t>PKNOV001-02</t>
        </is>
      </c>
      <c r="D76" t="inlineStr">
        <is>
          <t>B187/45 Cuisine Kraft Tray</t>
        </is>
      </c>
      <c r="E76" t="inlineStr">
        <is>
          <t>TRAY</t>
        </is>
      </c>
      <c r="F76" t="inlineStr">
        <is>
          <t>child</t>
        </is>
      </c>
      <c r="G76" t="inlineStr"/>
      <c r="H76" t="n">
        <v>3</v>
      </c>
      <c r="I76" t="inlineStr">
        <is>
          <t>gross</t>
        </is>
      </c>
      <c r="J76" t="inlineStr">
        <is>
          <t>net / recipe_yield</t>
        </is>
      </c>
      <c r="K76" t="inlineStr">
        <is>
          <t>1000 / 1 (recipe yield 100%)</t>
        </is>
      </c>
      <c r="L76" t="inlineStr">
        <is>
          <t>1000</t>
        </is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3</v>
      </c>
      <c r="B77" t="n">
        <v>720</v>
      </c>
      <c r="C77" t="inlineStr">
        <is>
          <t>PKNOV001-02</t>
        </is>
      </c>
      <c r="D77" t="inlineStr">
        <is>
          <t>B187/45 Cuisine Kraft Tray</t>
        </is>
      </c>
      <c r="E77" t="inlineStr">
        <is>
          <t>TRAY</t>
        </is>
      </c>
      <c r="F77" t="inlineStr">
        <is>
          <t>child</t>
        </is>
      </c>
      <c r="G77" t="inlineStr"/>
      <c r="H77" t="n">
        <v>4</v>
      </c>
      <c r="I77" t="inlineStr">
        <is>
          <t>stock_net</t>
        </is>
      </c>
      <c r="J77" t="inlineStr"/>
      <c r="K77" t="inlineStr"/>
      <c r="L77" t="inlineStr"/>
      <c r="M77" t="b">
        <v>1</v>
      </c>
      <c r="N77" t="inlineStr">
        <is>
          <t>consider_stock=false</t>
        </is>
      </c>
      <c r="O77" t="inlineStr"/>
      <c r="P77" t="inlineStr"/>
      <c r="Q77" t="inlineStr"/>
      <c r="R77" t="inlineStr">
        <is>
          <t>1000</t>
        </is>
      </c>
      <c r="S77" t="inlineStr">
        <is>
          <t>1000</t>
        </is>
      </c>
    </row>
    <row r="78">
      <c r="A78" t="n">
        <v>3</v>
      </c>
      <c r="B78" t="n">
        <v>620</v>
      </c>
      <c r="C78" t="inlineStr">
        <is>
          <t>GFF560R - St</t>
        </is>
      </c>
      <c r="D78" t="inlineStr">
        <is>
          <t>Coriander Marinated Chicken (Simmers) - 560 - Steaming</t>
        </is>
      </c>
      <c r="E78" t="inlineStr">
        <is>
          <t>grams</t>
        </is>
      </c>
      <c r="F78" t="inlineStr">
        <is>
          <t>child</t>
        </is>
      </c>
      <c r="G78" t="inlineStr">
        <is>
          <t>550000 from parent 5000 × BOM 110. Stock not applied.</t>
        </is>
      </c>
      <c r="H78" t="n">
        <v>1</v>
      </c>
      <c r="I78" t="inlineStr">
        <is>
          <t>scale_bom</t>
        </is>
      </c>
      <c r="J78" t="inlineStr">
        <is>
          <t>parent_gross × bom_qty</t>
        </is>
      </c>
      <c r="K78" t="inlineStr">
        <is>
          <t>5000 × 110</t>
        </is>
      </c>
      <c r="L78" t="inlineStr">
        <is>
          <t>550000</t>
        </is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3</v>
      </c>
      <c r="B79" t="n">
        <v>620</v>
      </c>
      <c r="C79" t="inlineStr">
        <is>
          <t>GFF560R - St</t>
        </is>
      </c>
      <c r="D79" t="inlineStr">
        <is>
          <t>Coriander Marinated Chicken (Simmers) - 560 - Steaming</t>
        </is>
      </c>
      <c r="E79" t="inlineStr">
        <is>
          <t>grams</t>
        </is>
      </c>
      <c r="F79" t="inlineStr">
        <is>
          <t>child</t>
        </is>
      </c>
      <c r="G79" t="inlineStr"/>
      <c r="H79" t="n">
        <v>2</v>
      </c>
      <c r="I79" t="inlineStr">
        <is>
          <t>gross</t>
        </is>
      </c>
      <c r="J79" t="inlineStr">
        <is>
          <t>net / recipe_yield</t>
        </is>
      </c>
      <c r="K79" t="inlineStr">
        <is>
          <t>550000 / 1 (recipe yield 100%)</t>
        </is>
      </c>
      <c r="L79" t="inlineStr">
        <is>
          <t>550000</t>
        </is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3</v>
      </c>
      <c r="B80" t="n">
        <v>620</v>
      </c>
      <c r="C80" t="inlineStr">
        <is>
          <t>GFF560R - St</t>
        </is>
      </c>
      <c r="D80" t="inlineStr">
        <is>
          <t>Coriander Marinated Chicken (Simmers) - 560 - Steaming</t>
        </is>
      </c>
      <c r="E80" t="inlineStr">
        <is>
          <t>grams</t>
        </is>
      </c>
      <c r="F80" t="inlineStr">
        <is>
          <t>child</t>
        </is>
      </c>
      <c r="G80" t="inlineStr"/>
      <c r="H80" t="n">
        <v>3</v>
      </c>
      <c r="I80" t="inlineStr">
        <is>
          <t>stock_net</t>
        </is>
      </c>
      <c r="J80" t="inlineStr"/>
      <c r="K80" t="inlineStr"/>
      <c r="L80" t="inlineStr"/>
      <c r="M80" t="b">
        <v>1</v>
      </c>
      <c r="N80" t="inlineStr">
        <is>
          <t>consider_stock=false</t>
        </is>
      </c>
      <c r="O80" t="inlineStr"/>
      <c r="P80" t="inlineStr"/>
      <c r="Q80" t="inlineStr"/>
      <c r="R80" t="inlineStr">
        <is>
          <t>550000</t>
        </is>
      </c>
      <c r="S80" t="inlineStr">
        <is>
          <t>550000</t>
        </is>
      </c>
    </row>
    <row r="81">
      <c r="A81" t="n">
        <v>3</v>
      </c>
      <c r="B81" t="n">
        <v>1544</v>
      </c>
      <c r="C81" t="inlineStr">
        <is>
          <t>GFF579R - C</t>
        </is>
      </c>
      <c r="D81" t="inlineStr">
        <is>
          <t>Thai Style Rice (Simmers) - 579 - Cooking</t>
        </is>
      </c>
      <c r="E81" t="inlineStr">
        <is>
          <t>grams</t>
        </is>
      </c>
      <c r="F81" t="inlineStr">
        <is>
          <t>child</t>
        </is>
      </c>
      <c r="G81" t="inlineStr">
        <is>
          <t>600000 from parent 5000 × BOM 120. Stock not applied.</t>
        </is>
      </c>
      <c r="H81" t="n">
        <v>1</v>
      </c>
      <c r="I81" t="inlineStr">
        <is>
          <t>scale_bom</t>
        </is>
      </c>
      <c r="J81" t="inlineStr">
        <is>
          <t>parent_gross × bom_qty</t>
        </is>
      </c>
      <c r="K81" t="inlineStr">
        <is>
          <t>5000 × 120</t>
        </is>
      </c>
      <c r="L81" t="inlineStr">
        <is>
          <t>600000</t>
        </is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3</v>
      </c>
      <c r="B82" t="n">
        <v>1544</v>
      </c>
      <c r="C82" t="inlineStr">
        <is>
          <t>GFF579R - C</t>
        </is>
      </c>
      <c r="D82" t="inlineStr">
        <is>
          <t>Thai Style Rice (Simmers) - 579 - Cooking</t>
        </is>
      </c>
      <c r="E82" t="inlineStr">
        <is>
          <t>grams</t>
        </is>
      </c>
      <c r="F82" t="inlineStr">
        <is>
          <t>child</t>
        </is>
      </c>
      <c r="G82" t="inlineStr"/>
      <c r="H82" t="n">
        <v>2</v>
      </c>
      <c r="I82" t="inlineStr">
        <is>
          <t>gross</t>
        </is>
      </c>
      <c r="J82" t="inlineStr">
        <is>
          <t>net / recipe_yield</t>
        </is>
      </c>
      <c r="K82" t="inlineStr">
        <is>
          <t>600000 / 0.8547 (recipe yield 85.47%)</t>
        </is>
      </c>
      <c r="L82" t="inlineStr">
        <is>
          <t>702000.702000702000702000702</t>
        </is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3</v>
      </c>
      <c r="B83" t="n">
        <v>1544</v>
      </c>
      <c r="C83" t="inlineStr">
        <is>
          <t>GFF579R - C</t>
        </is>
      </c>
      <c r="D83" t="inlineStr">
        <is>
          <t>Thai Style Rice (Simmers) - 579 - Cooking</t>
        </is>
      </c>
      <c r="E83" t="inlineStr">
        <is>
          <t>grams</t>
        </is>
      </c>
      <c r="F83" t="inlineStr">
        <is>
          <t>child</t>
        </is>
      </c>
      <c r="G83" t="inlineStr"/>
      <c r="H83" t="n">
        <v>3</v>
      </c>
      <c r="I83" t="inlineStr">
        <is>
          <t>stock_net</t>
        </is>
      </c>
      <c r="J83" t="inlineStr"/>
      <c r="K83" t="inlineStr"/>
      <c r="L83" t="inlineStr"/>
      <c r="M83" t="b">
        <v>1</v>
      </c>
      <c r="N83" t="inlineStr">
        <is>
          <t>consider_stock=false</t>
        </is>
      </c>
      <c r="O83" t="inlineStr"/>
      <c r="P83" t="inlineStr"/>
      <c r="Q83" t="inlineStr"/>
      <c r="R83" t="inlineStr">
        <is>
          <t>600000</t>
        </is>
      </c>
      <c r="S83" t="inlineStr">
        <is>
          <t>702000.702000702000702000702</t>
        </is>
      </c>
    </row>
    <row r="84">
      <c r="A84" t="n">
        <v>3</v>
      </c>
      <c r="B84" t="n">
        <v>1543</v>
      </c>
      <c r="C84" t="inlineStr">
        <is>
          <t>GFF578R - C</t>
        </is>
      </c>
      <c r="D84" t="inlineStr">
        <is>
          <t>Red Thai Curry Sauce (Simmers) - 578 - Cooking</t>
        </is>
      </c>
      <c r="E84" t="inlineStr">
        <is>
          <t>grams</t>
        </is>
      </c>
      <c r="F84" t="inlineStr">
        <is>
          <t>child</t>
        </is>
      </c>
      <c r="G84" t="inlineStr">
        <is>
          <t>400000 from parent 5000 × BOM 80. Stock not applied.</t>
        </is>
      </c>
      <c r="H84" t="n">
        <v>1</v>
      </c>
      <c r="I84" t="inlineStr">
        <is>
          <t>scale_bom</t>
        </is>
      </c>
      <c r="J84" t="inlineStr">
        <is>
          <t>parent_gross × bom_qty</t>
        </is>
      </c>
      <c r="K84" t="inlineStr">
        <is>
          <t>5000 × 80</t>
        </is>
      </c>
      <c r="L84" t="inlineStr">
        <is>
          <t>400000</t>
        </is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3</v>
      </c>
      <c r="B85" t="n">
        <v>1543</v>
      </c>
      <c r="C85" t="inlineStr">
        <is>
          <t>GFF578R - C</t>
        </is>
      </c>
      <c r="D85" t="inlineStr">
        <is>
          <t>Red Thai Curry Sauce (Simmers) - 578 - Cooking</t>
        </is>
      </c>
      <c r="E85" t="inlineStr">
        <is>
          <t>grams</t>
        </is>
      </c>
      <c r="F85" t="inlineStr">
        <is>
          <t>child</t>
        </is>
      </c>
      <c r="G85" t="inlineStr"/>
      <c r="H85" t="n">
        <v>2</v>
      </c>
      <c r="I85" t="inlineStr">
        <is>
          <t>gross</t>
        </is>
      </c>
      <c r="J85" t="inlineStr">
        <is>
          <t>net / recipe_yield</t>
        </is>
      </c>
      <c r="K85" t="inlineStr">
        <is>
          <t>400000 / 0.8252 (recipe yield 82.52%)</t>
        </is>
      </c>
      <c r="L85" t="inlineStr">
        <is>
          <t>484730.9743092583616093068347</t>
        </is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3</v>
      </c>
      <c r="B86" t="n">
        <v>1543</v>
      </c>
      <c r="C86" t="inlineStr">
        <is>
          <t>GFF578R - C</t>
        </is>
      </c>
      <c r="D86" t="inlineStr">
        <is>
          <t>Red Thai Curry Sauce (Simmers) - 578 - Cooking</t>
        </is>
      </c>
      <c r="E86" t="inlineStr">
        <is>
          <t>grams</t>
        </is>
      </c>
      <c r="F86" t="inlineStr">
        <is>
          <t>child</t>
        </is>
      </c>
      <c r="G86" t="inlineStr"/>
      <c r="H86" t="n">
        <v>3</v>
      </c>
      <c r="I86" t="inlineStr">
        <is>
          <t>stock_net</t>
        </is>
      </c>
      <c r="J86" t="inlineStr"/>
      <c r="K86" t="inlineStr"/>
      <c r="L86" t="inlineStr"/>
      <c r="M86" t="b">
        <v>1</v>
      </c>
      <c r="N86" t="inlineStr">
        <is>
          <t>consider_stock=false</t>
        </is>
      </c>
      <c r="O86" t="inlineStr"/>
      <c r="P86" t="inlineStr"/>
      <c r="Q86" t="inlineStr"/>
      <c r="R86" t="inlineStr">
        <is>
          <t>400000</t>
        </is>
      </c>
      <c r="S86" t="inlineStr">
        <is>
          <t>484730.9743092583616093068347</t>
        </is>
      </c>
    </row>
    <row r="87">
      <c r="A87" t="n">
        <v>3</v>
      </c>
      <c r="B87" t="n">
        <v>1545</v>
      </c>
      <c r="C87" t="inlineStr">
        <is>
          <t>GFF580R - St</t>
        </is>
      </c>
      <c r="D87" t="inlineStr">
        <is>
          <t>Steamed Red Pepper and Carrot Barton (Simmers) - 580 - Steaming</t>
        </is>
      </c>
      <c r="E87" t="inlineStr">
        <is>
          <t>grams</t>
        </is>
      </c>
      <c r="F87" t="inlineStr">
        <is>
          <t>child</t>
        </is>
      </c>
      <c r="G87" t="inlineStr">
        <is>
          <t>400000 from parent 5000 × BOM 80. Stock not applied.</t>
        </is>
      </c>
      <c r="H87" t="n">
        <v>1</v>
      </c>
      <c r="I87" t="inlineStr">
        <is>
          <t>scale_bom</t>
        </is>
      </c>
      <c r="J87" t="inlineStr">
        <is>
          <t>parent_gross × bom_qty</t>
        </is>
      </c>
      <c r="K87" t="inlineStr">
        <is>
          <t>5000 × 80</t>
        </is>
      </c>
      <c r="L87" t="inlineStr">
        <is>
          <t>400000</t>
        </is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3</v>
      </c>
      <c r="B88" t="n">
        <v>1545</v>
      </c>
      <c r="C88" t="inlineStr">
        <is>
          <t>GFF580R - St</t>
        </is>
      </c>
      <c r="D88" t="inlineStr">
        <is>
          <t>Steamed Red Pepper and Carrot Barton (Simmers) - 580 - Steaming</t>
        </is>
      </c>
      <c r="E88" t="inlineStr">
        <is>
          <t>grams</t>
        </is>
      </c>
      <c r="F88" t="inlineStr">
        <is>
          <t>child</t>
        </is>
      </c>
      <c r="G88" t="inlineStr"/>
      <c r="H88" t="n">
        <v>2</v>
      </c>
      <c r="I88" t="inlineStr">
        <is>
          <t>gross</t>
        </is>
      </c>
      <c r="J88" t="inlineStr">
        <is>
          <t>net / recipe_yield</t>
        </is>
      </c>
      <c r="K88" t="inlineStr">
        <is>
          <t>400000 / 0.85 (recipe yield 85%)</t>
        </is>
      </c>
      <c r="L88" t="inlineStr">
        <is>
          <t>470588.2352941176470588235294</t>
        </is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3</v>
      </c>
      <c r="B89" t="n">
        <v>1545</v>
      </c>
      <c r="C89" t="inlineStr">
        <is>
          <t>GFF580R - St</t>
        </is>
      </c>
      <c r="D89" t="inlineStr">
        <is>
          <t>Steamed Red Pepper and Carrot Barton (Simmers) - 580 - Steaming</t>
        </is>
      </c>
      <c r="E89" t="inlineStr">
        <is>
          <t>grams</t>
        </is>
      </c>
      <c r="F89" t="inlineStr">
        <is>
          <t>child</t>
        </is>
      </c>
      <c r="G89" t="inlineStr"/>
      <c r="H89" t="n">
        <v>3</v>
      </c>
      <c r="I89" t="inlineStr">
        <is>
          <t>stock_net</t>
        </is>
      </c>
      <c r="J89" t="inlineStr"/>
      <c r="K89" t="inlineStr"/>
      <c r="L89" t="inlineStr"/>
      <c r="M89" t="b">
        <v>1</v>
      </c>
      <c r="N89" t="inlineStr">
        <is>
          <t>consider_stock=false</t>
        </is>
      </c>
      <c r="O89" t="inlineStr"/>
      <c r="P89" t="inlineStr"/>
      <c r="Q89" t="inlineStr"/>
      <c r="R89" t="inlineStr">
        <is>
          <t>400000</t>
        </is>
      </c>
      <c r="S89" t="inlineStr">
        <is>
          <t>470588.2352941176470588235294</t>
        </is>
      </c>
    </row>
    <row r="90">
      <c r="A90" t="n">
        <v>3</v>
      </c>
      <c r="B90" t="n">
        <v>720</v>
      </c>
      <c r="C90" t="inlineStr">
        <is>
          <t>PKNOV001-02</t>
        </is>
      </c>
      <c r="D90" t="inlineStr">
        <is>
          <t>B187/45 Cuisine Kraft Tray</t>
        </is>
      </c>
      <c r="E90" t="inlineStr">
        <is>
          <t>TRAY</t>
        </is>
      </c>
      <c r="F90" t="inlineStr">
        <is>
          <t>child</t>
        </is>
      </c>
      <c r="G90" t="inlineStr">
        <is>
          <t>5000 from parent 5000 × BOM 1. Stock not applied.</t>
        </is>
      </c>
      <c r="H90" t="n">
        <v>1</v>
      </c>
      <c r="I90" t="inlineStr">
        <is>
          <t>scale_bom</t>
        </is>
      </c>
      <c r="J90" t="inlineStr">
        <is>
          <t>parent_gross × bom_qty</t>
        </is>
      </c>
      <c r="K90" t="inlineStr">
        <is>
          <t>5000 × 1</t>
        </is>
      </c>
      <c r="L90" t="inlineStr">
        <is>
          <t>5000</t>
        </is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3</v>
      </c>
      <c r="B91" t="n">
        <v>720</v>
      </c>
      <c r="C91" t="inlineStr">
        <is>
          <t>PKNOV001-02</t>
        </is>
      </c>
      <c r="D91" t="inlineStr">
        <is>
          <t>B187/45 Cuisine Kraft Tray</t>
        </is>
      </c>
      <c r="E91" t="inlineStr">
        <is>
          <t>TRAY</t>
        </is>
      </c>
      <c r="F91" t="inlineStr">
        <is>
          <t>child</t>
        </is>
      </c>
      <c r="G91" t="inlineStr"/>
      <c r="H91" t="n">
        <v>2</v>
      </c>
      <c r="I91" t="inlineStr">
        <is>
          <t>convert_uom</t>
        </is>
      </c>
      <c r="J91" t="inlineStr"/>
      <c r="K91" t="inlineStr">
        <is>
          <t>5000 grams</t>
        </is>
      </c>
      <c r="L91" t="inlineStr">
        <is>
          <t>5000 TRAY</t>
        </is>
      </c>
      <c r="M91" t="b">
        <v>1</v>
      </c>
      <c r="N91" t="inlineStr">
        <is>
          <t>missing_uom_conversion</t>
        </is>
      </c>
      <c r="O91" t="inlineStr"/>
      <c r="P91" t="inlineStr"/>
      <c r="Q91" t="inlineStr"/>
      <c r="R91" t="inlineStr"/>
      <c r="S91" t="inlineStr"/>
    </row>
    <row r="92">
      <c r="A92" t="n">
        <v>3</v>
      </c>
      <c r="B92" t="n">
        <v>720</v>
      </c>
      <c r="C92" t="inlineStr">
        <is>
          <t>PKNOV001-02</t>
        </is>
      </c>
      <c r="D92" t="inlineStr">
        <is>
          <t>B187/45 Cuisine Kraft Tray</t>
        </is>
      </c>
      <c r="E92" t="inlineStr">
        <is>
          <t>TRAY</t>
        </is>
      </c>
      <c r="F92" t="inlineStr">
        <is>
          <t>child</t>
        </is>
      </c>
      <c r="G92" t="inlineStr"/>
      <c r="H92" t="n">
        <v>3</v>
      </c>
      <c r="I92" t="inlineStr">
        <is>
          <t>gross</t>
        </is>
      </c>
      <c r="J92" t="inlineStr">
        <is>
          <t>net / recipe_yield</t>
        </is>
      </c>
      <c r="K92" t="inlineStr">
        <is>
          <t>5000 / 1 (recipe yield 100%)</t>
        </is>
      </c>
      <c r="L92" t="inlineStr">
        <is>
          <t>5000</t>
        </is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3</v>
      </c>
      <c r="B93" t="n">
        <v>720</v>
      </c>
      <c r="C93" t="inlineStr">
        <is>
          <t>PKNOV001-02</t>
        </is>
      </c>
      <c r="D93" t="inlineStr">
        <is>
          <t>B187/45 Cuisine Kraft Tray</t>
        </is>
      </c>
      <c r="E93" t="inlineStr">
        <is>
          <t>TRAY</t>
        </is>
      </c>
      <c r="F93" t="inlineStr">
        <is>
          <t>child</t>
        </is>
      </c>
      <c r="G93" t="inlineStr"/>
      <c r="H93" t="n">
        <v>4</v>
      </c>
      <c r="I93" t="inlineStr">
        <is>
          <t>stock_net</t>
        </is>
      </c>
      <c r="J93" t="inlineStr"/>
      <c r="K93" t="inlineStr"/>
      <c r="L93" t="inlineStr"/>
      <c r="M93" t="b">
        <v>1</v>
      </c>
      <c r="N93" t="inlineStr">
        <is>
          <t>consider_stock=false</t>
        </is>
      </c>
      <c r="O93" t="inlineStr"/>
      <c r="P93" t="inlineStr"/>
      <c r="Q93" t="inlineStr"/>
      <c r="R93" t="inlineStr">
        <is>
          <t>5000</t>
        </is>
      </c>
      <c r="S93" t="inlineStr">
        <is>
          <t>5000</t>
        </is>
      </c>
    </row>
    <row r="94">
      <c r="A94" t="n">
        <v>3</v>
      </c>
      <c r="B94" t="n">
        <v>620</v>
      </c>
      <c r="C94" t="inlineStr">
        <is>
          <t>GFF560R - St</t>
        </is>
      </c>
      <c r="D94" t="inlineStr">
        <is>
          <t>Coriander Marinated Chicken (Simmers) - 560 - Steaming</t>
        </is>
      </c>
      <c r="E94" t="inlineStr">
        <is>
          <t>grams</t>
        </is>
      </c>
      <c r="F94" t="inlineStr">
        <is>
          <t>child</t>
        </is>
      </c>
      <c r="G94" t="inlineStr">
        <is>
          <t>150000 from parent 1000 × BOM 150. Stock not applied.</t>
        </is>
      </c>
      <c r="H94" t="n">
        <v>1</v>
      </c>
      <c r="I94" t="inlineStr">
        <is>
          <t>scale_bom</t>
        </is>
      </c>
      <c r="J94" t="inlineStr">
        <is>
          <t>parent_gross × bom_qty</t>
        </is>
      </c>
      <c r="K94" t="inlineStr">
        <is>
          <t>1000 × 150</t>
        </is>
      </c>
      <c r="L94" t="inlineStr">
        <is>
          <t>150000</t>
        </is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3</v>
      </c>
      <c r="B95" t="n">
        <v>620</v>
      </c>
      <c r="C95" t="inlineStr">
        <is>
          <t>GFF560R - St</t>
        </is>
      </c>
      <c r="D95" t="inlineStr">
        <is>
          <t>Coriander Marinated Chicken (Simmers) - 560 - Steaming</t>
        </is>
      </c>
      <c r="E95" t="inlineStr">
        <is>
          <t>grams</t>
        </is>
      </c>
      <c r="F95" t="inlineStr">
        <is>
          <t>child</t>
        </is>
      </c>
      <c r="G95" t="inlineStr"/>
      <c r="H95" t="n">
        <v>2</v>
      </c>
      <c r="I95" t="inlineStr">
        <is>
          <t>gross</t>
        </is>
      </c>
      <c r="J95" t="inlineStr">
        <is>
          <t>net / recipe_yield</t>
        </is>
      </c>
      <c r="K95" t="inlineStr">
        <is>
          <t>150000 / 1 (recipe yield 100%)</t>
        </is>
      </c>
      <c r="L95" t="inlineStr">
        <is>
          <t>150000</t>
        </is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3</v>
      </c>
      <c r="B96" t="n">
        <v>620</v>
      </c>
      <c r="C96" t="inlineStr">
        <is>
          <t>GFF560R - St</t>
        </is>
      </c>
      <c r="D96" t="inlineStr">
        <is>
          <t>Coriander Marinated Chicken (Simmers) - 560 - Steaming</t>
        </is>
      </c>
      <c r="E96" t="inlineStr">
        <is>
          <t>grams</t>
        </is>
      </c>
      <c r="F96" t="inlineStr">
        <is>
          <t>child</t>
        </is>
      </c>
      <c r="G96" t="inlineStr"/>
      <c r="H96" t="n">
        <v>3</v>
      </c>
      <c r="I96" t="inlineStr">
        <is>
          <t>stock_net</t>
        </is>
      </c>
      <c r="J96" t="inlineStr"/>
      <c r="K96" t="inlineStr"/>
      <c r="L96" t="inlineStr"/>
      <c r="M96" t="b">
        <v>1</v>
      </c>
      <c r="N96" t="inlineStr">
        <is>
          <t>consider_stock=false</t>
        </is>
      </c>
      <c r="O96" t="inlineStr"/>
      <c r="P96" t="inlineStr"/>
      <c r="Q96" t="inlineStr"/>
      <c r="R96" t="inlineStr">
        <is>
          <t>150000</t>
        </is>
      </c>
      <c r="S96" t="inlineStr">
        <is>
          <t>150000</t>
        </is>
      </c>
    </row>
    <row r="97">
      <c r="A97" t="n">
        <v>3</v>
      </c>
      <c r="B97" t="n">
        <v>1544</v>
      </c>
      <c r="C97" t="inlineStr">
        <is>
          <t>GFF579R - C</t>
        </is>
      </c>
      <c r="D97" t="inlineStr">
        <is>
          <t>Thai Style Rice (Simmers) - 579 - Cooking</t>
        </is>
      </c>
      <c r="E97" t="inlineStr">
        <is>
          <t>grams</t>
        </is>
      </c>
      <c r="F97" t="inlineStr">
        <is>
          <t>child</t>
        </is>
      </c>
      <c r="G97" t="inlineStr">
        <is>
          <t>50000 from parent 1000 × BOM 50. Stock not applied.</t>
        </is>
      </c>
      <c r="H97" t="n">
        <v>1</v>
      </c>
      <c r="I97" t="inlineStr">
        <is>
          <t>scale_bom</t>
        </is>
      </c>
      <c r="J97" t="inlineStr">
        <is>
          <t>parent_gross × bom_qty</t>
        </is>
      </c>
      <c r="K97" t="inlineStr">
        <is>
          <t>1000 × 50</t>
        </is>
      </c>
      <c r="L97" t="inlineStr">
        <is>
          <t>50000</t>
        </is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3</v>
      </c>
      <c r="B98" t="n">
        <v>1544</v>
      </c>
      <c r="C98" t="inlineStr">
        <is>
          <t>GFF579R - C</t>
        </is>
      </c>
      <c r="D98" t="inlineStr">
        <is>
          <t>Thai Style Rice (Simmers) - 579 - Cooking</t>
        </is>
      </c>
      <c r="E98" t="inlineStr">
        <is>
          <t>grams</t>
        </is>
      </c>
      <c r="F98" t="inlineStr">
        <is>
          <t>child</t>
        </is>
      </c>
      <c r="G98" t="inlineStr"/>
      <c r="H98" t="n">
        <v>2</v>
      </c>
      <c r="I98" t="inlineStr">
        <is>
          <t>gross</t>
        </is>
      </c>
      <c r="J98" t="inlineStr">
        <is>
          <t>net / recipe_yield</t>
        </is>
      </c>
      <c r="K98" t="inlineStr">
        <is>
          <t>50000 / 0.8547 (recipe yield 85.47%)</t>
        </is>
      </c>
      <c r="L98" t="inlineStr">
        <is>
          <t>58500.0585000585000585000585</t>
        </is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3</v>
      </c>
      <c r="B99" t="n">
        <v>1544</v>
      </c>
      <c r="C99" t="inlineStr">
        <is>
          <t>GFF579R - C</t>
        </is>
      </c>
      <c r="D99" t="inlineStr">
        <is>
          <t>Thai Style Rice (Simmers) - 579 - Cooking</t>
        </is>
      </c>
      <c r="E99" t="inlineStr">
        <is>
          <t>grams</t>
        </is>
      </c>
      <c r="F99" t="inlineStr">
        <is>
          <t>child</t>
        </is>
      </c>
      <c r="G99" t="inlineStr"/>
      <c r="H99" t="n">
        <v>3</v>
      </c>
      <c r="I99" t="inlineStr">
        <is>
          <t>stock_net</t>
        </is>
      </c>
      <c r="J99" t="inlineStr"/>
      <c r="K99" t="inlineStr"/>
      <c r="L99" t="inlineStr"/>
      <c r="M99" t="b">
        <v>1</v>
      </c>
      <c r="N99" t="inlineStr">
        <is>
          <t>consider_stock=false</t>
        </is>
      </c>
      <c r="O99" t="inlineStr"/>
      <c r="P99" t="inlineStr"/>
      <c r="Q99" t="inlineStr"/>
      <c r="R99" t="inlineStr">
        <is>
          <t>50000</t>
        </is>
      </c>
      <c r="S99" t="inlineStr">
        <is>
          <t>58500.0585000585000585000585</t>
        </is>
      </c>
    </row>
    <row r="100">
      <c r="A100" t="n">
        <v>3</v>
      </c>
      <c r="B100" t="n">
        <v>1545</v>
      </c>
      <c r="C100" t="inlineStr">
        <is>
          <t>GFF580R - St</t>
        </is>
      </c>
      <c r="D100" t="inlineStr">
        <is>
          <t>Steamed Red Pepper and Carrot Barton (Simmers) - 580 - Steaming</t>
        </is>
      </c>
      <c r="E100" t="inlineStr">
        <is>
          <t>grams</t>
        </is>
      </c>
      <c r="F100" t="inlineStr">
        <is>
          <t>child</t>
        </is>
      </c>
      <c r="G100" t="inlineStr">
        <is>
          <t>110000 from parent 1000 × BOM 110. Stock not applied.</t>
        </is>
      </c>
      <c r="H100" t="n">
        <v>1</v>
      </c>
      <c r="I100" t="inlineStr">
        <is>
          <t>scale_bom</t>
        </is>
      </c>
      <c r="J100" t="inlineStr">
        <is>
          <t>parent_gross × bom_qty</t>
        </is>
      </c>
      <c r="K100" t="inlineStr">
        <is>
          <t>1000 × 110</t>
        </is>
      </c>
      <c r="L100" t="inlineStr">
        <is>
          <t>110000</t>
        </is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3</v>
      </c>
      <c r="B101" t="n">
        <v>1545</v>
      </c>
      <c r="C101" t="inlineStr">
        <is>
          <t>GFF580R - St</t>
        </is>
      </c>
      <c r="D101" t="inlineStr">
        <is>
          <t>Steamed Red Pepper and Carrot Barton (Simmers) - 580 - Steaming</t>
        </is>
      </c>
      <c r="E101" t="inlineStr">
        <is>
          <t>grams</t>
        </is>
      </c>
      <c r="F101" t="inlineStr">
        <is>
          <t>child</t>
        </is>
      </c>
      <c r="G101" t="inlineStr"/>
      <c r="H101" t="n">
        <v>2</v>
      </c>
      <c r="I101" t="inlineStr">
        <is>
          <t>gross</t>
        </is>
      </c>
      <c r="J101" t="inlineStr">
        <is>
          <t>net / recipe_yield</t>
        </is>
      </c>
      <c r="K101" t="inlineStr">
        <is>
          <t>110000 / 0.85 (recipe yield 85%)</t>
        </is>
      </c>
      <c r="L101" t="inlineStr">
        <is>
          <t>129411.7647058823529411764706</t>
        </is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3</v>
      </c>
      <c r="B102" t="n">
        <v>1545</v>
      </c>
      <c r="C102" t="inlineStr">
        <is>
          <t>GFF580R - St</t>
        </is>
      </c>
      <c r="D102" t="inlineStr">
        <is>
          <t>Steamed Red Pepper and Carrot Barton (Simmers) - 580 - Steaming</t>
        </is>
      </c>
      <c r="E102" t="inlineStr">
        <is>
          <t>grams</t>
        </is>
      </c>
      <c r="F102" t="inlineStr">
        <is>
          <t>child</t>
        </is>
      </c>
      <c r="G102" t="inlineStr"/>
      <c r="H102" t="n">
        <v>3</v>
      </c>
      <c r="I102" t="inlineStr">
        <is>
          <t>stock_net</t>
        </is>
      </c>
      <c r="J102" t="inlineStr"/>
      <c r="K102" t="inlineStr"/>
      <c r="L102" t="inlineStr"/>
      <c r="M102" t="b">
        <v>1</v>
      </c>
      <c r="N102" t="inlineStr">
        <is>
          <t>consider_stock=false</t>
        </is>
      </c>
      <c r="O102" t="inlineStr"/>
      <c r="P102" t="inlineStr"/>
      <c r="Q102" t="inlineStr"/>
      <c r="R102" t="inlineStr">
        <is>
          <t>110000</t>
        </is>
      </c>
      <c r="S102" t="inlineStr">
        <is>
          <t>129411.7647058823529411764706</t>
        </is>
      </c>
    </row>
    <row r="103">
      <c r="A103" t="n">
        <v>3</v>
      </c>
      <c r="B103" t="n">
        <v>1543</v>
      </c>
      <c r="C103" t="inlineStr">
        <is>
          <t>GFF578R - C</t>
        </is>
      </c>
      <c r="D103" t="inlineStr">
        <is>
          <t>Red Thai Curry Sauce (Simmers) - 578 - Cooking</t>
        </is>
      </c>
      <c r="E103" t="inlineStr">
        <is>
          <t>grams</t>
        </is>
      </c>
      <c r="F103" t="inlineStr">
        <is>
          <t>child</t>
        </is>
      </c>
      <c r="G103" t="inlineStr">
        <is>
          <t>90000 from parent 1000 × BOM 90. Stock not applied.</t>
        </is>
      </c>
      <c r="H103" t="n">
        <v>1</v>
      </c>
      <c r="I103" t="inlineStr">
        <is>
          <t>scale_bom</t>
        </is>
      </c>
      <c r="J103" t="inlineStr">
        <is>
          <t>parent_gross × bom_qty</t>
        </is>
      </c>
      <c r="K103" t="inlineStr">
        <is>
          <t>1000 × 90</t>
        </is>
      </c>
      <c r="L103" t="inlineStr">
        <is>
          <t>90000</t>
        </is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3</v>
      </c>
      <c r="B104" t="n">
        <v>1543</v>
      </c>
      <c r="C104" t="inlineStr">
        <is>
          <t>GFF578R - C</t>
        </is>
      </c>
      <c r="D104" t="inlineStr">
        <is>
          <t>Red Thai Curry Sauce (Simmers) - 578 - Cooking</t>
        </is>
      </c>
      <c r="E104" t="inlineStr">
        <is>
          <t>grams</t>
        </is>
      </c>
      <c r="F104" t="inlineStr">
        <is>
          <t>child</t>
        </is>
      </c>
      <c r="G104" t="inlineStr"/>
      <c r="H104" t="n">
        <v>2</v>
      </c>
      <c r="I104" t="inlineStr">
        <is>
          <t>gross</t>
        </is>
      </c>
      <c r="J104" t="inlineStr">
        <is>
          <t>net / recipe_yield</t>
        </is>
      </c>
      <c r="K104" t="inlineStr">
        <is>
          <t>90000 / 0.8252 (recipe yield 82.52%)</t>
        </is>
      </c>
      <c r="L104" t="inlineStr">
        <is>
          <t>109064.4692195831313620940378</t>
        </is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3</v>
      </c>
      <c r="B105" t="n">
        <v>1543</v>
      </c>
      <c r="C105" t="inlineStr">
        <is>
          <t>GFF578R - C</t>
        </is>
      </c>
      <c r="D105" t="inlineStr">
        <is>
          <t>Red Thai Curry Sauce (Simmers) - 578 - Cooking</t>
        </is>
      </c>
      <c r="E105" t="inlineStr">
        <is>
          <t>grams</t>
        </is>
      </c>
      <c r="F105" t="inlineStr">
        <is>
          <t>child</t>
        </is>
      </c>
      <c r="G105" t="inlineStr"/>
      <c r="H105" t="n">
        <v>3</v>
      </c>
      <c r="I105" t="inlineStr">
        <is>
          <t>stock_net</t>
        </is>
      </c>
      <c r="J105" t="inlineStr"/>
      <c r="K105" t="inlineStr"/>
      <c r="L105" t="inlineStr"/>
      <c r="M105" t="b">
        <v>1</v>
      </c>
      <c r="N105" t="inlineStr">
        <is>
          <t>consider_stock=false</t>
        </is>
      </c>
      <c r="O105" t="inlineStr"/>
      <c r="P105" t="inlineStr"/>
      <c r="Q105" t="inlineStr"/>
      <c r="R105" t="inlineStr">
        <is>
          <t>90000</t>
        </is>
      </c>
      <c r="S105" t="inlineStr">
        <is>
          <t>109064.4692195831313620940378</t>
        </is>
      </c>
    </row>
    <row r="106">
      <c r="A106" t="n">
        <v>3</v>
      </c>
      <c r="B106" t="n">
        <v>720</v>
      </c>
      <c r="C106" t="inlineStr">
        <is>
          <t>PKNOV001-02</t>
        </is>
      </c>
      <c r="D106" t="inlineStr">
        <is>
          <t>B187/45 Cuisine Kraft Tray</t>
        </is>
      </c>
      <c r="E106" t="inlineStr">
        <is>
          <t>TRAY</t>
        </is>
      </c>
      <c r="F106" t="inlineStr">
        <is>
          <t>child</t>
        </is>
      </c>
      <c r="G106" t="inlineStr">
        <is>
          <t>1000 from parent 1000 × BOM 1. Stock not applied.</t>
        </is>
      </c>
      <c r="H106" t="n">
        <v>1</v>
      </c>
      <c r="I106" t="inlineStr">
        <is>
          <t>scale_bom</t>
        </is>
      </c>
      <c r="J106" t="inlineStr">
        <is>
          <t>parent_gross × bom_qty</t>
        </is>
      </c>
      <c r="K106" t="inlineStr">
        <is>
          <t>1000 × 1</t>
        </is>
      </c>
      <c r="L106" t="inlineStr">
        <is>
          <t>1000</t>
        </is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3</v>
      </c>
      <c r="B107" t="n">
        <v>720</v>
      </c>
      <c r="C107" t="inlineStr">
        <is>
          <t>PKNOV001-02</t>
        </is>
      </c>
      <c r="D107" t="inlineStr">
        <is>
          <t>B187/45 Cuisine Kraft Tray</t>
        </is>
      </c>
      <c r="E107" t="inlineStr">
        <is>
          <t>TRAY</t>
        </is>
      </c>
      <c r="F107" t="inlineStr">
        <is>
          <t>child</t>
        </is>
      </c>
      <c r="G107" t="inlineStr"/>
      <c r="H107" t="n">
        <v>2</v>
      </c>
      <c r="I107" t="inlineStr">
        <is>
          <t>convert_uom</t>
        </is>
      </c>
      <c r="J107" t="inlineStr"/>
      <c r="K107" t="inlineStr">
        <is>
          <t>1000 grams</t>
        </is>
      </c>
      <c r="L107" t="inlineStr">
        <is>
          <t>1000 TRAY</t>
        </is>
      </c>
      <c r="M107" t="b">
        <v>1</v>
      </c>
      <c r="N107" t="inlineStr">
        <is>
          <t>missing_uom_conversion</t>
        </is>
      </c>
      <c r="O107" t="inlineStr"/>
      <c r="P107" t="inlineStr"/>
      <c r="Q107" t="inlineStr"/>
      <c r="R107" t="inlineStr"/>
      <c r="S107" t="inlineStr"/>
    </row>
    <row r="108">
      <c r="A108" t="n">
        <v>3</v>
      </c>
      <c r="B108" t="n">
        <v>720</v>
      </c>
      <c r="C108" t="inlineStr">
        <is>
          <t>PKNOV001-02</t>
        </is>
      </c>
      <c r="D108" t="inlineStr">
        <is>
          <t>B187/45 Cuisine Kraft Tray</t>
        </is>
      </c>
      <c r="E108" t="inlineStr">
        <is>
          <t>TRAY</t>
        </is>
      </c>
      <c r="F108" t="inlineStr">
        <is>
          <t>child</t>
        </is>
      </c>
      <c r="G108" t="inlineStr"/>
      <c r="H108" t="n">
        <v>3</v>
      </c>
      <c r="I108" t="inlineStr">
        <is>
          <t>gross</t>
        </is>
      </c>
      <c r="J108" t="inlineStr">
        <is>
          <t>net / recipe_yield</t>
        </is>
      </c>
      <c r="K108" t="inlineStr">
        <is>
          <t>1000 / 1 (recipe yield 100%)</t>
        </is>
      </c>
      <c r="L108" t="inlineStr">
        <is>
          <t>1000</t>
        </is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3</v>
      </c>
      <c r="B109" t="n">
        <v>720</v>
      </c>
      <c r="C109" t="inlineStr">
        <is>
          <t>PKNOV001-02</t>
        </is>
      </c>
      <c r="D109" t="inlineStr">
        <is>
          <t>B187/45 Cuisine Kraft Tray</t>
        </is>
      </c>
      <c r="E109" t="inlineStr">
        <is>
          <t>TRAY</t>
        </is>
      </c>
      <c r="F109" t="inlineStr">
        <is>
          <t>child</t>
        </is>
      </c>
      <c r="G109" t="inlineStr"/>
      <c r="H109" t="n">
        <v>4</v>
      </c>
      <c r="I109" t="inlineStr">
        <is>
          <t>stock_net</t>
        </is>
      </c>
      <c r="J109" t="inlineStr"/>
      <c r="K109" t="inlineStr"/>
      <c r="L109" t="inlineStr"/>
      <c r="M109" t="b">
        <v>1</v>
      </c>
      <c r="N109" t="inlineStr">
        <is>
          <t>consider_stock=false</t>
        </is>
      </c>
      <c r="O109" t="inlineStr"/>
      <c r="P109" t="inlineStr"/>
      <c r="Q109" t="inlineStr"/>
      <c r="R109" t="inlineStr">
        <is>
          <t>1000</t>
        </is>
      </c>
      <c r="S109" t="inlineStr">
        <is>
          <t>1000</t>
        </is>
      </c>
    </row>
    <row r="110">
      <c r="A110" t="n">
        <v>3</v>
      </c>
      <c r="B110" t="n">
        <v>620</v>
      </c>
      <c r="C110" t="inlineStr">
        <is>
          <t>GFF560R - St</t>
        </is>
      </c>
      <c r="D110" t="inlineStr">
        <is>
          <t>Coriander Marinated Chicken (Simmers) - 560 - Steaming</t>
        </is>
      </c>
      <c r="E110" t="inlineStr">
        <is>
          <t>grams</t>
        </is>
      </c>
      <c r="F110" t="inlineStr">
        <is>
          <t>child</t>
        </is>
      </c>
      <c r="G110" t="inlineStr">
        <is>
          <t>170000 from parent 1000 × BOM 170. Stock not applied.</t>
        </is>
      </c>
      <c r="H110" t="n">
        <v>1</v>
      </c>
      <c r="I110" t="inlineStr">
        <is>
          <t>scale_bom</t>
        </is>
      </c>
      <c r="J110" t="inlineStr">
        <is>
          <t>parent_gross × bom_qty</t>
        </is>
      </c>
      <c r="K110" t="inlineStr">
        <is>
          <t>1000 × 170</t>
        </is>
      </c>
      <c r="L110" t="inlineStr">
        <is>
          <t>170000</t>
        </is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3</v>
      </c>
      <c r="B111" t="n">
        <v>620</v>
      </c>
      <c r="C111" t="inlineStr">
        <is>
          <t>GFF560R - St</t>
        </is>
      </c>
      <c r="D111" t="inlineStr">
        <is>
          <t>Coriander Marinated Chicken (Simmers) - 560 - Steaming</t>
        </is>
      </c>
      <c r="E111" t="inlineStr">
        <is>
          <t>grams</t>
        </is>
      </c>
      <c r="F111" t="inlineStr">
        <is>
          <t>child</t>
        </is>
      </c>
      <c r="G111" t="inlineStr"/>
      <c r="H111" t="n">
        <v>2</v>
      </c>
      <c r="I111" t="inlineStr">
        <is>
          <t>gross</t>
        </is>
      </c>
      <c r="J111" t="inlineStr">
        <is>
          <t>net / recipe_yield</t>
        </is>
      </c>
      <c r="K111" t="inlineStr">
        <is>
          <t>170000 / 1 (recipe yield 100%)</t>
        </is>
      </c>
      <c r="L111" t="inlineStr">
        <is>
          <t>170000</t>
        </is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3</v>
      </c>
      <c r="B112" t="n">
        <v>620</v>
      </c>
      <c r="C112" t="inlineStr">
        <is>
          <t>GFF560R - St</t>
        </is>
      </c>
      <c r="D112" t="inlineStr">
        <is>
          <t>Coriander Marinated Chicken (Simmers) - 560 - Steaming</t>
        </is>
      </c>
      <c r="E112" t="inlineStr">
        <is>
          <t>grams</t>
        </is>
      </c>
      <c r="F112" t="inlineStr">
        <is>
          <t>child</t>
        </is>
      </c>
      <c r="G112" t="inlineStr"/>
      <c r="H112" t="n">
        <v>3</v>
      </c>
      <c r="I112" t="inlineStr">
        <is>
          <t>stock_net</t>
        </is>
      </c>
      <c r="J112" t="inlineStr"/>
      <c r="K112" t="inlineStr"/>
      <c r="L112" t="inlineStr"/>
      <c r="M112" t="b">
        <v>1</v>
      </c>
      <c r="N112" t="inlineStr">
        <is>
          <t>consider_stock=false</t>
        </is>
      </c>
      <c r="O112" t="inlineStr"/>
      <c r="P112" t="inlineStr"/>
      <c r="Q112" t="inlineStr"/>
      <c r="R112" t="inlineStr">
        <is>
          <t>170000</t>
        </is>
      </c>
      <c r="S112" t="inlineStr">
        <is>
          <t>170000</t>
        </is>
      </c>
    </row>
    <row r="113">
      <c r="A113" t="n">
        <v>3</v>
      </c>
      <c r="B113" t="n">
        <v>1544</v>
      </c>
      <c r="C113" t="inlineStr">
        <is>
          <t>GFF579R - C</t>
        </is>
      </c>
      <c r="D113" t="inlineStr">
        <is>
          <t>Thai Style Rice (Simmers) - 579 - Cooking</t>
        </is>
      </c>
      <c r="E113" t="inlineStr">
        <is>
          <t>grams</t>
        </is>
      </c>
      <c r="F113" t="inlineStr">
        <is>
          <t>child</t>
        </is>
      </c>
      <c r="G113" t="inlineStr">
        <is>
          <t>140000 from parent 1000 × BOM 140. Stock not applied.</t>
        </is>
      </c>
      <c r="H113" t="n">
        <v>1</v>
      </c>
      <c r="I113" t="inlineStr">
        <is>
          <t>scale_bom</t>
        </is>
      </c>
      <c r="J113" t="inlineStr">
        <is>
          <t>parent_gross × bom_qty</t>
        </is>
      </c>
      <c r="K113" t="inlineStr">
        <is>
          <t>1000 × 140</t>
        </is>
      </c>
      <c r="L113" t="inlineStr">
        <is>
          <t>140000</t>
        </is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3</v>
      </c>
      <c r="B114" t="n">
        <v>1544</v>
      </c>
      <c r="C114" t="inlineStr">
        <is>
          <t>GFF579R - C</t>
        </is>
      </c>
      <c r="D114" t="inlineStr">
        <is>
          <t>Thai Style Rice (Simmers) - 579 - Cooking</t>
        </is>
      </c>
      <c r="E114" t="inlineStr">
        <is>
          <t>grams</t>
        </is>
      </c>
      <c r="F114" t="inlineStr">
        <is>
          <t>child</t>
        </is>
      </c>
      <c r="G114" t="inlineStr"/>
      <c r="H114" t="n">
        <v>2</v>
      </c>
      <c r="I114" t="inlineStr">
        <is>
          <t>gross</t>
        </is>
      </c>
      <c r="J114" t="inlineStr">
        <is>
          <t>net / recipe_yield</t>
        </is>
      </c>
      <c r="K114" t="inlineStr">
        <is>
          <t>140000 / 0.8547 (recipe yield 85.47%)</t>
        </is>
      </c>
      <c r="L114" t="inlineStr">
        <is>
          <t>163800.1638001638001638001638</t>
        </is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3</v>
      </c>
      <c r="B115" t="n">
        <v>1544</v>
      </c>
      <c r="C115" t="inlineStr">
        <is>
          <t>GFF579R - C</t>
        </is>
      </c>
      <c r="D115" t="inlineStr">
        <is>
          <t>Thai Style Rice (Simmers) - 579 - Cooking</t>
        </is>
      </c>
      <c r="E115" t="inlineStr">
        <is>
          <t>grams</t>
        </is>
      </c>
      <c r="F115" t="inlineStr">
        <is>
          <t>child</t>
        </is>
      </c>
      <c r="G115" t="inlineStr"/>
      <c r="H115" t="n">
        <v>3</v>
      </c>
      <c r="I115" t="inlineStr">
        <is>
          <t>stock_net</t>
        </is>
      </c>
      <c r="J115" t="inlineStr"/>
      <c r="K115" t="inlineStr"/>
      <c r="L115" t="inlineStr"/>
      <c r="M115" t="b">
        <v>1</v>
      </c>
      <c r="N115" t="inlineStr">
        <is>
          <t>consider_stock=false</t>
        </is>
      </c>
      <c r="O115" t="inlineStr"/>
      <c r="P115" t="inlineStr"/>
      <c r="Q115" t="inlineStr"/>
      <c r="R115" t="inlineStr">
        <is>
          <t>140000</t>
        </is>
      </c>
      <c r="S115" t="inlineStr">
        <is>
          <t>163800.1638001638001638001638</t>
        </is>
      </c>
    </row>
    <row r="116">
      <c r="A116" t="n">
        <v>3</v>
      </c>
      <c r="B116" t="n">
        <v>1543</v>
      </c>
      <c r="C116" t="inlineStr">
        <is>
          <t>GFF578R - C</t>
        </is>
      </c>
      <c r="D116" t="inlineStr">
        <is>
          <t>Red Thai Curry Sauce (Simmers) - 578 - Cooking</t>
        </is>
      </c>
      <c r="E116" t="inlineStr">
        <is>
          <t>grams</t>
        </is>
      </c>
      <c r="F116" t="inlineStr">
        <is>
          <t>child</t>
        </is>
      </c>
      <c r="G116" t="inlineStr">
        <is>
          <t>130000 from parent 1000 × BOM 130. Stock not applied.</t>
        </is>
      </c>
      <c r="H116" t="n">
        <v>1</v>
      </c>
      <c r="I116" t="inlineStr">
        <is>
          <t>scale_bom</t>
        </is>
      </c>
      <c r="J116" t="inlineStr">
        <is>
          <t>parent_gross × bom_qty</t>
        </is>
      </c>
      <c r="K116" t="inlineStr">
        <is>
          <t>1000 × 130</t>
        </is>
      </c>
      <c r="L116" t="inlineStr">
        <is>
          <t>130000</t>
        </is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3</v>
      </c>
      <c r="B117" t="n">
        <v>1543</v>
      </c>
      <c r="C117" t="inlineStr">
        <is>
          <t>GFF578R - C</t>
        </is>
      </c>
      <c r="D117" t="inlineStr">
        <is>
          <t>Red Thai Curry Sauce (Simmers) - 578 - Cooking</t>
        </is>
      </c>
      <c r="E117" t="inlineStr">
        <is>
          <t>grams</t>
        </is>
      </c>
      <c r="F117" t="inlineStr">
        <is>
          <t>child</t>
        </is>
      </c>
      <c r="G117" t="inlineStr"/>
      <c r="H117" t="n">
        <v>2</v>
      </c>
      <c r="I117" t="inlineStr">
        <is>
          <t>gross</t>
        </is>
      </c>
      <c r="J117" t="inlineStr">
        <is>
          <t>net / recipe_yield</t>
        </is>
      </c>
      <c r="K117" t="inlineStr">
        <is>
          <t>130000 / 0.8252 (recipe yield 82.52%)</t>
        </is>
      </c>
      <c r="L117" t="inlineStr">
        <is>
          <t>157537.5666505089675230247213</t>
        </is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3</v>
      </c>
      <c r="B118" t="n">
        <v>1543</v>
      </c>
      <c r="C118" t="inlineStr">
        <is>
          <t>GFF578R - C</t>
        </is>
      </c>
      <c r="D118" t="inlineStr">
        <is>
          <t>Red Thai Curry Sauce (Simmers) - 578 - Cooking</t>
        </is>
      </c>
      <c r="E118" t="inlineStr">
        <is>
          <t>grams</t>
        </is>
      </c>
      <c r="F118" t="inlineStr">
        <is>
          <t>child</t>
        </is>
      </c>
      <c r="G118" t="inlineStr"/>
      <c r="H118" t="n">
        <v>3</v>
      </c>
      <c r="I118" t="inlineStr">
        <is>
          <t>stock_net</t>
        </is>
      </c>
      <c r="J118" t="inlineStr"/>
      <c r="K118" t="inlineStr"/>
      <c r="L118" t="inlineStr"/>
      <c r="M118" t="b">
        <v>1</v>
      </c>
      <c r="N118" t="inlineStr">
        <is>
          <t>consider_stock=false</t>
        </is>
      </c>
      <c r="O118" t="inlineStr"/>
      <c r="P118" t="inlineStr"/>
      <c r="Q118" t="inlineStr"/>
      <c r="R118" t="inlineStr">
        <is>
          <t>130000</t>
        </is>
      </c>
      <c r="S118" t="inlineStr">
        <is>
          <t>157537.5666505089675230247213</t>
        </is>
      </c>
    </row>
    <row r="119">
      <c r="A119" t="n">
        <v>3</v>
      </c>
      <c r="B119" t="n">
        <v>1545</v>
      </c>
      <c r="C119" t="inlineStr">
        <is>
          <t>GFF580R - St</t>
        </is>
      </c>
      <c r="D119" t="inlineStr">
        <is>
          <t>Steamed Red Pepper and Carrot Barton (Simmers) - 580 - Steaming</t>
        </is>
      </c>
      <c r="E119" t="inlineStr">
        <is>
          <t>grams</t>
        </is>
      </c>
      <c r="F119" t="inlineStr">
        <is>
          <t>child</t>
        </is>
      </c>
      <c r="G119" t="inlineStr">
        <is>
          <t>105000 from parent 1000 × BOM 105. Stock not applied.</t>
        </is>
      </c>
      <c r="H119" t="n">
        <v>1</v>
      </c>
      <c r="I119" t="inlineStr">
        <is>
          <t>scale_bom</t>
        </is>
      </c>
      <c r="J119" t="inlineStr">
        <is>
          <t>parent_gross × bom_qty</t>
        </is>
      </c>
      <c r="K119" t="inlineStr">
        <is>
          <t>1000 × 105</t>
        </is>
      </c>
      <c r="L119" t="inlineStr">
        <is>
          <t>105000</t>
        </is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3</v>
      </c>
      <c r="B120" t="n">
        <v>1545</v>
      </c>
      <c r="C120" t="inlineStr">
        <is>
          <t>GFF580R - St</t>
        </is>
      </c>
      <c r="D120" t="inlineStr">
        <is>
          <t>Steamed Red Pepper and Carrot Barton (Simmers) - 580 - Steaming</t>
        </is>
      </c>
      <c r="E120" t="inlineStr">
        <is>
          <t>grams</t>
        </is>
      </c>
      <c r="F120" t="inlineStr">
        <is>
          <t>child</t>
        </is>
      </c>
      <c r="G120" t="inlineStr"/>
      <c r="H120" t="n">
        <v>2</v>
      </c>
      <c r="I120" t="inlineStr">
        <is>
          <t>gross</t>
        </is>
      </c>
      <c r="J120" t="inlineStr">
        <is>
          <t>net / recipe_yield</t>
        </is>
      </c>
      <c r="K120" t="inlineStr">
        <is>
          <t>105000 / 0.85 (recipe yield 85%)</t>
        </is>
      </c>
      <c r="L120" t="inlineStr">
        <is>
          <t>123529.4117647058823529411765</t>
        </is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3</v>
      </c>
      <c r="B121" t="n">
        <v>1545</v>
      </c>
      <c r="C121" t="inlineStr">
        <is>
          <t>GFF580R - St</t>
        </is>
      </c>
      <c r="D121" t="inlineStr">
        <is>
          <t>Steamed Red Pepper and Carrot Barton (Simmers) - 580 - Steaming</t>
        </is>
      </c>
      <c r="E121" t="inlineStr">
        <is>
          <t>grams</t>
        </is>
      </c>
      <c r="F121" t="inlineStr">
        <is>
          <t>child</t>
        </is>
      </c>
      <c r="G121" t="inlineStr"/>
      <c r="H121" t="n">
        <v>3</v>
      </c>
      <c r="I121" t="inlineStr">
        <is>
          <t>stock_net</t>
        </is>
      </c>
      <c r="J121" t="inlineStr"/>
      <c r="K121" t="inlineStr"/>
      <c r="L121" t="inlineStr"/>
      <c r="M121" t="b">
        <v>1</v>
      </c>
      <c r="N121" t="inlineStr">
        <is>
          <t>consider_stock=false</t>
        </is>
      </c>
      <c r="O121" t="inlineStr"/>
      <c r="P121" t="inlineStr"/>
      <c r="Q121" t="inlineStr"/>
      <c r="R121" t="inlineStr">
        <is>
          <t>105000</t>
        </is>
      </c>
      <c r="S121" t="inlineStr">
        <is>
          <t>123529.4117647058823529411765</t>
        </is>
      </c>
    </row>
    <row r="122">
      <c r="A122" t="n">
        <v>3</v>
      </c>
      <c r="B122" t="n">
        <v>719</v>
      </c>
      <c r="C122" t="inlineStr">
        <is>
          <t>PKNOV001-01</t>
        </is>
      </c>
      <c r="D122" t="inlineStr">
        <is>
          <t>B187/60 Cuisine Kraft Tray</t>
        </is>
      </c>
      <c r="E122" t="inlineStr">
        <is>
          <t>TRAY</t>
        </is>
      </c>
      <c r="F122" t="inlineStr">
        <is>
          <t>child</t>
        </is>
      </c>
      <c r="G122" t="inlineStr">
        <is>
          <t>1000 from parent 1000 × BOM 1. Stock not applied.</t>
        </is>
      </c>
      <c r="H122" t="n">
        <v>1</v>
      </c>
      <c r="I122" t="inlineStr">
        <is>
          <t>scale_bom</t>
        </is>
      </c>
      <c r="J122" t="inlineStr">
        <is>
          <t>parent_gross × bom_qty</t>
        </is>
      </c>
      <c r="K122" t="inlineStr">
        <is>
          <t>1000 × 1</t>
        </is>
      </c>
      <c r="L122" t="inlineStr">
        <is>
          <t>1000</t>
        </is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3</v>
      </c>
      <c r="B123" t="n">
        <v>719</v>
      </c>
      <c r="C123" t="inlineStr">
        <is>
          <t>PKNOV001-01</t>
        </is>
      </c>
      <c r="D123" t="inlineStr">
        <is>
          <t>B187/60 Cuisine Kraft Tray</t>
        </is>
      </c>
      <c r="E123" t="inlineStr">
        <is>
          <t>TRAY</t>
        </is>
      </c>
      <c r="F123" t="inlineStr">
        <is>
          <t>child</t>
        </is>
      </c>
      <c r="G123" t="inlineStr"/>
      <c r="H123" t="n">
        <v>2</v>
      </c>
      <c r="I123" t="inlineStr">
        <is>
          <t>convert_uom</t>
        </is>
      </c>
      <c r="J123" t="inlineStr"/>
      <c r="K123" t="inlineStr">
        <is>
          <t>1000 grams</t>
        </is>
      </c>
      <c r="L123" t="inlineStr">
        <is>
          <t>1000 TRAY</t>
        </is>
      </c>
      <c r="M123" t="b">
        <v>1</v>
      </c>
      <c r="N123" t="inlineStr">
        <is>
          <t>missing_uom_conversion</t>
        </is>
      </c>
      <c r="O123" t="inlineStr"/>
      <c r="P123" t="inlineStr"/>
      <c r="Q123" t="inlineStr"/>
      <c r="R123" t="inlineStr"/>
      <c r="S123" t="inlineStr"/>
    </row>
    <row r="124">
      <c r="A124" t="n">
        <v>3</v>
      </c>
      <c r="B124" t="n">
        <v>719</v>
      </c>
      <c r="C124" t="inlineStr">
        <is>
          <t>PKNOV001-01</t>
        </is>
      </c>
      <c r="D124" t="inlineStr">
        <is>
          <t>B187/60 Cuisine Kraft Tray</t>
        </is>
      </c>
      <c r="E124" t="inlineStr">
        <is>
          <t>TRAY</t>
        </is>
      </c>
      <c r="F124" t="inlineStr">
        <is>
          <t>child</t>
        </is>
      </c>
      <c r="G124" t="inlineStr"/>
      <c r="H124" t="n">
        <v>3</v>
      </c>
      <c r="I124" t="inlineStr">
        <is>
          <t>gross</t>
        </is>
      </c>
      <c r="J124" t="inlineStr">
        <is>
          <t>net / recipe_yield</t>
        </is>
      </c>
      <c r="K124" t="inlineStr">
        <is>
          <t>1000 / 1 (recipe yield 100%)</t>
        </is>
      </c>
      <c r="L124" t="inlineStr">
        <is>
          <t>1000</t>
        </is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3</v>
      </c>
      <c r="B125" t="n">
        <v>719</v>
      </c>
      <c r="C125" t="inlineStr">
        <is>
          <t>PKNOV001-01</t>
        </is>
      </c>
      <c r="D125" t="inlineStr">
        <is>
          <t>B187/60 Cuisine Kraft Tray</t>
        </is>
      </c>
      <c r="E125" t="inlineStr">
        <is>
          <t>TRAY</t>
        </is>
      </c>
      <c r="F125" t="inlineStr">
        <is>
          <t>child</t>
        </is>
      </c>
      <c r="G125" t="inlineStr"/>
      <c r="H125" t="n">
        <v>4</v>
      </c>
      <c r="I125" t="inlineStr">
        <is>
          <t>stock_net</t>
        </is>
      </c>
      <c r="J125" t="inlineStr"/>
      <c r="K125" t="inlineStr"/>
      <c r="L125" t="inlineStr"/>
      <c r="M125" t="b">
        <v>1</v>
      </c>
      <c r="N125" t="inlineStr">
        <is>
          <t>consider_stock=false</t>
        </is>
      </c>
      <c r="O125" t="inlineStr"/>
      <c r="P125" t="inlineStr"/>
      <c r="Q125" t="inlineStr"/>
      <c r="R125" t="inlineStr">
        <is>
          <t>1000</t>
        </is>
      </c>
      <c r="S125" t="inlineStr">
        <is>
          <t>1000</t>
        </is>
      </c>
    </row>
    <row r="126">
      <c r="A126" t="n">
        <v>4</v>
      </c>
      <c r="B126" t="n">
        <v>341</v>
      </c>
      <c r="C126" t="inlineStr">
        <is>
          <t>VEGFRO-69</t>
        </is>
      </c>
      <c r="D126" t="inlineStr">
        <is>
          <t>IQF Penne Pasta 1 x 15k</t>
        </is>
      </c>
      <c r="E126" t="inlineStr">
        <is>
          <t>grams</t>
        </is>
      </c>
      <c r="F126" t="inlineStr">
        <is>
          <t>child</t>
        </is>
      </c>
      <c r="G126" t="inlineStr">
        <is>
          <t>600000 from parent 600000 × BOM 100000 / batch_quantity 100000. Stock not applied.</t>
        </is>
      </c>
      <c r="H126" t="n">
        <v>1</v>
      </c>
      <c r="I126" t="inlineStr">
        <is>
          <t>scale_bom</t>
        </is>
      </c>
      <c r="J126" t="inlineStr">
        <is>
          <t>parent_gross × bom_qty / batch_quantity</t>
        </is>
      </c>
      <c r="K126" t="inlineStr">
        <is>
          <t>600000 × 100000 / 100000</t>
        </is>
      </c>
      <c r="L126" t="inlineStr">
        <is>
          <t>600000</t>
        </is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4</v>
      </c>
      <c r="B127" t="n">
        <v>341</v>
      </c>
      <c r="C127" t="inlineStr">
        <is>
          <t>VEGFRO-69</t>
        </is>
      </c>
      <c r="D127" t="inlineStr">
        <is>
          <t>IQF Penne Pasta 1 x 15k</t>
        </is>
      </c>
      <c r="E127" t="inlineStr">
        <is>
          <t>grams</t>
        </is>
      </c>
      <c r="F127" t="inlineStr">
        <is>
          <t>child</t>
        </is>
      </c>
      <c r="G127" t="inlineStr"/>
      <c r="H127" t="n">
        <v>2</v>
      </c>
      <c r="I127" t="inlineStr">
        <is>
          <t>gross</t>
        </is>
      </c>
      <c r="J127" t="inlineStr">
        <is>
          <t>net / recipe_yield</t>
        </is>
      </c>
      <c r="K127" t="inlineStr">
        <is>
          <t>600000 / 1 (recipe yield 100%)</t>
        </is>
      </c>
      <c r="L127" t="inlineStr">
        <is>
          <t>600000</t>
        </is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4</v>
      </c>
      <c r="B128" t="n">
        <v>341</v>
      </c>
      <c r="C128" t="inlineStr">
        <is>
          <t>VEGFRO-69</t>
        </is>
      </c>
      <c r="D128" t="inlineStr">
        <is>
          <t>IQF Penne Pasta 1 x 15k</t>
        </is>
      </c>
      <c r="E128" t="inlineStr">
        <is>
          <t>grams</t>
        </is>
      </c>
      <c r="F128" t="inlineStr">
        <is>
          <t>child</t>
        </is>
      </c>
      <c r="G128" t="inlineStr"/>
      <c r="H128" t="n">
        <v>3</v>
      </c>
      <c r="I128" t="inlineStr">
        <is>
          <t>stock_net</t>
        </is>
      </c>
      <c r="J128" t="inlineStr"/>
      <c r="K128" t="inlineStr"/>
      <c r="L128" t="inlineStr"/>
      <c r="M128" t="b">
        <v>1</v>
      </c>
      <c r="N128" t="inlineStr">
        <is>
          <t>consider_stock=false</t>
        </is>
      </c>
      <c r="O128" t="inlineStr"/>
      <c r="P128" t="inlineStr"/>
      <c r="Q128" t="inlineStr"/>
      <c r="R128" t="inlineStr">
        <is>
          <t>600000</t>
        </is>
      </c>
      <c r="S128" t="inlineStr">
        <is>
          <t>600000</t>
        </is>
      </c>
    </row>
    <row r="129">
      <c r="A129" t="n">
        <v>4</v>
      </c>
      <c r="B129" t="n">
        <v>1539</v>
      </c>
      <c r="C129" t="inlineStr">
        <is>
          <t>GFF574R - Ma</t>
        </is>
      </c>
      <c r="D129" t="inlineStr">
        <is>
          <t>Pesto Marinated Chicken (Simmers) - 574 - Marination</t>
        </is>
      </c>
      <c r="E129" t="inlineStr">
        <is>
          <t>grams</t>
        </is>
      </c>
      <c r="F129" t="inlineStr">
        <is>
          <t>child</t>
        </is>
      </c>
      <c r="G129" t="inlineStr">
        <is>
          <t>550000 from parent 550000 × BOM 169150 / batch_quantity 169150. Stock not applied.</t>
        </is>
      </c>
      <c r="H129" t="n">
        <v>1</v>
      </c>
      <c r="I129" t="inlineStr">
        <is>
          <t>scale_bom</t>
        </is>
      </c>
      <c r="J129" t="inlineStr">
        <is>
          <t>parent_gross × bom_qty / batch_quantity</t>
        </is>
      </c>
      <c r="K129" t="inlineStr">
        <is>
          <t>550000 × 169150 / 169150</t>
        </is>
      </c>
      <c r="L129" t="inlineStr">
        <is>
          <t>550000</t>
        </is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4</v>
      </c>
      <c r="B130" t="n">
        <v>1539</v>
      </c>
      <c r="C130" t="inlineStr">
        <is>
          <t>GFF574R - Ma</t>
        </is>
      </c>
      <c r="D130" t="inlineStr">
        <is>
          <t>Pesto Marinated Chicken (Simmers) - 574 - Marination</t>
        </is>
      </c>
      <c r="E130" t="inlineStr">
        <is>
          <t>grams</t>
        </is>
      </c>
      <c r="F130" t="inlineStr">
        <is>
          <t>child</t>
        </is>
      </c>
      <c r="G130" t="inlineStr"/>
      <c r="H130" t="n">
        <v>2</v>
      </c>
      <c r="I130" t="inlineStr">
        <is>
          <t>gross</t>
        </is>
      </c>
      <c r="J130" t="inlineStr">
        <is>
          <t>net / recipe_yield</t>
        </is>
      </c>
      <c r="K130" t="inlineStr">
        <is>
          <t>550000 / 0.6798 (recipe yield 67.98%)</t>
        </is>
      </c>
      <c r="L130" t="inlineStr">
        <is>
          <t>809061.4886731391585760517799</t>
        </is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4</v>
      </c>
      <c r="B131" t="n">
        <v>1539</v>
      </c>
      <c r="C131" t="inlineStr">
        <is>
          <t>GFF574R - Ma</t>
        </is>
      </c>
      <c r="D131" t="inlineStr">
        <is>
          <t>Pesto Marinated Chicken (Simmers) - 574 - Marination</t>
        </is>
      </c>
      <c r="E131" t="inlineStr">
        <is>
          <t>grams</t>
        </is>
      </c>
      <c r="F131" t="inlineStr">
        <is>
          <t>child</t>
        </is>
      </c>
      <c r="G131" t="inlineStr"/>
      <c r="H131" t="n">
        <v>3</v>
      </c>
      <c r="I131" t="inlineStr">
        <is>
          <t>stock_net</t>
        </is>
      </c>
      <c r="J131" t="inlineStr"/>
      <c r="K131" t="inlineStr"/>
      <c r="L131" t="inlineStr"/>
      <c r="M131" t="b">
        <v>1</v>
      </c>
      <c r="N131" t="inlineStr">
        <is>
          <t>consider_stock=false</t>
        </is>
      </c>
      <c r="O131" t="inlineStr"/>
      <c r="P131" t="inlineStr"/>
      <c r="Q131" t="inlineStr"/>
      <c r="R131" t="inlineStr">
        <is>
          <t>550000</t>
        </is>
      </c>
      <c r="S131" t="inlineStr">
        <is>
          <t>809061.4886731391585760517799</t>
        </is>
      </c>
    </row>
    <row r="132">
      <c r="A132" t="n">
        <v>4</v>
      </c>
      <c r="B132" t="n">
        <v>8</v>
      </c>
      <c r="C132" t="inlineStr">
        <is>
          <t>VEGFRO-07</t>
        </is>
      </c>
      <c r="D132" t="inlineStr">
        <is>
          <t>SWEET POTATO DICED 10MM (FROZEN)</t>
        </is>
      </c>
      <c r="E132" t="inlineStr">
        <is>
          <t>grams</t>
        </is>
      </c>
      <c r="F132" t="inlineStr">
        <is>
          <t>child</t>
        </is>
      </c>
      <c r="G132" t="inlineStr">
        <is>
          <t>176470.5882352941176470588236 from parent 352941.1764705882352941176471 × BOM 50000 / batch_quantity 100000. Stock not applied.</t>
        </is>
      </c>
      <c r="H132" t="n">
        <v>1</v>
      </c>
      <c r="I132" t="inlineStr">
        <is>
          <t>scale_bom</t>
        </is>
      </c>
      <c r="J132" t="inlineStr">
        <is>
          <t>parent_gross × bom_qty / batch_quantity</t>
        </is>
      </c>
      <c r="K132" t="inlineStr">
        <is>
          <t>352941.1764705882352941176471 × 50000 / 100000</t>
        </is>
      </c>
      <c r="L132" t="inlineStr">
        <is>
          <t>176470.5882352941176470588236</t>
        </is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4</v>
      </c>
      <c r="B133" t="n">
        <v>8</v>
      </c>
      <c r="C133" t="inlineStr">
        <is>
          <t>VEGFRO-07</t>
        </is>
      </c>
      <c r="D133" t="inlineStr">
        <is>
          <t>SWEET POTATO DICED 10MM (FROZEN)</t>
        </is>
      </c>
      <c r="E133" t="inlineStr">
        <is>
          <t>grams</t>
        </is>
      </c>
      <c r="F133" t="inlineStr">
        <is>
          <t>child</t>
        </is>
      </c>
      <c r="G133" t="inlineStr"/>
      <c r="H133" t="n">
        <v>2</v>
      </c>
      <c r="I133" t="inlineStr">
        <is>
          <t>gross</t>
        </is>
      </c>
      <c r="J133" t="inlineStr">
        <is>
          <t>net / recipe_yield</t>
        </is>
      </c>
      <c r="K133" t="inlineStr">
        <is>
          <t>176470.5882352941176470588236 / 1 (recipe yield 100%)</t>
        </is>
      </c>
      <c r="L133" t="inlineStr">
        <is>
          <t>176470.5882352941176470588236</t>
        </is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4</v>
      </c>
      <c r="B134" t="n">
        <v>8</v>
      </c>
      <c r="C134" t="inlineStr">
        <is>
          <t>VEGFRO-07</t>
        </is>
      </c>
      <c r="D134" t="inlineStr">
        <is>
          <t>SWEET POTATO DICED 10MM (FROZEN)</t>
        </is>
      </c>
      <c r="E134" t="inlineStr">
        <is>
          <t>grams</t>
        </is>
      </c>
      <c r="F134" t="inlineStr">
        <is>
          <t>child</t>
        </is>
      </c>
      <c r="G134" t="inlineStr"/>
      <c r="H134" t="n">
        <v>3</v>
      </c>
      <c r="I134" t="inlineStr">
        <is>
          <t>stock_net</t>
        </is>
      </c>
      <c r="J134" t="inlineStr"/>
      <c r="K134" t="inlineStr"/>
      <c r="L134" t="inlineStr"/>
      <c r="M134" t="b">
        <v>1</v>
      </c>
      <c r="N134" t="inlineStr">
        <is>
          <t>consider_stock=false</t>
        </is>
      </c>
      <c r="O134" t="inlineStr"/>
      <c r="P134" t="inlineStr"/>
      <c r="Q134" t="inlineStr"/>
      <c r="R134" t="inlineStr">
        <is>
          <t>176470.5882352941176470588236</t>
        </is>
      </c>
      <c r="S134" t="inlineStr">
        <is>
          <t>176470.5882352941176470588236</t>
        </is>
      </c>
    </row>
    <row r="135">
      <c r="A135" t="n">
        <v>4</v>
      </c>
      <c r="B135" t="n">
        <v>470</v>
      </c>
      <c r="C135" t="inlineStr">
        <is>
          <t>VEGCHI-55</t>
        </is>
      </c>
      <c r="D135" t="inlineStr">
        <is>
          <t>GREEN BEANS DICED 12MM</t>
        </is>
      </c>
      <c r="E135" t="inlineStr">
        <is>
          <t>grams</t>
        </is>
      </c>
      <c r="F135" t="inlineStr">
        <is>
          <t>child</t>
        </is>
      </c>
      <c r="G135" t="inlineStr">
        <is>
          <t>176470.5882352941176470588236 from parent 352941.1764705882352941176471 × BOM 50000 / batch_quantity 100000. Stock not applied.</t>
        </is>
      </c>
      <c r="H135" t="n">
        <v>1</v>
      </c>
      <c r="I135" t="inlineStr">
        <is>
          <t>scale_bom</t>
        </is>
      </c>
      <c r="J135" t="inlineStr">
        <is>
          <t>parent_gross × bom_qty / batch_quantity</t>
        </is>
      </c>
      <c r="K135" t="inlineStr">
        <is>
          <t>352941.1764705882352941176471 × 50000 / 100000</t>
        </is>
      </c>
      <c r="L135" t="inlineStr">
        <is>
          <t>176470.5882352941176470588236</t>
        </is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4</v>
      </c>
      <c r="B136" t="n">
        <v>470</v>
      </c>
      <c r="C136" t="inlineStr">
        <is>
          <t>VEGCHI-55</t>
        </is>
      </c>
      <c r="D136" t="inlineStr">
        <is>
          <t>GREEN BEANS DICED 12MM</t>
        </is>
      </c>
      <c r="E136" t="inlineStr">
        <is>
          <t>grams</t>
        </is>
      </c>
      <c r="F136" t="inlineStr">
        <is>
          <t>child</t>
        </is>
      </c>
      <c r="G136" t="inlineStr"/>
      <c r="H136" t="n">
        <v>2</v>
      </c>
      <c r="I136" t="inlineStr">
        <is>
          <t>gross</t>
        </is>
      </c>
      <c r="J136" t="inlineStr">
        <is>
          <t>net / recipe_yield</t>
        </is>
      </c>
      <c r="K136" t="inlineStr">
        <is>
          <t>176470.5882352941176470588236 / 1 (recipe yield 100%)</t>
        </is>
      </c>
      <c r="L136" t="inlineStr">
        <is>
          <t>176470.5882352941176470588236</t>
        </is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4</v>
      </c>
      <c r="B137" t="n">
        <v>470</v>
      </c>
      <c r="C137" t="inlineStr">
        <is>
          <t>VEGCHI-55</t>
        </is>
      </c>
      <c r="D137" t="inlineStr">
        <is>
          <t>GREEN BEANS DICED 12MM</t>
        </is>
      </c>
      <c r="E137" t="inlineStr">
        <is>
          <t>grams</t>
        </is>
      </c>
      <c r="F137" t="inlineStr">
        <is>
          <t>child</t>
        </is>
      </c>
      <c r="G137" t="inlineStr"/>
      <c r="H137" t="n">
        <v>3</v>
      </c>
      <c r="I137" t="inlineStr">
        <is>
          <t>stock_net</t>
        </is>
      </c>
      <c r="J137" t="inlineStr"/>
      <c r="K137" t="inlineStr"/>
      <c r="L137" t="inlineStr"/>
      <c r="M137" t="b">
        <v>1</v>
      </c>
      <c r="N137" t="inlineStr">
        <is>
          <t>consider_stock=false</t>
        </is>
      </c>
      <c r="O137" t="inlineStr"/>
      <c r="P137" t="inlineStr"/>
      <c r="Q137" t="inlineStr"/>
      <c r="R137" t="inlineStr">
        <is>
          <t>176470.5882352941176470588236</t>
        </is>
      </c>
      <c r="S137" t="inlineStr">
        <is>
          <t>176470.5882352941176470588236</t>
        </is>
      </c>
    </row>
    <row r="138">
      <c r="A138" t="n">
        <v>4</v>
      </c>
      <c r="B138" t="n">
        <v>824</v>
      </c>
      <c r="C138" t="inlineStr">
        <is>
          <t>AFFINITY-S1</t>
        </is>
      </c>
      <c r="D138" t="inlineStr">
        <is>
          <t>Water</t>
        </is>
      </c>
      <c r="E138" t="inlineStr">
        <is>
          <t>grams</t>
        </is>
      </c>
      <c r="F138" t="inlineStr">
        <is>
          <t>child</t>
        </is>
      </c>
      <c r="G138" t="inlineStr">
        <is>
          <t>175015.5326285207812193332158 from parent 582343.3496389471232238527836 × BOM 42000 / batch_quantity 139750. Stock not applied.</t>
        </is>
      </c>
      <c r="H138" t="n">
        <v>1</v>
      </c>
      <c r="I138" t="inlineStr">
        <is>
          <t>scale_bom</t>
        </is>
      </c>
      <c r="J138" t="inlineStr">
        <is>
          <t>parent_gross × bom_qty / batch_quantity</t>
        </is>
      </c>
      <c r="K138" t="inlineStr">
        <is>
          <t>582343.3496389471232238527836 × 42000 / 139750</t>
        </is>
      </c>
      <c r="L138" t="inlineStr">
        <is>
          <t>175015.5326285207812193332158</t>
        </is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4</v>
      </c>
      <c r="B139" t="n">
        <v>824</v>
      </c>
      <c r="C139" t="inlineStr">
        <is>
          <t>AFFINITY-S1</t>
        </is>
      </c>
      <c r="D139" t="inlineStr">
        <is>
          <t>Water</t>
        </is>
      </c>
      <c r="E139" t="inlineStr">
        <is>
          <t>grams</t>
        </is>
      </c>
      <c r="F139" t="inlineStr">
        <is>
          <t>child</t>
        </is>
      </c>
      <c r="G139" t="inlineStr"/>
      <c r="H139" t="n">
        <v>2</v>
      </c>
      <c r="I139" t="inlineStr">
        <is>
          <t>gross</t>
        </is>
      </c>
      <c r="J139" t="inlineStr">
        <is>
          <t>net / recipe_yield</t>
        </is>
      </c>
      <c r="K139" t="inlineStr">
        <is>
          <t>175015.5326285207812193332158 / 1 (recipe yield 100%)</t>
        </is>
      </c>
      <c r="L139" t="inlineStr">
        <is>
          <t>175015.5326285207812193332158</t>
        </is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4</v>
      </c>
      <c r="B140" t="n">
        <v>824</v>
      </c>
      <c r="C140" t="inlineStr">
        <is>
          <t>AFFINITY-S1</t>
        </is>
      </c>
      <c r="D140" t="inlineStr">
        <is>
          <t>Water</t>
        </is>
      </c>
      <c r="E140" t="inlineStr">
        <is>
          <t>grams</t>
        </is>
      </c>
      <c r="F140" t="inlineStr">
        <is>
          <t>child</t>
        </is>
      </c>
      <c r="G140" t="inlineStr"/>
      <c r="H140" t="n">
        <v>3</v>
      </c>
      <c r="I140" t="inlineStr">
        <is>
          <t>stock_net</t>
        </is>
      </c>
      <c r="J140" t="inlineStr"/>
      <c r="K140" t="inlineStr"/>
      <c r="L140" t="inlineStr"/>
      <c r="M140" t="b">
        <v>1</v>
      </c>
      <c r="N140" t="inlineStr">
        <is>
          <t>consider_stock=false</t>
        </is>
      </c>
      <c r="O140" t="inlineStr"/>
      <c r="P140" t="inlineStr"/>
      <c r="Q140" t="inlineStr"/>
      <c r="R140" t="inlineStr">
        <is>
          <t>175015.5326285207812193332158</t>
        </is>
      </c>
      <c r="S140" t="inlineStr">
        <is>
          <t>175015.5326285207812193332158</t>
        </is>
      </c>
    </row>
    <row r="141">
      <c r="A141" t="n">
        <v>4</v>
      </c>
      <c r="B141" t="n">
        <v>127</v>
      </c>
      <c r="C141" t="inlineStr">
        <is>
          <t>SAUCE0-01</t>
        </is>
      </c>
      <c r="D141" t="inlineStr">
        <is>
          <t>TOMATO CRUSHED (BLENDED)</t>
        </is>
      </c>
      <c r="E141" t="inlineStr">
        <is>
          <t>grams</t>
        </is>
      </c>
      <c r="F141" t="inlineStr">
        <is>
          <t>child</t>
        </is>
      </c>
      <c r="G141" t="inlineStr">
        <is>
          <t>116677.0217523471874795554772 from parent 582343.3496389471232238527836 × BOM 28000 / batch_quantity 139750. Stock not applied.</t>
        </is>
      </c>
      <c r="H141" t="n">
        <v>1</v>
      </c>
      <c r="I141" t="inlineStr">
        <is>
          <t>scale_bom</t>
        </is>
      </c>
      <c r="J141" t="inlineStr">
        <is>
          <t>parent_gross × bom_qty / batch_quantity</t>
        </is>
      </c>
      <c r="K141" t="inlineStr">
        <is>
          <t>582343.3496389471232238527836 × 28000 / 139750</t>
        </is>
      </c>
      <c r="L141" t="inlineStr">
        <is>
          <t>116677.0217523471874795554772</t>
        </is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4</v>
      </c>
      <c r="B142" t="n">
        <v>127</v>
      </c>
      <c r="C142" t="inlineStr">
        <is>
          <t>SAUCE0-01</t>
        </is>
      </c>
      <c r="D142" t="inlineStr">
        <is>
          <t>TOMATO CRUSHED (BLENDED)</t>
        </is>
      </c>
      <c r="E142" t="inlineStr">
        <is>
          <t>grams</t>
        </is>
      </c>
      <c r="F142" t="inlineStr">
        <is>
          <t>child</t>
        </is>
      </c>
      <c r="G142" t="inlineStr"/>
      <c r="H142" t="n">
        <v>2</v>
      </c>
      <c r="I142" t="inlineStr">
        <is>
          <t>gross</t>
        </is>
      </c>
      <c r="J142" t="inlineStr">
        <is>
          <t>net / recipe_yield</t>
        </is>
      </c>
      <c r="K142" t="inlineStr">
        <is>
          <t>116677.0217523471874795554772 / 1 (recipe yield 100%)</t>
        </is>
      </c>
      <c r="L142" t="inlineStr">
        <is>
          <t>116677.0217523471874795554772</t>
        </is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4</v>
      </c>
      <c r="B143" t="n">
        <v>127</v>
      </c>
      <c r="C143" t="inlineStr">
        <is>
          <t>SAUCE0-01</t>
        </is>
      </c>
      <c r="D143" t="inlineStr">
        <is>
          <t>TOMATO CRUSHED (BLENDED)</t>
        </is>
      </c>
      <c r="E143" t="inlineStr">
        <is>
          <t>grams</t>
        </is>
      </c>
      <c r="F143" t="inlineStr">
        <is>
          <t>child</t>
        </is>
      </c>
      <c r="G143" t="inlineStr"/>
      <c r="H143" t="n">
        <v>3</v>
      </c>
      <c r="I143" t="inlineStr">
        <is>
          <t>stock_net</t>
        </is>
      </c>
      <c r="J143" t="inlineStr"/>
      <c r="K143" t="inlineStr"/>
      <c r="L143" t="inlineStr"/>
      <c r="M143" t="b">
        <v>1</v>
      </c>
      <c r="N143" t="inlineStr">
        <is>
          <t>consider_stock=false</t>
        </is>
      </c>
      <c r="O143" t="inlineStr"/>
      <c r="P143" t="inlineStr"/>
      <c r="Q143" t="inlineStr"/>
      <c r="R143" t="inlineStr">
        <is>
          <t>116677.0217523471874795554772</t>
        </is>
      </c>
      <c r="S143" t="inlineStr">
        <is>
          <t>116677.0217523471874795554772</t>
        </is>
      </c>
    </row>
    <row r="144">
      <c r="A144" t="n">
        <v>4</v>
      </c>
      <c r="B144" t="n">
        <v>142</v>
      </c>
      <c r="C144" t="inlineStr">
        <is>
          <t>SAUCE0-15</t>
        </is>
      </c>
      <c r="D144" t="inlineStr">
        <is>
          <t>ONION RTU 10MM</t>
        </is>
      </c>
      <c r="E144" t="inlineStr">
        <is>
          <t>grams</t>
        </is>
      </c>
      <c r="F144" t="inlineStr">
        <is>
          <t>child</t>
        </is>
      </c>
      <c r="G144" t="inlineStr">
        <is>
          <t>66672.58385848410713117455841 from parent 582343.3496389471232238527836 × BOM 16000 / batch_quantity 139750. Stock not applied.</t>
        </is>
      </c>
      <c r="H144" t="n">
        <v>1</v>
      </c>
      <c r="I144" t="inlineStr">
        <is>
          <t>scale_bom</t>
        </is>
      </c>
      <c r="J144" t="inlineStr">
        <is>
          <t>parent_gross × bom_qty / batch_quantity</t>
        </is>
      </c>
      <c r="K144" t="inlineStr">
        <is>
          <t>582343.3496389471232238527836 × 16000 / 139750</t>
        </is>
      </c>
      <c r="L144" t="inlineStr">
        <is>
          <t>66672.58385848410713117455841</t>
        </is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4</v>
      </c>
      <c r="B145" t="n">
        <v>142</v>
      </c>
      <c r="C145" t="inlineStr">
        <is>
          <t>SAUCE0-15</t>
        </is>
      </c>
      <c r="D145" t="inlineStr">
        <is>
          <t>ONION RTU 10MM</t>
        </is>
      </c>
      <c r="E145" t="inlineStr">
        <is>
          <t>grams</t>
        </is>
      </c>
      <c r="F145" t="inlineStr">
        <is>
          <t>child</t>
        </is>
      </c>
      <c r="G145" t="inlineStr"/>
      <c r="H145" t="n">
        <v>2</v>
      </c>
      <c r="I145" t="inlineStr">
        <is>
          <t>gross</t>
        </is>
      </c>
      <c r="J145" t="inlineStr">
        <is>
          <t>net / recipe_yield</t>
        </is>
      </c>
      <c r="K145" t="inlineStr">
        <is>
          <t>66672.58385848410713117455841 / 1 (recipe yield 100%)</t>
        </is>
      </c>
      <c r="L145" t="inlineStr">
        <is>
          <t>66672.58385848410713117455841</t>
        </is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4</v>
      </c>
      <c r="B146" t="n">
        <v>142</v>
      </c>
      <c r="C146" t="inlineStr">
        <is>
          <t>SAUCE0-15</t>
        </is>
      </c>
      <c r="D146" t="inlineStr">
        <is>
          <t>ONION RTU 10MM</t>
        </is>
      </c>
      <c r="E146" t="inlineStr">
        <is>
          <t>grams</t>
        </is>
      </c>
      <c r="F146" t="inlineStr">
        <is>
          <t>child</t>
        </is>
      </c>
      <c r="G146" t="inlineStr"/>
      <c r="H146" t="n">
        <v>3</v>
      </c>
      <c r="I146" t="inlineStr">
        <is>
          <t>stock_net</t>
        </is>
      </c>
      <c r="J146" t="inlineStr"/>
      <c r="K146" t="inlineStr"/>
      <c r="L146" t="inlineStr"/>
      <c r="M146" t="b">
        <v>1</v>
      </c>
      <c r="N146" t="inlineStr">
        <is>
          <t>consider_stock=false</t>
        </is>
      </c>
      <c r="O146" t="inlineStr"/>
      <c r="P146" t="inlineStr"/>
      <c r="Q146" t="inlineStr"/>
      <c r="R146" t="inlineStr">
        <is>
          <t>66672.58385848410713117455841</t>
        </is>
      </c>
      <c r="S146" t="inlineStr">
        <is>
          <t>66672.58385848410713117455841</t>
        </is>
      </c>
    </row>
    <row r="147">
      <c r="A147" t="n">
        <v>4</v>
      </c>
      <c r="B147" t="n">
        <v>129</v>
      </c>
      <c r="C147" t="inlineStr">
        <is>
          <t>SAUCE0-03</t>
        </is>
      </c>
      <c r="D147" t="inlineStr">
        <is>
          <t>TOMATO PASTE</t>
        </is>
      </c>
      <c r="E147" t="inlineStr">
        <is>
          <t>grams</t>
        </is>
      </c>
      <c r="F147" t="inlineStr">
        <is>
          <t>child</t>
        </is>
      </c>
      <c r="G147" t="inlineStr">
        <is>
          <t>41670.36491155256695698409901 from parent 582343.3496389471232238527836 × BOM 10000 / batch_quantity 139750. Stock not applied.</t>
        </is>
      </c>
      <c r="H147" t="n">
        <v>1</v>
      </c>
      <c r="I147" t="inlineStr">
        <is>
          <t>scale_bom</t>
        </is>
      </c>
      <c r="J147" t="inlineStr">
        <is>
          <t>parent_gross × bom_qty / batch_quantity</t>
        </is>
      </c>
      <c r="K147" t="inlineStr">
        <is>
          <t>582343.3496389471232238527836 × 10000 / 139750</t>
        </is>
      </c>
      <c r="L147" t="inlineStr">
        <is>
          <t>41670.36491155256695698409901</t>
        </is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4</v>
      </c>
      <c r="B148" t="n">
        <v>129</v>
      </c>
      <c r="C148" t="inlineStr">
        <is>
          <t>SAUCE0-03</t>
        </is>
      </c>
      <c r="D148" t="inlineStr">
        <is>
          <t>TOMATO PASTE</t>
        </is>
      </c>
      <c r="E148" t="inlineStr">
        <is>
          <t>grams</t>
        </is>
      </c>
      <c r="F148" t="inlineStr">
        <is>
          <t>child</t>
        </is>
      </c>
      <c r="G148" t="inlineStr"/>
      <c r="H148" t="n">
        <v>2</v>
      </c>
      <c r="I148" t="inlineStr">
        <is>
          <t>gross</t>
        </is>
      </c>
      <c r="J148" t="inlineStr">
        <is>
          <t>net / recipe_yield</t>
        </is>
      </c>
      <c r="K148" t="inlineStr">
        <is>
          <t>41670.36491155256695698409901 / 1 (recipe yield 100%)</t>
        </is>
      </c>
      <c r="L148" t="inlineStr">
        <is>
          <t>41670.36491155256695698409901</t>
        </is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4</v>
      </c>
      <c r="B149" t="n">
        <v>129</v>
      </c>
      <c r="C149" t="inlineStr">
        <is>
          <t>SAUCE0-03</t>
        </is>
      </c>
      <c r="D149" t="inlineStr">
        <is>
          <t>TOMATO PASTE</t>
        </is>
      </c>
      <c r="E149" t="inlineStr">
        <is>
          <t>grams</t>
        </is>
      </c>
      <c r="F149" t="inlineStr">
        <is>
          <t>child</t>
        </is>
      </c>
      <c r="G149" t="inlineStr"/>
      <c r="H149" t="n">
        <v>3</v>
      </c>
      <c r="I149" t="inlineStr">
        <is>
          <t>stock_net</t>
        </is>
      </c>
      <c r="J149" t="inlineStr"/>
      <c r="K149" t="inlineStr"/>
      <c r="L149" t="inlineStr"/>
      <c r="M149" t="b">
        <v>1</v>
      </c>
      <c r="N149" t="inlineStr">
        <is>
          <t>consider_stock=false</t>
        </is>
      </c>
      <c r="O149" t="inlineStr"/>
      <c r="P149" t="inlineStr"/>
      <c r="Q149" t="inlineStr"/>
      <c r="R149" t="inlineStr">
        <is>
          <t>41670.36491155256695698409901</t>
        </is>
      </c>
      <c r="S149" t="inlineStr">
        <is>
          <t>41670.36491155256695698409901</t>
        </is>
      </c>
    </row>
    <row r="150">
      <c r="A150" t="n">
        <v>4</v>
      </c>
      <c r="B150" t="n">
        <v>29</v>
      </c>
      <c r="C150" t="inlineStr">
        <is>
          <t>VEGFRO-11</t>
        </is>
      </c>
      <c r="D150" t="inlineStr">
        <is>
          <t>GARLIC PUREE (FROZEN)</t>
        </is>
      </c>
      <c r="E150" t="inlineStr">
        <is>
          <t>grams</t>
        </is>
      </c>
      <c r="F150" t="inlineStr">
        <is>
          <t>child</t>
        </is>
      </c>
      <c r="G150" t="inlineStr">
        <is>
          <t>20835.1824557762834784920495 from parent 582343.3496389471232238527836 × BOM 5000 / batch_quantity 139750. Stock not applied.</t>
        </is>
      </c>
      <c r="H150" t="n">
        <v>1</v>
      </c>
      <c r="I150" t="inlineStr">
        <is>
          <t>scale_bom</t>
        </is>
      </c>
      <c r="J150" t="inlineStr">
        <is>
          <t>parent_gross × bom_qty / batch_quantity</t>
        </is>
      </c>
      <c r="K150" t="inlineStr">
        <is>
          <t>582343.3496389471232238527836 × 5000 / 139750</t>
        </is>
      </c>
      <c r="L150" t="inlineStr">
        <is>
          <t>20835.1824557762834784920495</t>
        </is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4</v>
      </c>
      <c r="B151" t="n">
        <v>29</v>
      </c>
      <c r="C151" t="inlineStr">
        <is>
          <t>VEGFRO-11</t>
        </is>
      </c>
      <c r="D151" t="inlineStr">
        <is>
          <t>GARLIC PUREE (FROZEN)</t>
        </is>
      </c>
      <c r="E151" t="inlineStr">
        <is>
          <t>grams</t>
        </is>
      </c>
      <c r="F151" t="inlineStr">
        <is>
          <t>child</t>
        </is>
      </c>
      <c r="G151" t="inlineStr"/>
      <c r="H151" t="n">
        <v>2</v>
      </c>
      <c r="I151" t="inlineStr">
        <is>
          <t>gross</t>
        </is>
      </c>
      <c r="J151" t="inlineStr">
        <is>
          <t>net / recipe_yield</t>
        </is>
      </c>
      <c r="K151" t="inlineStr">
        <is>
          <t>20835.1824557762834784920495 / 1 (recipe yield 100%)</t>
        </is>
      </c>
      <c r="L151" t="inlineStr">
        <is>
          <t>20835.1824557762834784920495</t>
        </is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4</v>
      </c>
      <c r="B152" t="n">
        <v>29</v>
      </c>
      <c r="C152" t="inlineStr">
        <is>
          <t>VEGFRO-11</t>
        </is>
      </c>
      <c r="D152" t="inlineStr">
        <is>
          <t>GARLIC PUREE (FROZEN)</t>
        </is>
      </c>
      <c r="E152" t="inlineStr">
        <is>
          <t>grams</t>
        </is>
      </c>
      <c r="F152" t="inlineStr">
        <is>
          <t>child</t>
        </is>
      </c>
      <c r="G152" t="inlineStr"/>
      <c r="H152" t="n">
        <v>3</v>
      </c>
      <c r="I152" t="inlineStr">
        <is>
          <t>stock_net</t>
        </is>
      </c>
      <c r="J152" t="inlineStr"/>
      <c r="K152" t="inlineStr"/>
      <c r="L152" t="inlineStr"/>
      <c r="M152" t="b">
        <v>1</v>
      </c>
      <c r="N152" t="inlineStr">
        <is>
          <t>consider_stock=false</t>
        </is>
      </c>
      <c r="O152" t="inlineStr"/>
      <c r="P152" t="inlineStr"/>
      <c r="Q152" t="inlineStr"/>
      <c r="R152" t="inlineStr">
        <is>
          <t>20835.1824557762834784920495</t>
        </is>
      </c>
      <c r="S152" t="inlineStr">
        <is>
          <t>20835.1824557762834784920495</t>
        </is>
      </c>
    </row>
    <row r="153">
      <c r="A153" t="n">
        <v>4</v>
      </c>
      <c r="B153" t="n">
        <v>213</v>
      </c>
      <c r="C153" t="inlineStr">
        <is>
          <t>INGRAD-38</t>
        </is>
      </c>
      <c r="D153" t="inlineStr">
        <is>
          <t>OLIVE OIL</t>
        </is>
      </c>
      <c r="E153" t="inlineStr">
        <is>
          <t>grams</t>
        </is>
      </c>
      <c r="F153" t="inlineStr">
        <is>
          <t>child</t>
        </is>
      </c>
      <c r="G153" t="inlineStr">
        <is>
          <t>13126.16494713905859144999118 from parent 582343.3496389471232238527836 × BOM 3150 / batch_quantity 139750. Stock not applied.</t>
        </is>
      </c>
      <c r="H153" t="n">
        <v>1</v>
      </c>
      <c r="I153" t="inlineStr">
        <is>
          <t>scale_bom</t>
        </is>
      </c>
      <c r="J153" t="inlineStr">
        <is>
          <t>parent_gross × bom_qty / batch_quantity</t>
        </is>
      </c>
      <c r="K153" t="inlineStr">
        <is>
          <t>582343.3496389471232238527836 × 3150 / 139750</t>
        </is>
      </c>
      <c r="L153" t="inlineStr">
        <is>
          <t>13126.16494713905859144999118</t>
        </is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4</v>
      </c>
      <c r="B154" t="n">
        <v>213</v>
      </c>
      <c r="C154" t="inlineStr">
        <is>
          <t>INGRAD-38</t>
        </is>
      </c>
      <c r="D154" t="inlineStr">
        <is>
          <t>OLIVE OIL</t>
        </is>
      </c>
      <c r="E154" t="inlineStr">
        <is>
          <t>grams</t>
        </is>
      </c>
      <c r="F154" t="inlineStr">
        <is>
          <t>child</t>
        </is>
      </c>
      <c r="G154" t="inlineStr"/>
      <c r="H154" t="n">
        <v>2</v>
      </c>
      <c r="I154" t="inlineStr">
        <is>
          <t>gross</t>
        </is>
      </c>
      <c r="J154" t="inlineStr">
        <is>
          <t>net / recipe_yield</t>
        </is>
      </c>
      <c r="K154" t="inlineStr">
        <is>
          <t>13126.16494713905859144999118 / 1 (recipe yield 100%)</t>
        </is>
      </c>
      <c r="L154" t="inlineStr">
        <is>
          <t>13126.16494713905859144999118</t>
        </is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4</v>
      </c>
      <c r="B155" t="n">
        <v>213</v>
      </c>
      <c r="C155" t="inlineStr">
        <is>
          <t>INGRAD-38</t>
        </is>
      </c>
      <c r="D155" t="inlineStr">
        <is>
          <t>OLIVE OIL</t>
        </is>
      </c>
      <c r="E155" t="inlineStr">
        <is>
          <t>grams</t>
        </is>
      </c>
      <c r="F155" t="inlineStr">
        <is>
          <t>child</t>
        </is>
      </c>
      <c r="G155" t="inlineStr"/>
      <c r="H155" t="n">
        <v>3</v>
      </c>
      <c r="I155" t="inlineStr">
        <is>
          <t>stock_net</t>
        </is>
      </c>
      <c r="J155" t="inlineStr"/>
      <c r="K155" t="inlineStr"/>
      <c r="L155" t="inlineStr"/>
      <c r="M155" t="b">
        <v>1</v>
      </c>
      <c r="N155" t="inlineStr">
        <is>
          <t>consider_stock=false</t>
        </is>
      </c>
      <c r="O155" t="inlineStr"/>
      <c r="P155" t="inlineStr"/>
      <c r="Q155" t="inlineStr"/>
      <c r="R155" t="inlineStr">
        <is>
          <t>13126.16494713905859144999118</t>
        </is>
      </c>
      <c r="S155" t="inlineStr">
        <is>
          <t>13126.16494713905859144999118</t>
        </is>
      </c>
    </row>
    <row r="156">
      <c r="A156" t="n">
        <v>4</v>
      </c>
      <c r="B156" t="n">
        <v>291</v>
      </c>
      <c r="C156" t="inlineStr">
        <is>
          <t>INGRAD-17</t>
        </is>
      </c>
      <c r="D156" t="inlineStr">
        <is>
          <t>CORN FLOUR</t>
        </is>
      </c>
      <c r="E156" t="inlineStr">
        <is>
          <t>grams</t>
        </is>
      </c>
      <c r="F156" t="inlineStr">
        <is>
          <t>child</t>
        </is>
      </c>
      <c r="G156" t="inlineStr">
        <is>
          <t>4167.036491155256695698409901 from parent 582343.3496389471232238527836 × BOM 1000 / batch_quantity 139750. Stock not applied.</t>
        </is>
      </c>
      <c r="H156" t="n">
        <v>1</v>
      </c>
      <c r="I156" t="inlineStr">
        <is>
          <t>scale_bom</t>
        </is>
      </c>
      <c r="J156" t="inlineStr">
        <is>
          <t>parent_gross × bom_qty / batch_quantity</t>
        </is>
      </c>
      <c r="K156" t="inlineStr">
        <is>
          <t>582343.3496389471232238527836 × 1000 / 139750</t>
        </is>
      </c>
      <c r="L156" t="inlineStr">
        <is>
          <t>4167.036491155256695698409901</t>
        </is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4</v>
      </c>
      <c r="B157" t="n">
        <v>291</v>
      </c>
      <c r="C157" t="inlineStr">
        <is>
          <t>INGRAD-17</t>
        </is>
      </c>
      <c r="D157" t="inlineStr">
        <is>
          <t>CORN FLOUR</t>
        </is>
      </c>
      <c r="E157" t="inlineStr">
        <is>
          <t>grams</t>
        </is>
      </c>
      <c r="F157" t="inlineStr">
        <is>
          <t>child</t>
        </is>
      </c>
      <c r="G157" t="inlineStr"/>
      <c r="H157" t="n">
        <v>2</v>
      </c>
      <c r="I157" t="inlineStr">
        <is>
          <t>gross</t>
        </is>
      </c>
      <c r="J157" t="inlineStr">
        <is>
          <t>net / recipe_yield</t>
        </is>
      </c>
      <c r="K157" t="inlineStr">
        <is>
          <t>4167.036491155256695698409901 / 1 (recipe yield 100%)</t>
        </is>
      </c>
      <c r="L157" t="inlineStr">
        <is>
          <t>4167.036491155256695698409901</t>
        </is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4</v>
      </c>
      <c r="B158" t="n">
        <v>291</v>
      </c>
      <c r="C158" t="inlineStr">
        <is>
          <t>INGRAD-17</t>
        </is>
      </c>
      <c r="D158" t="inlineStr">
        <is>
          <t>CORN FLOUR</t>
        </is>
      </c>
      <c r="E158" t="inlineStr">
        <is>
          <t>grams</t>
        </is>
      </c>
      <c r="F158" t="inlineStr">
        <is>
          <t>child</t>
        </is>
      </c>
      <c r="G158" t="inlineStr"/>
      <c r="H158" t="n">
        <v>3</v>
      </c>
      <c r="I158" t="inlineStr">
        <is>
          <t>stock_net</t>
        </is>
      </c>
      <c r="J158" t="inlineStr"/>
      <c r="K158" t="inlineStr"/>
      <c r="L158" t="inlineStr"/>
      <c r="M158" t="b">
        <v>1</v>
      </c>
      <c r="N158" t="inlineStr">
        <is>
          <t>consider_stock=false</t>
        </is>
      </c>
      <c r="O158" t="inlineStr"/>
      <c r="P158" t="inlineStr"/>
      <c r="Q158" t="inlineStr"/>
      <c r="R158" t="inlineStr">
        <is>
          <t>4167.036491155256695698409901</t>
        </is>
      </c>
      <c r="S158" t="inlineStr">
        <is>
          <t>4167.036491155256695698409901</t>
        </is>
      </c>
    </row>
    <row r="159">
      <c r="A159" t="n">
        <v>4</v>
      </c>
      <c r="B159" t="n">
        <v>1528</v>
      </c>
      <c r="C159" t="inlineStr">
        <is>
          <t>GFF575R-S</t>
        </is>
      </c>
      <c r="D159" t="inlineStr">
        <is>
          <t>Cacciatore Sauce (Simmers) - 575 - Spices</t>
        </is>
      </c>
      <c r="E159" t="inlineStr">
        <is>
          <t>grams</t>
        </is>
      </c>
      <c r="F159" t="inlineStr">
        <is>
          <t>child</t>
        </is>
      </c>
      <c r="G159" t="inlineStr">
        <is>
          <t>15001.33136815892410451427564 from parent 582343.3496389471232238527836 × BOM 3600 / batch_quantity 139750. Stock not applied.</t>
        </is>
      </c>
      <c r="H159" t="n">
        <v>1</v>
      </c>
      <c r="I159" t="inlineStr">
        <is>
          <t>scale_bom</t>
        </is>
      </c>
      <c r="J159" t="inlineStr">
        <is>
          <t>parent_gross × bom_qty / batch_quantity</t>
        </is>
      </c>
      <c r="K159" t="inlineStr">
        <is>
          <t>582343.3496389471232238527836 × 3600 / 139750</t>
        </is>
      </c>
      <c r="L159" t="inlineStr">
        <is>
          <t>15001.33136815892410451427564</t>
        </is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4</v>
      </c>
      <c r="B160" t="n">
        <v>1528</v>
      </c>
      <c r="C160" t="inlineStr">
        <is>
          <t>GFF575R-S</t>
        </is>
      </c>
      <c r="D160" t="inlineStr">
        <is>
          <t>Cacciatore Sauce (Simmers) - 575 - Spices</t>
        </is>
      </c>
      <c r="E160" t="inlineStr">
        <is>
          <t>grams</t>
        </is>
      </c>
      <c r="F160" t="inlineStr">
        <is>
          <t>child</t>
        </is>
      </c>
      <c r="G160" t="inlineStr"/>
      <c r="H160" t="n">
        <v>2</v>
      </c>
      <c r="I160" t="inlineStr">
        <is>
          <t>gross</t>
        </is>
      </c>
      <c r="J160" t="inlineStr">
        <is>
          <t>net / recipe_yield</t>
        </is>
      </c>
      <c r="K160" t="inlineStr">
        <is>
          <t>15001.33136815892410451427564 / 1 (recipe yield 100%)</t>
        </is>
      </c>
      <c r="L160" t="inlineStr">
        <is>
          <t>15001.33136815892410451427564</t>
        </is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4</v>
      </c>
      <c r="B161" t="n">
        <v>1528</v>
      </c>
      <c r="C161" t="inlineStr">
        <is>
          <t>GFF575R-S</t>
        </is>
      </c>
      <c r="D161" t="inlineStr">
        <is>
          <t>Cacciatore Sauce (Simmers) - 575 - Spices</t>
        </is>
      </c>
      <c r="E161" t="inlineStr">
        <is>
          <t>grams</t>
        </is>
      </c>
      <c r="F161" t="inlineStr">
        <is>
          <t>child</t>
        </is>
      </c>
      <c r="G161" t="inlineStr"/>
      <c r="H161" t="n">
        <v>3</v>
      </c>
      <c r="I161" t="inlineStr">
        <is>
          <t>stock_net</t>
        </is>
      </c>
      <c r="J161" t="inlineStr"/>
      <c r="K161" t="inlineStr"/>
      <c r="L161" t="inlineStr"/>
      <c r="M161" t="b">
        <v>1</v>
      </c>
      <c r="N161" t="inlineStr">
        <is>
          <t>consider_stock=false</t>
        </is>
      </c>
      <c r="O161" t="inlineStr"/>
      <c r="P161" t="inlineStr"/>
      <c r="Q161" t="inlineStr"/>
      <c r="R161" t="inlineStr">
        <is>
          <t>15001.33136815892410451427564</t>
        </is>
      </c>
      <c r="S161" t="inlineStr">
        <is>
          <t>15001.33136815892410451427564</t>
        </is>
      </c>
    </row>
    <row r="162">
      <c r="A162" t="n">
        <v>4</v>
      </c>
      <c r="B162" t="n">
        <v>471</v>
      </c>
      <c r="C162" t="inlineStr">
        <is>
          <t>VEGCHI-56</t>
        </is>
      </c>
      <c r="D162" t="inlineStr">
        <is>
          <t>Sliced Kalamata Olives</t>
        </is>
      </c>
      <c r="E162" t="inlineStr">
        <is>
          <t>grams</t>
        </is>
      </c>
      <c r="F162" t="inlineStr">
        <is>
          <t>child</t>
        </is>
      </c>
      <c r="G162" t="inlineStr">
        <is>
          <t>20835.1824557762834784920495 from parent 582343.3496389471232238527836 × BOM 5000 / batch_quantity 139750. Stock not applied.</t>
        </is>
      </c>
      <c r="H162" t="n">
        <v>1</v>
      </c>
      <c r="I162" t="inlineStr">
        <is>
          <t>scale_bom</t>
        </is>
      </c>
      <c r="J162" t="inlineStr">
        <is>
          <t>parent_gross × bom_qty / batch_quantity</t>
        </is>
      </c>
      <c r="K162" t="inlineStr">
        <is>
          <t>582343.3496389471232238527836 × 5000 / 139750</t>
        </is>
      </c>
      <c r="L162" t="inlineStr">
        <is>
          <t>20835.1824557762834784920495</t>
        </is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4</v>
      </c>
      <c r="B163" t="n">
        <v>471</v>
      </c>
      <c r="C163" t="inlineStr">
        <is>
          <t>VEGCHI-56</t>
        </is>
      </c>
      <c r="D163" t="inlineStr">
        <is>
          <t>Sliced Kalamata Olives</t>
        </is>
      </c>
      <c r="E163" t="inlineStr">
        <is>
          <t>grams</t>
        </is>
      </c>
      <c r="F163" t="inlineStr">
        <is>
          <t>child</t>
        </is>
      </c>
      <c r="G163" t="inlineStr"/>
      <c r="H163" t="n">
        <v>2</v>
      </c>
      <c r="I163" t="inlineStr">
        <is>
          <t>gross</t>
        </is>
      </c>
      <c r="J163" t="inlineStr">
        <is>
          <t>net / recipe_yield</t>
        </is>
      </c>
      <c r="K163" t="inlineStr">
        <is>
          <t>20835.1824557762834784920495 / 1 (recipe yield 100%)</t>
        </is>
      </c>
      <c r="L163" t="inlineStr">
        <is>
          <t>20835.1824557762834784920495</t>
        </is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4</v>
      </c>
      <c r="B164" t="n">
        <v>471</v>
      </c>
      <c r="C164" t="inlineStr">
        <is>
          <t>VEGCHI-56</t>
        </is>
      </c>
      <c r="D164" t="inlineStr">
        <is>
          <t>Sliced Kalamata Olives</t>
        </is>
      </c>
      <c r="E164" t="inlineStr">
        <is>
          <t>grams</t>
        </is>
      </c>
      <c r="F164" t="inlineStr">
        <is>
          <t>child</t>
        </is>
      </c>
      <c r="G164" t="inlineStr"/>
      <c r="H164" t="n">
        <v>3</v>
      </c>
      <c r="I164" t="inlineStr">
        <is>
          <t>stock_net</t>
        </is>
      </c>
      <c r="J164" t="inlineStr"/>
      <c r="K164" t="inlineStr"/>
      <c r="L164" t="inlineStr"/>
      <c r="M164" t="b">
        <v>1</v>
      </c>
      <c r="N164" t="inlineStr">
        <is>
          <t>consider_stock=false</t>
        </is>
      </c>
      <c r="O164" t="inlineStr"/>
      <c r="P164" t="inlineStr"/>
      <c r="Q164" t="inlineStr"/>
      <c r="R164" t="inlineStr">
        <is>
          <t>20835.1824557762834784920495</t>
        </is>
      </c>
      <c r="S164" t="inlineStr">
        <is>
          <t>20835.1824557762834784920495</t>
        </is>
      </c>
    </row>
    <row r="165">
      <c r="A165" t="n">
        <v>4</v>
      </c>
      <c r="B165" t="n">
        <v>469</v>
      </c>
      <c r="C165" t="inlineStr">
        <is>
          <t>VEGCHI-54</t>
        </is>
      </c>
      <c r="D165" t="inlineStr">
        <is>
          <t>CHOPPED MUSHROOM</t>
        </is>
      </c>
      <c r="E165" t="inlineStr">
        <is>
          <t>grams</t>
        </is>
      </c>
      <c r="F165" t="inlineStr">
        <is>
          <t>child</t>
        </is>
      </c>
      <c r="G165" t="inlineStr">
        <is>
          <t>108342.9487700366740881586574 from parent 582343.3496389471232238527836 × BOM 26000 / batch_quantity 139750. Stock not applied.</t>
        </is>
      </c>
      <c r="H165" t="n">
        <v>1</v>
      </c>
      <c r="I165" t="inlineStr">
        <is>
          <t>scale_bom</t>
        </is>
      </c>
      <c r="J165" t="inlineStr">
        <is>
          <t>parent_gross × bom_qty / batch_quantity</t>
        </is>
      </c>
      <c r="K165" t="inlineStr">
        <is>
          <t>582343.3496389471232238527836 × 26000 / 139750</t>
        </is>
      </c>
      <c r="L165" t="inlineStr">
        <is>
          <t>108342.9487700366740881586574</t>
        </is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4</v>
      </c>
      <c r="B166" t="n">
        <v>469</v>
      </c>
      <c r="C166" t="inlineStr">
        <is>
          <t>VEGCHI-54</t>
        </is>
      </c>
      <c r="D166" t="inlineStr">
        <is>
          <t>CHOPPED MUSHROOM</t>
        </is>
      </c>
      <c r="E166" t="inlineStr">
        <is>
          <t>grams</t>
        </is>
      </c>
      <c r="F166" t="inlineStr">
        <is>
          <t>child</t>
        </is>
      </c>
      <c r="G166" t="inlineStr"/>
      <c r="H166" t="n">
        <v>2</v>
      </c>
      <c r="I166" t="inlineStr">
        <is>
          <t>gross</t>
        </is>
      </c>
      <c r="J166" t="inlineStr">
        <is>
          <t>net / recipe_yield</t>
        </is>
      </c>
      <c r="K166" t="inlineStr">
        <is>
          <t>108342.9487700366740881586574 / 1 (recipe yield 100%)</t>
        </is>
      </c>
      <c r="L166" t="inlineStr">
        <is>
          <t>108342.9487700366740881586574</t>
        </is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4</v>
      </c>
      <c r="B167" t="n">
        <v>469</v>
      </c>
      <c r="C167" t="inlineStr">
        <is>
          <t>VEGCHI-54</t>
        </is>
      </c>
      <c r="D167" t="inlineStr">
        <is>
          <t>CHOPPED MUSHROOM</t>
        </is>
      </c>
      <c r="E167" t="inlineStr">
        <is>
          <t>grams</t>
        </is>
      </c>
      <c r="F167" t="inlineStr">
        <is>
          <t>child</t>
        </is>
      </c>
      <c r="G167" t="inlineStr"/>
      <c r="H167" t="n">
        <v>3</v>
      </c>
      <c r="I167" t="inlineStr">
        <is>
          <t>stock_net</t>
        </is>
      </c>
      <c r="J167" t="inlineStr"/>
      <c r="K167" t="inlineStr"/>
      <c r="L167" t="inlineStr"/>
      <c r="M167" t="b">
        <v>1</v>
      </c>
      <c r="N167" t="inlineStr">
        <is>
          <t>consider_stock=false</t>
        </is>
      </c>
      <c r="O167" t="inlineStr"/>
      <c r="P167" t="inlineStr"/>
      <c r="Q167" t="inlineStr"/>
      <c r="R167" t="inlineStr">
        <is>
          <t>108342.9487700366740881586574</t>
        </is>
      </c>
      <c r="S167" t="inlineStr">
        <is>
          <t>108342.9487700366740881586574</t>
        </is>
      </c>
    </row>
    <row r="168">
      <c r="A168" t="n">
        <v>4</v>
      </c>
      <c r="B168" t="n">
        <v>341</v>
      </c>
      <c r="C168" t="inlineStr">
        <is>
          <t>VEGFRO-69</t>
        </is>
      </c>
      <c r="D168" t="inlineStr">
        <is>
          <t>IQF Penne Pasta 1 x 15k</t>
        </is>
      </c>
      <c r="E168" t="inlineStr">
        <is>
          <t>grams</t>
        </is>
      </c>
      <c r="F168" t="inlineStr">
        <is>
          <t>child</t>
        </is>
      </c>
      <c r="G168" t="inlineStr">
        <is>
          <t>40000 from parent 40000 × BOM 100000 / batch_quantity 100000. Stock not applied.</t>
        </is>
      </c>
      <c r="H168" t="n">
        <v>1</v>
      </c>
      <c r="I168" t="inlineStr">
        <is>
          <t>scale_bom</t>
        </is>
      </c>
      <c r="J168" t="inlineStr">
        <is>
          <t>parent_gross × bom_qty / batch_quantity</t>
        </is>
      </c>
      <c r="K168" t="inlineStr">
        <is>
          <t>40000 × 100000 / 100000</t>
        </is>
      </c>
      <c r="L168" t="inlineStr">
        <is>
          <t>40000</t>
        </is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4</v>
      </c>
      <c r="B169" t="n">
        <v>341</v>
      </c>
      <c r="C169" t="inlineStr">
        <is>
          <t>VEGFRO-69</t>
        </is>
      </c>
      <c r="D169" t="inlineStr">
        <is>
          <t>IQF Penne Pasta 1 x 15k</t>
        </is>
      </c>
      <c r="E169" t="inlineStr">
        <is>
          <t>grams</t>
        </is>
      </c>
      <c r="F169" t="inlineStr">
        <is>
          <t>child</t>
        </is>
      </c>
      <c r="G169" t="inlineStr"/>
      <c r="H169" t="n">
        <v>2</v>
      </c>
      <c r="I169" t="inlineStr">
        <is>
          <t>gross</t>
        </is>
      </c>
      <c r="J169" t="inlineStr">
        <is>
          <t>net / recipe_yield</t>
        </is>
      </c>
      <c r="K169" t="inlineStr">
        <is>
          <t>40000 / 1 (recipe yield 100%)</t>
        </is>
      </c>
      <c r="L169" t="inlineStr">
        <is>
          <t>40000</t>
        </is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4</v>
      </c>
      <c r="B170" t="n">
        <v>341</v>
      </c>
      <c r="C170" t="inlineStr">
        <is>
          <t>VEGFRO-69</t>
        </is>
      </c>
      <c r="D170" t="inlineStr">
        <is>
          <t>IQF Penne Pasta 1 x 15k</t>
        </is>
      </c>
      <c r="E170" t="inlineStr">
        <is>
          <t>grams</t>
        </is>
      </c>
      <c r="F170" t="inlineStr">
        <is>
          <t>child</t>
        </is>
      </c>
      <c r="G170" t="inlineStr"/>
      <c r="H170" t="n">
        <v>3</v>
      </c>
      <c r="I170" t="inlineStr">
        <is>
          <t>stock_net</t>
        </is>
      </c>
      <c r="J170" t="inlineStr"/>
      <c r="K170" t="inlineStr"/>
      <c r="L170" t="inlineStr"/>
      <c r="M170" t="b">
        <v>1</v>
      </c>
      <c r="N170" t="inlineStr">
        <is>
          <t>consider_stock=false</t>
        </is>
      </c>
      <c r="O170" t="inlineStr"/>
      <c r="P170" t="inlineStr"/>
      <c r="Q170" t="inlineStr"/>
      <c r="R170" t="inlineStr">
        <is>
          <t>40000</t>
        </is>
      </c>
      <c r="S170" t="inlineStr">
        <is>
          <t>40000</t>
        </is>
      </c>
    </row>
    <row r="171">
      <c r="A171" t="n">
        <v>4</v>
      </c>
      <c r="B171" t="n">
        <v>1539</v>
      </c>
      <c r="C171" t="inlineStr">
        <is>
          <t>GFF574R - Ma</t>
        </is>
      </c>
      <c r="D171" t="inlineStr">
        <is>
          <t>Pesto Marinated Chicken (Simmers) - 574 - Marination</t>
        </is>
      </c>
      <c r="E171" t="inlineStr">
        <is>
          <t>grams</t>
        </is>
      </c>
      <c r="F171" t="inlineStr">
        <is>
          <t>child</t>
        </is>
      </c>
      <c r="G171" t="inlineStr">
        <is>
          <t>140000 from parent 140000 × BOM 169150 / batch_quantity 169150. Stock not applied.</t>
        </is>
      </c>
      <c r="H171" t="n">
        <v>1</v>
      </c>
      <c r="I171" t="inlineStr">
        <is>
          <t>scale_bom</t>
        </is>
      </c>
      <c r="J171" t="inlineStr">
        <is>
          <t>parent_gross × bom_qty / batch_quantity</t>
        </is>
      </c>
      <c r="K171" t="inlineStr">
        <is>
          <t>140000 × 169150 / 169150</t>
        </is>
      </c>
      <c r="L171" t="inlineStr">
        <is>
          <t>140000</t>
        </is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4</v>
      </c>
      <c r="B172" t="n">
        <v>1539</v>
      </c>
      <c r="C172" t="inlineStr">
        <is>
          <t>GFF574R - Ma</t>
        </is>
      </c>
      <c r="D172" t="inlineStr">
        <is>
          <t>Pesto Marinated Chicken (Simmers) - 574 - Marination</t>
        </is>
      </c>
      <c r="E172" t="inlineStr">
        <is>
          <t>grams</t>
        </is>
      </c>
      <c r="F172" t="inlineStr">
        <is>
          <t>child</t>
        </is>
      </c>
      <c r="G172" t="inlineStr"/>
      <c r="H172" t="n">
        <v>2</v>
      </c>
      <c r="I172" t="inlineStr">
        <is>
          <t>gross</t>
        </is>
      </c>
      <c r="J172" t="inlineStr">
        <is>
          <t>net / recipe_yield</t>
        </is>
      </c>
      <c r="K172" t="inlineStr">
        <is>
          <t>140000 / 0.6798 (recipe yield 67.98%)</t>
        </is>
      </c>
      <c r="L172" t="inlineStr">
        <is>
          <t>205942.9243895263312739040894</t>
        </is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4</v>
      </c>
      <c r="B173" t="n">
        <v>1539</v>
      </c>
      <c r="C173" t="inlineStr">
        <is>
          <t>GFF574R - Ma</t>
        </is>
      </c>
      <c r="D173" t="inlineStr">
        <is>
          <t>Pesto Marinated Chicken (Simmers) - 574 - Marination</t>
        </is>
      </c>
      <c r="E173" t="inlineStr">
        <is>
          <t>grams</t>
        </is>
      </c>
      <c r="F173" t="inlineStr">
        <is>
          <t>child</t>
        </is>
      </c>
      <c r="G173" t="inlineStr"/>
      <c r="H173" t="n">
        <v>3</v>
      </c>
      <c r="I173" t="inlineStr">
        <is>
          <t>stock_net</t>
        </is>
      </c>
      <c r="J173" t="inlineStr"/>
      <c r="K173" t="inlineStr"/>
      <c r="L173" t="inlineStr"/>
      <c r="M173" t="b">
        <v>1</v>
      </c>
      <c r="N173" t="inlineStr">
        <is>
          <t>consider_stock=false</t>
        </is>
      </c>
      <c r="O173" t="inlineStr"/>
      <c r="P173" t="inlineStr"/>
      <c r="Q173" t="inlineStr"/>
      <c r="R173" t="inlineStr">
        <is>
          <t>140000</t>
        </is>
      </c>
      <c r="S173" t="inlineStr">
        <is>
          <t>205942.9243895263312739040894</t>
        </is>
      </c>
    </row>
    <row r="174">
      <c r="A174" t="n">
        <v>4</v>
      </c>
      <c r="B174" t="n">
        <v>8</v>
      </c>
      <c r="C174" t="inlineStr">
        <is>
          <t>VEGFRO-07</t>
        </is>
      </c>
      <c r="D174" t="inlineStr">
        <is>
          <t>SWEET POTATO DICED 10MM (FROZEN)</t>
        </is>
      </c>
      <c r="E174" t="inlineStr">
        <is>
          <t>grams</t>
        </is>
      </c>
      <c r="F174" t="inlineStr">
        <is>
          <t>child</t>
        </is>
      </c>
      <c r="G174" t="inlineStr">
        <is>
          <t>58823.5294117647058823529412 from parent 117647.0588235294117647058824 × BOM 50000 / batch_quantity 100000. Stock not applied.</t>
        </is>
      </c>
      <c r="H174" t="n">
        <v>1</v>
      </c>
      <c r="I174" t="inlineStr">
        <is>
          <t>scale_bom</t>
        </is>
      </c>
      <c r="J174" t="inlineStr">
        <is>
          <t>parent_gross × bom_qty / batch_quantity</t>
        </is>
      </c>
      <c r="K174" t="inlineStr">
        <is>
          <t>117647.0588235294117647058824 × 50000 / 100000</t>
        </is>
      </c>
      <c r="L174" t="inlineStr">
        <is>
          <t>58823.5294117647058823529412</t>
        </is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4</v>
      </c>
      <c r="B175" t="n">
        <v>8</v>
      </c>
      <c r="C175" t="inlineStr">
        <is>
          <t>VEGFRO-07</t>
        </is>
      </c>
      <c r="D175" t="inlineStr">
        <is>
          <t>SWEET POTATO DICED 10MM (FROZEN)</t>
        </is>
      </c>
      <c r="E175" t="inlineStr">
        <is>
          <t>grams</t>
        </is>
      </c>
      <c r="F175" t="inlineStr">
        <is>
          <t>child</t>
        </is>
      </c>
      <c r="G175" t="inlineStr"/>
      <c r="H175" t="n">
        <v>2</v>
      </c>
      <c r="I175" t="inlineStr">
        <is>
          <t>gross</t>
        </is>
      </c>
      <c r="J175" t="inlineStr">
        <is>
          <t>net / recipe_yield</t>
        </is>
      </c>
      <c r="K175" t="inlineStr">
        <is>
          <t>58823.5294117647058823529412 / 1 (recipe yield 100%)</t>
        </is>
      </c>
      <c r="L175" t="inlineStr">
        <is>
          <t>58823.5294117647058823529412</t>
        </is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4</v>
      </c>
      <c r="B176" t="n">
        <v>8</v>
      </c>
      <c r="C176" t="inlineStr">
        <is>
          <t>VEGFRO-07</t>
        </is>
      </c>
      <c r="D176" t="inlineStr">
        <is>
          <t>SWEET POTATO DICED 10MM (FROZEN)</t>
        </is>
      </c>
      <c r="E176" t="inlineStr">
        <is>
          <t>grams</t>
        </is>
      </c>
      <c r="F176" t="inlineStr">
        <is>
          <t>child</t>
        </is>
      </c>
      <c r="G176" t="inlineStr"/>
      <c r="H176" t="n">
        <v>3</v>
      </c>
      <c r="I176" t="inlineStr">
        <is>
          <t>stock_net</t>
        </is>
      </c>
      <c r="J176" t="inlineStr"/>
      <c r="K176" t="inlineStr"/>
      <c r="L176" t="inlineStr"/>
      <c r="M176" t="b">
        <v>1</v>
      </c>
      <c r="N176" t="inlineStr">
        <is>
          <t>consider_stock=false</t>
        </is>
      </c>
      <c r="O176" t="inlineStr"/>
      <c r="P176" t="inlineStr"/>
      <c r="Q176" t="inlineStr"/>
      <c r="R176" t="inlineStr">
        <is>
          <t>58823.5294117647058823529412</t>
        </is>
      </c>
      <c r="S176" t="inlineStr">
        <is>
          <t>58823.5294117647058823529412</t>
        </is>
      </c>
    </row>
    <row r="177">
      <c r="A177" t="n">
        <v>4</v>
      </c>
      <c r="B177" t="n">
        <v>470</v>
      </c>
      <c r="C177" t="inlineStr">
        <is>
          <t>VEGCHI-55</t>
        </is>
      </c>
      <c r="D177" t="inlineStr">
        <is>
          <t>GREEN BEANS DICED 12MM</t>
        </is>
      </c>
      <c r="E177" t="inlineStr">
        <is>
          <t>grams</t>
        </is>
      </c>
      <c r="F177" t="inlineStr">
        <is>
          <t>child</t>
        </is>
      </c>
      <c r="G177" t="inlineStr">
        <is>
          <t>58823.5294117647058823529412 from parent 117647.0588235294117647058824 × BOM 50000 / batch_quantity 100000. Stock not applied.</t>
        </is>
      </c>
      <c r="H177" t="n">
        <v>1</v>
      </c>
      <c r="I177" t="inlineStr">
        <is>
          <t>scale_bom</t>
        </is>
      </c>
      <c r="J177" t="inlineStr">
        <is>
          <t>parent_gross × bom_qty / batch_quantity</t>
        </is>
      </c>
      <c r="K177" t="inlineStr">
        <is>
          <t>117647.0588235294117647058824 × 50000 / 100000</t>
        </is>
      </c>
      <c r="L177" t="inlineStr">
        <is>
          <t>58823.5294117647058823529412</t>
        </is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4</v>
      </c>
      <c r="B178" t="n">
        <v>470</v>
      </c>
      <c r="C178" t="inlineStr">
        <is>
          <t>VEGCHI-55</t>
        </is>
      </c>
      <c r="D178" t="inlineStr">
        <is>
          <t>GREEN BEANS DICED 12MM</t>
        </is>
      </c>
      <c r="E178" t="inlineStr">
        <is>
          <t>grams</t>
        </is>
      </c>
      <c r="F178" t="inlineStr">
        <is>
          <t>child</t>
        </is>
      </c>
      <c r="G178" t="inlineStr"/>
      <c r="H178" t="n">
        <v>2</v>
      </c>
      <c r="I178" t="inlineStr">
        <is>
          <t>gross</t>
        </is>
      </c>
      <c r="J178" t="inlineStr">
        <is>
          <t>net / recipe_yield</t>
        </is>
      </c>
      <c r="K178" t="inlineStr">
        <is>
          <t>58823.5294117647058823529412 / 1 (recipe yield 100%)</t>
        </is>
      </c>
      <c r="L178" t="inlineStr">
        <is>
          <t>58823.5294117647058823529412</t>
        </is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4</v>
      </c>
      <c r="B179" t="n">
        <v>470</v>
      </c>
      <c r="C179" t="inlineStr">
        <is>
          <t>VEGCHI-55</t>
        </is>
      </c>
      <c r="D179" t="inlineStr">
        <is>
          <t>GREEN BEANS DICED 12MM</t>
        </is>
      </c>
      <c r="E179" t="inlineStr">
        <is>
          <t>grams</t>
        </is>
      </c>
      <c r="F179" t="inlineStr">
        <is>
          <t>child</t>
        </is>
      </c>
      <c r="G179" t="inlineStr"/>
      <c r="H179" t="n">
        <v>3</v>
      </c>
      <c r="I179" t="inlineStr">
        <is>
          <t>stock_net</t>
        </is>
      </c>
      <c r="J179" t="inlineStr"/>
      <c r="K179" t="inlineStr"/>
      <c r="L179" t="inlineStr"/>
      <c r="M179" t="b">
        <v>1</v>
      </c>
      <c r="N179" t="inlineStr">
        <is>
          <t>consider_stock=false</t>
        </is>
      </c>
      <c r="O179" t="inlineStr"/>
      <c r="P179" t="inlineStr"/>
      <c r="Q179" t="inlineStr"/>
      <c r="R179" t="inlineStr">
        <is>
          <t>58823.5294117647058823529412</t>
        </is>
      </c>
      <c r="S179" t="inlineStr">
        <is>
          <t>58823.5294117647058823529412</t>
        </is>
      </c>
    </row>
    <row r="180">
      <c r="A180" t="n">
        <v>4</v>
      </c>
      <c r="B180" t="n">
        <v>824</v>
      </c>
      <c r="C180" t="inlineStr">
        <is>
          <t>AFFINITY-S1</t>
        </is>
      </c>
      <c r="D180" t="inlineStr">
        <is>
          <t>Water</t>
        </is>
      </c>
      <c r="E180" t="inlineStr">
        <is>
          <t>grams</t>
        </is>
      </c>
      <c r="F180" t="inlineStr">
        <is>
          <t>child</t>
        </is>
      </c>
      <c r="G180" t="inlineStr">
        <is>
          <t>42003.72783084498749263997181 from parent 139762.4039133473095737246681 × BOM 42000 / batch_quantity 139750. Stock not applied.</t>
        </is>
      </c>
      <c r="H180" t="n">
        <v>1</v>
      </c>
      <c r="I180" t="inlineStr">
        <is>
          <t>scale_bom</t>
        </is>
      </c>
      <c r="J180" t="inlineStr">
        <is>
          <t>parent_gross × bom_qty / batch_quantity</t>
        </is>
      </c>
      <c r="K180" t="inlineStr">
        <is>
          <t>139762.4039133473095737246681 × 42000 / 139750</t>
        </is>
      </c>
      <c r="L180" t="inlineStr">
        <is>
          <t>42003.72783084498749263997181</t>
        </is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4</v>
      </c>
      <c r="B181" t="n">
        <v>824</v>
      </c>
      <c r="C181" t="inlineStr">
        <is>
          <t>AFFINITY-S1</t>
        </is>
      </c>
      <c r="D181" t="inlineStr">
        <is>
          <t>Water</t>
        </is>
      </c>
      <c r="E181" t="inlineStr">
        <is>
          <t>grams</t>
        </is>
      </c>
      <c r="F181" t="inlineStr">
        <is>
          <t>child</t>
        </is>
      </c>
      <c r="G181" t="inlineStr"/>
      <c r="H181" t="n">
        <v>2</v>
      </c>
      <c r="I181" t="inlineStr">
        <is>
          <t>gross</t>
        </is>
      </c>
      <c r="J181" t="inlineStr">
        <is>
          <t>net / recipe_yield</t>
        </is>
      </c>
      <c r="K181" t="inlineStr">
        <is>
          <t>42003.72783084498749263997181 / 1 (recipe yield 100%)</t>
        </is>
      </c>
      <c r="L181" t="inlineStr">
        <is>
          <t>42003.72783084498749263997181</t>
        </is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4</v>
      </c>
      <c r="B182" t="n">
        <v>824</v>
      </c>
      <c r="C182" t="inlineStr">
        <is>
          <t>AFFINITY-S1</t>
        </is>
      </c>
      <c r="D182" t="inlineStr">
        <is>
          <t>Water</t>
        </is>
      </c>
      <c r="E182" t="inlineStr">
        <is>
          <t>grams</t>
        </is>
      </c>
      <c r="F182" t="inlineStr">
        <is>
          <t>child</t>
        </is>
      </c>
      <c r="G182" t="inlineStr"/>
      <c r="H182" t="n">
        <v>3</v>
      </c>
      <c r="I182" t="inlineStr">
        <is>
          <t>stock_net</t>
        </is>
      </c>
      <c r="J182" t="inlineStr"/>
      <c r="K182" t="inlineStr"/>
      <c r="L182" t="inlineStr"/>
      <c r="M182" t="b">
        <v>1</v>
      </c>
      <c r="N182" t="inlineStr">
        <is>
          <t>consider_stock=false</t>
        </is>
      </c>
      <c r="O182" t="inlineStr"/>
      <c r="P182" t="inlineStr"/>
      <c r="Q182" t="inlineStr"/>
      <c r="R182" t="inlineStr">
        <is>
          <t>42003.72783084498749263997181</t>
        </is>
      </c>
      <c r="S182" t="inlineStr">
        <is>
          <t>42003.72783084498749263997181</t>
        </is>
      </c>
    </row>
    <row r="183">
      <c r="A183" t="n">
        <v>4</v>
      </c>
      <c r="B183" t="n">
        <v>127</v>
      </c>
      <c r="C183" t="inlineStr">
        <is>
          <t>SAUCE0-01</t>
        </is>
      </c>
      <c r="D183" t="inlineStr">
        <is>
          <t>TOMATO CRUSHED (BLENDED)</t>
        </is>
      </c>
      <c r="E183" t="inlineStr">
        <is>
          <t>grams</t>
        </is>
      </c>
      <c r="F183" t="inlineStr">
        <is>
          <t>child</t>
        </is>
      </c>
      <c r="G183" t="inlineStr">
        <is>
          <t>28002.48522056332499509331454 from parent 139762.4039133473095737246681 × BOM 28000 / batch_quantity 139750. Stock not applied.</t>
        </is>
      </c>
      <c r="H183" t="n">
        <v>1</v>
      </c>
      <c r="I183" t="inlineStr">
        <is>
          <t>scale_bom</t>
        </is>
      </c>
      <c r="J183" t="inlineStr">
        <is>
          <t>parent_gross × bom_qty / batch_quantity</t>
        </is>
      </c>
      <c r="K183" t="inlineStr">
        <is>
          <t>139762.4039133473095737246681 × 28000 / 139750</t>
        </is>
      </c>
      <c r="L183" t="inlineStr">
        <is>
          <t>28002.48522056332499509331454</t>
        </is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4</v>
      </c>
      <c r="B184" t="n">
        <v>127</v>
      </c>
      <c r="C184" t="inlineStr">
        <is>
          <t>SAUCE0-01</t>
        </is>
      </c>
      <c r="D184" t="inlineStr">
        <is>
          <t>TOMATO CRUSHED (BLENDED)</t>
        </is>
      </c>
      <c r="E184" t="inlineStr">
        <is>
          <t>grams</t>
        </is>
      </c>
      <c r="F184" t="inlineStr">
        <is>
          <t>child</t>
        </is>
      </c>
      <c r="G184" t="inlineStr"/>
      <c r="H184" t="n">
        <v>2</v>
      </c>
      <c r="I184" t="inlineStr">
        <is>
          <t>gross</t>
        </is>
      </c>
      <c r="J184" t="inlineStr">
        <is>
          <t>net / recipe_yield</t>
        </is>
      </c>
      <c r="K184" t="inlineStr">
        <is>
          <t>28002.48522056332499509331454 / 1 (recipe yield 100%)</t>
        </is>
      </c>
      <c r="L184" t="inlineStr">
        <is>
          <t>28002.48522056332499509331454</t>
        </is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4</v>
      </c>
      <c r="B185" t="n">
        <v>127</v>
      </c>
      <c r="C185" t="inlineStr">
        <is>
          <t>SAUCE0-01</t>
        </is>
      </c>
      <c r="D185" t="inlineStr">
        <is>
          <t>TOMATO CRUSHED (BLENDED)</t>
        </is>
      </c>
      <c r="E185" t="inlineStr">
        <is>
          <t>grams</t>
        </is>
      </c>
      <c r="F185" t="inlineStr">
        <is>
          <t>child</t>
        </is>
      </c>
      <c r="G185" t="inlineStr"/>
      <c r="H185" t="n">
        <v>3</v>
      </c>
      <c r="I185" t="inlineStr">
        <is>
          <t>stock_net</t>
        </is>
      </c>
      <c r="J185" t="inlineStr"/>
      <c r="K185" t="inlineStr"/>
      <c r="L185" t="inlineStr"/>
      <c r="M185" t="b">
        <v>1</v>
      </c>
      <c r="N185" t="inlineStr">
        <is>
          <t>consider_stock=false</t>
        </is>
      </c>
      <c r="O185" t="inlineStr"/>
      <c r="P185" t="inlineStr"/>
      <c r="Q185" t="inlineStr"/>
      <c r="R185" t="inlineStr">
        <is>
          <t>28002.48522056332499509331454</t>
        </is>
      </c>
      <c r="S185" t="inlineStr">
        <is>
          <t>28002.48522056332499509331454</t>
        </is>
      </c>
    </row>
    <row r="186">
      <c r="A186" t="n">
        <v>4</v>
      </c>
      <c r="B186" t="n">
        <v>142</v>
      </c>
      <c r="C186" t="inlineStr">
        <is>
          <t>SAUCE0-15</t>
        </is>
      </c>
      <c r="D186" t="inlineStr">
        <is>
          <t>ONION RTU 10MM</t>
        </is>
      </c>
      <c r="E186" t="inlineStr">
        <is>
          <t>grams</t>
        </is>
      </c>
      <c r="F186" t="inlineStr">
        <is>
          <t>child</t>
        </is>
      </c>
      <c r="G186" t="inlineStr">
        <is>
          <t>16001.42012603618571148189403 from parent 139762.4039133473095737246681 × BOM 16000 / batch_quantity 139750. Stock not applied.</t>
        </is>
      </c>
      <c r="H186" t="n">
        <v>1</v>
      </c>
      <c r="I186" t="inlineStr">
        <is>
          <t>scale_bom</t>
        </is>
      </c>
      <c r="J186" t="inlineStr">
        <is>
          <t>parent_gross × bom_qty / batch_quantity</t>
        </is>
      </c>
      <c r="K186" t="inlineStr">
        <is>
          <t>139762.4039133473095737246681 × 16000 / 139750</t>
        </is>
      </c>
      <c r="L186" t="inlineStr">
        <is>
          <t>16001.42012603618571148189403</t>
        </is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4</v>
      </c>
      <c r="B187" t="n">
        <v>142</v>
      </c>
      <c r="C187" t="inlineStr">
        <is>
          <t>SAUCE0-15</t>
        </is>
      </c>
      <c r="D187" t="inlineStr">
        <is>
          <t>ONION RTU 10MM</t>
        </is>
      </c>
      <c r="E187" t="inlineStr">
        <is>
          <t>grams</t>
        </is>
      </c>
      <c r="F187" t="inlineStr">
        <is>
          <t>child</t>
        </is>
      </c>
      <c r="G187" t="inlineStr"/>
      <c r="H187" t="n">
        <v>2</v>
      </c>
      <c r="I187" t="inlineStr">
        <is>
          <t>gross</t>
        </is>
      </c>
      <c r="J187" t="inlineStr">
        <is>
          <t>net / recipe_yield</t>
        </is>
      </c>
      <c r="K187" t="inlineStr">
        <is>
          <t>16001.42012603618571148189403 / 1 (recipe yield 100%)</t>
        </is>
      </c>
      <c r="L187" t="inlineStr">
        <is>
          <t>16001.42012603618571148189403</t>
        </is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4</v>
      </c>
      <c r="B188" t="n">
        <v>142</v>
      </c>
      <c r="C188" t="inlineStr">
        <is>
          <t>SAUCE0-15</t>
        </is>
      </c>
      <c r="D188" t="inlineStr">
        <is>
          <t>ONION RTU 10MM</t>
        </is>
      </c>
      <c r="E188" t="inlineStr">
        <is>
          <t>grams</t>
        </is>
      </c>
      <c r="F188" t="inlineStr">
        <is>
          <t>child</t>
        </is>
      </c>
      <c r="G188" t="inlineStr"/>
      <c r="H188" t="n">
        <v>3</v>
      </c>
      <c r="I188" t="inlineStr">
        <is>
          <t>stock_net</t>
        </is>
      </c>
      <c r="J188" t="inlineStr"/>
      <c r="K188" t="inlineStr"/>
      <c r="L188" t="inlineStr"/>
      <c r="M188" t="b">
        <v>1</v>
      </c>
      <c r="N188" t="inlineStr">
        <is>
          <t>consider_stock=false</t>
        </is>
      </c>
      <c r="O188" t="inlineStr"/>
      <c r="P188" t="inlineStr"/>
      <c r="Q188" t="inlineStr"/>
      <c r="R188" t="inlineStr">
        <is>
          <t>16001.42012603618571148189403</t>
        </is>
      </c>
      <c r="S188" t="inlineStr">
        <is>
          <t>16001.42012603618571148189403</t>
        </is>
      </c>
    </row>
    <row r="189">
      <c r="A189" t="n">
        <v>4</v>
      </c>
      <c r="B189" t="n">
        <v>129</v>
      </c>
      <c r="C189" t="inlineStr">
        <is>
          <t>SAUCE0-03</t>
        </is>
      </c>
      <c r="D189" t="inlineStr">
        <is>
          <t>TOMATO PASTE</t>
        </is>
      </c>
      <c r="E189" t="inlineStr">
        <is>
          <t>grams</t>
        </is>
      </c>
      <c r="F189" t="inlineStr">
        <is>
          <t>child</t>
        </is>
      </c>
      <c r="G189" t="inlineStr">
        <is>
          <t>10000.88757877261606967618376 from parent 139762.4039133473095737246681 × BOM 10000 / batch_quantity 139750. Stock not applied.</t>
        </is>
      </c>
      <c r="H189" t="n">
        <v>1</v>
      </c>
      <c r="I189" t="inlineStr">
        <is>
          <t>scale_bom</t>
        </is>
      </c>
      <c r="J189" t="inlineStr">
        <is>
          <t>parent_gross × bom_qty / batch_quantity</t>
        </is>
      </c>
      <c r="K189" t="inlineStr">
        <is>
          <t>139762.4039133473095737246681 × 10000 / 139750</t>
        </is>
      </c>
      <c r="L189" t="inlineStr">
        <is>
          <t>10000.88757877261606967618376</t>
        </is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4</v>
      </c>
      <c r="B190" t="n">
        <v>129</v>
      </c>
      <c r="C190" t="inlineStr">
        <is>
          <t>SAUCE0-03</t>
        </is>
      </c>
      <c r="D190" t="inlineStr">
        <is>
          <t>TOMATO PASTE</t>
        </is>
      </c>
      <c r="E190" t="inlineStr">
        <is>
          <t>grams</t>
        </is>
      </c>
      <c r="F190" t="inlineStr">
        <is>
          <t>child</t>
        </is>
      </c>
      <c r="G190" t="inlineStr"/>
      <c r="H190" t="n">
        <v>2</v>
      </c>
      <c r="I190" t="inlineStr">
        <is>
          <t>gross</t>
        </is>
      </c>
      <c r="J190" t="inlineStr">
        <is>
          <t>net / recipe_yield</t>
        </is>
      </c>
      <c r="K190" t="inlineStr">
        <is>
          <t>10000.88757877261606967618376 / 1 (recipe yield 100%)</t>
        </is>
      </c>
      <c r="L190" t="inlineStr">
        <is>
          <t>10000.88757877261606967618376</t>
        </is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4</v>
      </c>
      <c r="B191" t="n">
        <v>129</v>
      </c>
      <c r="C191" t="inlineStr">
        <is>
          <t>SAUCE0-03</t>
        </is>
      </c>
      <c r="D191" t="inlineStr">
        <is>
          <t>TOMATO PASTE</t>
        </is>
      </c>
      <c r="E191" t="inlineStr">
        <is>
          <t>grams</t>
        </is>
      </c>
      <c r="F191" t="inlineStr">
        <is>
          <t>child</t>
        </is>
      </c>
      <c r="G191" t="inlineStr"/>
      <c r="H191" t="n">
        <v>3</v>
      </c>
      <c r="I191" t="inlineStr">
        <is>
          <t>stock_net</t>
        </is>
      </c>
      <c r="J191" t="inlineStr"/>
      <c r="K191" t="inlineStr"/>
      <c r="L191" t="inlineStr"/>
      <c r="M191" t="b">
        <v>1</v>
      </c>
      <c r="N191" t="inlineStr">
        <is>
          <t>consider_stock=false</t>
        </is>
      </c>
      <c r="O191" t="inlineStr"/>
      <c r="P191" t="inlineStr"/>
      <c r="Q191" t="inlineStr"/>
      <c r="R191" t="inlineStr">
        <is>
          <t>10000.88757877261606967618376</t>
        </is>
      </c>
      <c r="S191" t="inlineStr">
        <is>
          <t>10000.88757877261606967618376</t>
        </is>
      </c>
    </row>
    <row r="192">
      <c r="A192" t="n">
        <v>4</v>
      </c>
      <c r="B192" t="n">
        <v>29</v>
      </c>
      <c r="C192" t="inlineStr">
        <is>
          <t>VEGFRO-11</t>
        </is>
      </c>
      <c r="D192" t="inlineStr">
        <is>
          <t>GARLIC PUREE (FROZEN)</t>
        </is>
      </c>
      <c r="E192" t="inlineStr">
        <is>
          <t>grams</t>
        </is>
      </c>
      <c r="F192" t="inlineStr">
        <is>
          <t>child</t>
        </is>
      </c>
      <c r="G192" t="inlineStr">
        <is>
          <t>5000.443789386308034838091882 from parent 139762.4039133473095737246681 × BOM 5000 / batch_quantity 139750. Stock not applied.</t>
        </is>
      </c>
      <c r="H192" t="n">
        <v>1</v>
      </c>
      <c r="I192" t="inlineStr">
        <is>
          <t>scale_bom</t>
        </is>
      </c>
      <c r="J192" t="inlineStr">
        <is>
          <t>parent_gross × bom_qty / batch_quantity</t>
        </is>
      </c>
      <c r="K192" t="inlineStr">
        <is>
          <t>139762.4039133473095737246681 × 5000 / 139750</t>
        </is>
      </c>
      <c r="L192" t="inlineStr">
        <is>
          <t>5000.443789386308034838091882</t>
        </is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4</v>
      </c>
      <c r="B193" t="n">
        <v>29</v>
      </c>
      <c r="C193" t="inlineStr">
        <is>
          <t>VEGFRO-11</t>
        </is>
      </c>
      <c r="D193" t="inlineStr">
        <is>
          <t>GARLIC PUREE (FROZEN)</t>
        </is>
      </c>
      <c r="E193" t="inlineStr">
        <is>
          <t>grams</t>
        </is>
      </c>
      <c r="F193" t="inlineStr">
        <is>
          <t>child</t>
        </is>
      </c>
      <c r="G193" t="inlineStr"/>
      <c r="H193" t="n">
        <v>2</v>
      </c>
      <c r="I193" t="inlineStr">
        <is>
          <t>gross</t>
        </is>
      </c>
      <c r="J193" t="inlineStr">
        <is>
          <t>net / recipe_yield</t>
        </is>
      </c>
      <c r="K193" t="inlineStr">
        <is>
          <t>5000.443789386308034838091882 / 1 (recipe yield 100%)</t>
        </is>
      </c>
      <c r="L193" t="inlineStr">
        <is>
          <t>5000.443789386308034838091882</t>
        </is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4</v>
      </c>
      <c r="B194" t="n">
        <v>29</v>
      </c>
      <c r="C194" t="inlineStr">
        <is>
          <t>VEGFRO-11</t>
        </is>
      </c>
      <c r="D194" t="inlineStr">
        <is>
          <t>GARLIC PUREE (FROZEN)</t>
        </is>
      </c>
      <c r="E194" t="inlineStr">
        <is>
          <t>grams</t>
        </is>
      </c>
      <c r="F194" t="inlineStr">
        <is>
          <t>child</t>
        </is>
      </c>
      <c r="G194" t="inlineStr"/>
      <c r="H194" t="n">
        <v>3</v>
      </c>
      <c r="I194" t="inlineStr">
        <is>
          <t>stock_net</t>
        </is>
      </c>
      <c r="J194" t="inlineStr"/>
      <c r="K194" t="inlineStr"/>
      <c r="L194" t="inlineStr"/>
      <c r="M194" t="b">
        <v>1</v>
      </c>
      <c r="N194" t="inlineStr">
        <is>
          <t>consider_stock=false</t>
        </is>
      </c>
      <c r="O194" t="inlineStr"/>
      <c r="P194" t="inlineStr"/>
      <c r="Q194" t="inlineStr"/>
      <c r="R194" t="inlineStr">
        <is>
          <t>5000.443789386308034838091882</t>
        </is>
      </c>
      <c r="S194" t="inlineStr">
        <is>
          <t>5000.443789386308034838091882</t>
        </is>
      </c>
    </row>
    <row r="195">
      <c r="A195" t="n">
        <v>4</v>
      </c>
      <c r="B195" t="n">
        <v>213</v>
      </c>
      <c r="C195" t="inlineStr">
        <is>
          <t>INGRAD-38</t>
        </is>
      </c>
      <c r="D195" t="inlineStr">
        <is>
          <t>OLIVE OIL</t>
        </is>
      </c>
      <c r="E195" t="inlineStr">
        <is>
          <t>grams</t>
        </is>
      </c>
      <c r="F195" t="inlineStr">
        <is>
          <t>child</t>
        </is>
      </c>
      <c r="G195" t="inlineStr">
        <is>
          <t>3150.279587313374061947997886 from parent 139762.4039133473095737246681 × BOM 3150 / batch_quantity 139750. Stock not applied.</t>
        </is>
      </c>
      <c r="H195" t="n">
        <v>1</v>
      </c>
      <c r="I195" t="inlineStr">
        <is>
          <t>scale_bom</t>
        </is>
      </c>
      <c r="J195" t="inlineStr">
        <is>
          <t>parent_gross × bom_qty / batch_quantity</t>
        </is>
      </c>
      <c r="K195" t="inlineStr">
        <is>
          <t>139762.4039133473095737246681 × 3150 / 139750</t>
        </is>
      </c>
      <c r="L195" t="inlineStr">
        <is>
          <t>3150.279587313374061947997886</t>
        </is>
      </c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4</v>
      </c>
      <c r="B196" t="n">
        <v>213</v>
      </c>
      <c r="C196" t="inlineStr">
        <is>
          <t>INGRAD-38</t>
        </is>
      </c>
      <c r="D196" t="inlineStr">
        <is>
          <t>OLIVE OIL</t>
        </is>
      </c>
      <c r="E196" t="inlineStr">
        <is>
          <t>grams</t>
        </is>
      </c>
      <c r="F196" t="inlineStr">
        <is>
          <t>child</t>
        </is>
      </c>
      <c r="G196" t="inlineStr"/>
      <c r="H196" t="n">
        <v>2</v>
      </c>
      <c r="I196" t="inlineStr">
        <is>
          <t>gross</t>
        </is>
      </c>
      <c r="J196" t="inlineStr">
        <is>
          <t>net / recipe_yield</t>
        </is>
      </c>
      <c r="K196" t="inlineStr">
        <is>
          <t>3150.279587313374061947997886 / 1 (recipe yield 100%)</t>
        </is>
      </c>
      <c r="L196" t="inlineStr">
        <is>
          <t>3150.279587313374061947997886</t>
        </is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4</v>
      </c>
      <c r="B197" t="n">
        <v>213</v>
      </c>
      <c r="C197" t="inlineStr">
        <is>
          <t>INGRAD-38</t>
        </is>
      </c>
      <c r="D197" t="inlineStr">
        <is>
          <t>OLIVE OIL</t>
        </is>
      </c>
      <c r="E197" t="inlineStr">
        <is>
          <t>grams</t>
        </is>
      </c>
      <c r="F197" t="inlineStr">
        <is>
          <t>child</t>
        </is>
      </c>
      <c r="G197" t="inlineStr"/>
      <c r="H197" t="n">
        <v>3</v>
      </c>
      <c r="I197" t="inlineStr">
        <is>
          <t>stock_net</t>
        </is>
      </c>
      <c r="J197" t="inlineStr"/>
      <c r="K197" t="inlineStr"/>
      <c r="L197" t="inlineStr"/>
      <c r="M197" t="b">
        <v>1</v>
      </c>
      <c r="N197" t="inlineStr">
        <is>
          <t>consider_stock=false</t>
        </is>
      </c>
      <c r="O197" t="inlineStr"/>
      <c r="P197" t="inlineStr"/>
      <c r="Q197" t="inlineStr"/>
      <c r="R197" t="inlineStr">
        <is>
          <t>3150.279587313374061947997886</t>
        </is>
      </c>
      <c r="S197" t="inlineStr">
        <is>
          <t>3150.279587313374061947997886</t>
        </is>
      </c>
    </row>
    <row r="198">
      <c r="A198" t="n">
        <v>4</v>
      </c>
      <c r="B198" t="n">
        <v>291</v>
      </c>
      <c r="C198" t="inlineStr">
        <is>
          <t>INGRAD-17</t>
        </is>
      </c>
      <c r="D198" t="inlineStr">
        <is>
          <t>CORN FLOUR</t>
        </is>
      </c>
      <c r="E198" t="inlineStr">
        <is>
          <t>grams</t>
        </is>
      </c>
      <c r="F198" t="inlineStr">
        <is>
          <t>child</t>
        </is>
      </c>
      <c r="G198" t="inlineStr">
        <is>
          <t>1000.088757877261606967618376 from parent 139762.4039133473095737246681 × BOM 1000 / batch_quantity 139750. Stock not applied.</t>
        </is>
      </c>
      <c r="H198" t="n">
        <v>1</v>
      </c>
      <c r="I198" t="inlineStr">
        <is>
          <t>scale_bom</t>
        </is>
      </c>
      <c r="J198" t="inlineStr">
        <is>
          <t>parent_gross × bom_qty / batch_quantity</t>
        </is>
      </c>
      <c r="K198" t="inlineStr">
        <is>
          <t>139762.4039133473095737246681 × 1000 / 139750</t>
        </is>
      </c>
      <c r="L198" t="inlineStr">
        <is>
          <t>1000.088757877261606967618376</t>
        </is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4</v>
      </c>
      <c r="B199" t="n">
        <v>291</v>
      </c>
      <c r="C199" t="inlineStr">
        <is>
          <t>INGRAD-17</t>
        </is>
      </c>
      <c r="D199" t="inlineStr">
        <is>
          <t>CORN FLOUR</t>
        </is>
      </c>
      <c r="E199" t="inlineStr">
        <is>
          <t>grams</t>
        </is>
      </c>
      <c r="F199" t="inlineStr">
        <is>
          <t>child</t>
        </is>
      </c>
      <c r="G199" t="inlineStr"/>
      <c r="H199" t="n">
        <v>2</v>
      </c>
      <c r="I199" t="inlineStr">
        <is>
          <t>gross</t>
        </is>
      </c>
      <c r="J199" t="inlineStr">
        <is>
          <t>net / recipe_yield</t>
        </is>
      </c>
      <c r="K199" t="inlineStr">
        <is>
          <t>1000.088757877261606967618376 / 1 (recipe yield 100%)</t>
        </is>
      </c>
      <c r="L199" t="inlineStr">
        <is>
          <t>1000.088757877261606967618376</t>
        </is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4</v>
      </c>
      <c r="B200" t="n">
        <v>291</v>
      </c>
      <c r="C200" t="inlineStr">
        <is>
          <t>INGRAD-17</t>
        </is>
      </c>
      <c r="D200" t="inlineStr">
        <is>
          <t>CORN FLOUR</t>
        </is>
      </c>
      <c r="E200" t="inlineStr">
        <is>
          <t>grams</t>
        </is>
      </c>
      <c r="F200" t="inlineStr">
        <is>
          <t>child</t>
        </is>
      </c>
      <c r="G200" t="inlineStr"/>
      <c r="H200" t="n">
        <v>3</v>
      </c>
      <c r="I200" t="inlineStr">
        <is>
          <t>stock_net</t>
        </is>
      </c>
      <c r="J200" t="inlineStr"/>
      <c r="K200" t="inlineStr"/>
      <c r="L200" t="inlineStr"/>
      <c r="M200" t="b">
        <v>1</v>
      </c>
      <c r="N200" t="inlineStr">
        <is>
          <t>consider_stock=false</t>
        </is>
      </c>
      <c r="O200" t="inlineStr"/>
      <c r="P200" t="inlineStr"/>
      <c r="Q200" t="inlineStr"/>
      <c r="R200" t="inlineStr">
        <is>
          <t>1000.088757877261606967618376</t>
        </is>
      </c>
      <c r="S200" t="inlineStr">
        <is>
          <t>1000.088757877261606967618376</t>
        </is>
      </c>
    </row>
    <row r="201">
      <c r="A201" t="n">
        <v>4</v>
      </c>
      <c r="B201" t="n">
        <v>1528</v>
      </c>
      <c r="C201" t="inlineStr">
        <is>
          <t>GFF575R-S</t>
        </is>
      </c>
      <c r="D201" t="inlineStr">
        <is>
          <t>Cacciatore Sauce (Simmers) - 575 - Spices</t>
        </is>
      </c>
      <c r="E201" t="inlineStr">
        <is>
          <t>grams</t>
        </is>
      </c>
      <c r="F201" t="inlineStr">
        <is>
          <t>child</t>
        </is>
      </c>
      <c r="G201" t="inlineStr">
        <is>
          <t>3600.319528358141785083426155 from parent 139762.4039133473095737246681 × BOM 3600 / batch_quantity 139750. Stock not applied.</t>
        </is>
      </c>
      <c r="H201" t="n">
        <v>1</v>
      </c>
      <c r="I201" t="inlineStr">
        <is>
          <t>scale_bom</t>
        </is>
      </c>
      <c r="J201" t="inlineStr">
        <is>
          <t>parent_gross × bom_qty / batch_quantity</t>
        </is>
      </c>
      <c r="K201" t="inlineStr">
        <is>
          <t>139762.4039133473095737246681 × 3600 / 139750</t>
        </is>
      </c>
      <c r="L201" t="inlineStr">
        <is>
          <t>3600.319528358141785083426155</t>
        </is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4</v>
      </c>
      <c r="B202" t="n">
        <v>1528</v>
      </c>
      <c r="C202" t="inlineStr">
        <is>
          <t>GFF575R-S</t>
        </is>
      </c>
      <c r="D202" t="inlineStr">
        <is>
          <t>Cacciatore Sauce (Simmers) - 575 - Spices</t>
        </is>
      </c>
      <c r="E202" t="inlineStr">
        <is>
          <t>grams</t>
        </is>
      </c>
      <c r="F202" t="inlineStr">
        <is>
          <t>child</t>
        </is>
      </c>
      <c r="G202" t="inlineStr"/>
      <c r="H202" t="n">
        <v>2</v>
      </c>
      <c r="I202" t="inlineStr">
        <is>
          <t>gross</t>
        </is>
      </c>
      <c r="J202" t="inlineStr">
        <is>
          <t>net / recipe_yield</t>
        </is>
      </c>
      <c r="K202" t="inlineStr">
        <is>
          <t>3600.319528358141785083426155 / 1 (recipe yield 100%)</t>
        </is>
      </c>
      <c r="L202" t="inlineStr">
        <is>
          <t>3600.319528358141785083426155</t>
        </is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4</v>
      </c>
      <c r="B203" t="n">
        <v>1528</v>
      </c>
      <c r="C203" t="inlineStr">
        <is>
          <t>GFF575R-S</t>
        </is>
      </c>
      <c r="D203" t="inlineStr">
        <is>
          <t>Cacciatore Sauce (Simmers) - 575 - Spices</t>
        </is>
      </c>
      <c r="E203" t="inlineStr">
        <is>
          <t>grams</t>
        </is>
      </c>
      <c r="F203" t="inlineStr">
        <is>
          <t>child</t>
        </is>
      </c>
      <c r="G203" t="inlineStr"/>
      <c r="H203" t="n">
        <v>3</v>
      </c>
      <c r="I203" t="inlineStr">
        <is>
          <t>stock_net</t>
        </is>
      </c>
      <c r="J203" t="inlineStr"/>
      <c r="K203" t="inlineStr"/>
      <c r="L203" t="inlineStr"/>
      <c r="M203" t="b">
        <v>1</v>
      </c>
      <c r="N203" t="inlineStr">
        <is>
          <t>consider_stock=false</t>
        </is>
      </c>
      <c r="O203" t="inlineStr"/>
      <c r="P203" t="inlineStr"/>
      <c r="Q203" t="inlineStr"/>
      <c r="R203" t="inlineStr">
        <is>
          <t>3600.319528358141785083426155</t>
        </is>
      </c>
      <c r="S203" t="inlineStr">
        <is>
          <t>3600.319528358141785083426155</t>
        </is>
      </c>
    </row>
    <row r="204">
      <c r="A204" t="n">
        <v>4</v>
      </c>
      <c r="B204" t="n">
        <v>471</v>
      </c>
      <c r="C204" t="inlineStr">
        <is>
          <t>VEGCHI-56</t>
        </is>
      </c>
      <c r="D204" t="inlineStr">
        <is>
          <t>Sliced Kalamata Olives</t>
        </is>
      </c>
      <c r="E204" t="inlineStr">
        <is>
          <t>grams</t>
        </is>
      </c>
      <c r="F204" t="inlineStr">
        <is>
          <t>child</t>
        </is>
      </c>
      <c r="G204" t="inlineStr">
        <is>
          <t>5000.443789386308034838091882 from parent 139762.4039133473095737246681 × BOM 5000 / batch_quantity 139750. Stock not applied.</t>
        </is>
      </c>
      <c r="H204" t="n">
        <v>1</v>
      </c>
      <c r="I204" t="inlineStr">
        <is>
          <t>scale_bom</t>
        </is>
      </c>
      <c r="J204" t="inlineStr">
        <is>
          <t>parent_gross × bom_qty / batch_quantity</t>
        </is>
      </c>
      <c r="K204" t="inlineStr">
        <is>
          <t>139762.4039133473095737246681 × 5000 / 139750</t>
        </is>
      </c>
      <c r="L204" t="inlineStr">
        <is>
          <t>5000.443789386308034838091882</t>
        </is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4</v>
      </c>
      <c r="B205" t="n">
        <v>471</v>
      </c>
      <c r="C205" t="inlineStr">
        <is>
          <t>VEGCHI-56</t>
        </is>
      </c>
      <c r="D205" t="inlineStr">
        <is>
          <t>Sliced Kalamata Olives</t>
        </is>
      </c>
      <c r="E205" t="inlineStr">
        <is>
          <t>grams</t>
        </is>
      </c>
      <c r="F205" t="inlineStr">
        <is>
          <t>child</t>
        </is>
      </c>
      <c r="G205" t="inlineStr"/>
      <c r="H205" t="n">
        <v>2</v>
      </c>
      <c r="I205" t="inlineStr">
        <is>
          <t>gross</t>
        </is>
      </c>
      <c r="J205" t="inlineStr">
        <is>
          <t>net / recipe_yield</t>
        </is>
      </c>
      <c r="K205" t="inlineStr">
        <is>
          <t>5000.443789386308034838091882 / 1 (recipe yield 100%)</t>
        </is>
      </c>
      <c r="L205" t="inlineStr">
        <is>
          <t>5000.443789386308034838091882</t>
        </is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4</v>
      </c>
      <c r="B206" t="n">
        <v>471</v>
      </c>
      <c r="C206" t="inlineStr">
        <is>
          <t>VEGCHI-56</t>
        </is>
      </c>
      <c r="D206" t="inlineStr">
        <is>
          <t>Sliced Kalamata Olives</t>
        </is>
      </c>
      <c r="E206" t="inlineStr">
        <is>
          <t>grams</t>
        </is>
      </c>
      <c r="F206" t="inlineStr">
        <is>
          <t>child</t>
        </is>
      </c>
      <c r="G206" t="inlineStr"/>
      <c r="H206" t="n">
        <v>3</v>
      </c>
      <c r="I206" t="inlineStr">
        <is>
          <t>stock_net</t>
        </is>
      </c>
      <c r="J206" t="inlineStr"/>
      <c r="K206" t="inlineStr"/>
      <c r="L206" t="inlineStr"/>
      <c r="M206" t="b">
        <v>1</v>
      </c>
      <c r="N206" t="inlineStr">
        <is>
          <t>consider_stock=false</t>
        </is>
      </c>
      <c r="O206" t="inlineStr"/>
      <c r="P206" t="inlineStr"/>
      <c r="Q206" t="inlineStr"/>
      <c r="R206" t="inlineStr">
        <is>
          <t>5000.443789386308034838091882</t>
        </is>
      </c>
      <c r="S206" t="inlineStr">
        <is>
          <t>5000.443789386308034838091882</t>
        </is>
      </c>
    </row>
    <row r="207">
      <c r="A207" t="n">
        <v>4</v>
      </c>
      <c r="B207" t="n">
        <v>469</v>
      </c>
      <c r="C207" t="inlineStr">
        <is>
          <t>VEGCHI-54</t>
        </is>
      </c>
      <c r="D207" t="inlineStr">
        <is>
          <t>CHOPPED MUSHROOM</t>
        </is>
      </c>
      <c r="E207" t="inlineStr">
        <is>
          <t>grams</t>
        </is>
      </c>
      <c r="F207" t="inlineStr">
        <is>
          <t>child</t>
        </is>
      </c>
      <c r="G207" t="inlineStr">
        <is>
          <t>26002.30770480880178115807779 from parent 139762.4039133473095737246681 × BOM 26000 / batch_quantity 139750. Stock not applied.</t>
        </is>
      </c>
      <c r="H207" t="n">
        <v>1</v>
      </c>
      <c r="I207" t="inlineStr">
        <is>
          <t>scale_bom</t>
        </is>
      </c>
      <c r="J207" t="inlineStr">
        <is>
          <t>parent_gross × bom_qty / batch_quantity</t>
        </is>
      </c>
      <c r="K207" t="inlineStr">
        <is>
          <t>139762.4039133473095737246681 × 26000 / 139750</t>
        </is>
      </c>
      <c r="L207" t="inlineStr">
        <is>
          <t>26002.30770480880178115807779</t>
        </is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4</v>
      </c>
      <c r="B208" t="n">
        <v>469</v>
      </c>
      <c r="C208" t="inlineStr">
        <is>
          <t>VEGCHI-54</t>
        </is>
      </c>
      <c r="D208" t="inlineStr">
        <is>
          <t>CHOPPED MUSHROOM</t>
        </is>
      </c>
      <c r="E208" t="inlineStr">
        <is>
          <t>grams</t>
        </is>
      </c>
      <c r="F208" t="inlineStr">
        <is>
          <t>child</t>
        </is>
      </c>
      <c r="G208" t="inlineStr"/>
      <c r="H208" t="n">
        <v>2</v>
      </c>
      <c r="I208" t="inlineStr">
        <is>
          <t>gross</t>
        </is>
      </c>
      <c r="J208" t="inlineStr">
        <is>
          <t>net / recipe_yield</t>
        </is>
      </c>
      <c r="K208" t="inlineStr">
        <is>
          <t>26002.30770480880178115807779 / 1 (recipe yield 100%)</t>
        </is>
      </c>
      <c r="L208" t="inlineStr">
        <is>
          <t>26002.30770480880178115807779</t>
        </is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4</v>
      </c>
      <c r="B209" t="n">
        <v>469</v>
      </c>
      <c r="C209" t="inlineStr">
        <is>
          <t>VEGCHI-54</t>
        </is>
      </c>
      <c r="D209" t="inlineStr">
        <is>
          <t>CHOPPED MUSHROOM</t>
        </is>
      </c>
      <c r="E209" t="inlineStr">
        <is>
          <t>grams</t>
        </is>
      </c>
      <c r="F209" t="inlineStr">
        <is>
          <t>child</t>
        </is>
      </c>
      <c r="G209" t="inlineStr"/>
      <c r="H209" t="n">
        <v>3</v>
      </c>
      <c r="I209" t="inlineStr">
        <is>
          <t>stock_net</t>
        </is>
      </c>
      <c r="J209" t="inlineStr"/>
      <c r="K209" t="inlineStr"/>
      <c r="L209" t="inlineStr"/>
      <c r="M209" t="b">
        <v>1</v>
      </c>
      <c r="N209" t="inlineStr">
        <is>
          <t>consider_stock=false</t>
        </is>
      </c>
      <c r="O209" t="inlineStr"/>
      <c r="P209" t="inlineStr"/>
      <c r="Q209" t="inlineStr"/>
      <c r="R209" t="inlineStr">
        <is>
          <t>26002.30770480880178115807779</t>
        </is>
      </c>
      <c r="S209" t="inlineStr">
        <is>
          <t>26002.30770480880178115807779</t>
        </is>
      </c>
    </row>
    <row r="210">
      <c r="A210" t="n">
        <v>4</v>
      </c>
      <c r="B210" t="n">
        <v>621</v>
      </c>
      <c r="C210" t="inlineStr">
        <is>
          <t>GFF560R - Ma</t>
        </is>
      </c>
      <c r="D210" t="inlineStr">
        <is>
          <t>Coriander Marinated Chicken (Simmers) - 560 - Marination</t>
        </is>
      </c>
      <c r="E210" t="inlineStr">
        <is>
          <t>grams</t>
        </is>
      </c>
      <c r="F210" t="inlineStr">
        <is>
          <t>child</t>
        </is>
      </c>
      <c r="G210" t="inlineStr">
        <is>
          <t>550000 from parent 550000 × BOM 164500 / batch_quantity 164500. Stock not applied.</t>
        </is>
      </c>
      <c r="H210" t="n">
        <v>1</v>
      </c>
      <c r="I210" t="inlineStr">
        <is>
          <t>scale_bom</t>
        </is>
      </c>
      <c r="J210" t="inlineStr">
        <is>
          <t>parent_gross × bom_qty / batch_quantity</t>
        </is>
      </c>
      <c r="K210" t="inlineStr">
        <is>
          <t>550000 × 164500 / 164500</t>
        </is>
      </c>
      <c r="L210" t="inlineStr">
        <is>
          <t>550000</t>
        </is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4</v>
      </c>
      <c r="B211" t="n">
        <v>621</v>
      </c>
      <c r="C211" t="inlineStr">
        <is>
          <t>GFF560R - Ma</t>
        </is>
      </c>
      <c r="D211" t="inlineStr">
        <is>
          <t>Coriander Marinated Chicken (Simmers) - 560 - Marination</t>
        </is>
      </c>
      <c r="E211" t="inlineStr">
        <is>
          <t>grams</t>
        </is>
      </c>
      <c r="F211" t="inlineStr">
        <is>
          <t>child</t>
        </is>
      </c>
      <c r="G211" t="inlineStr"/>
      <c r="H211" t="n">
        <v>2</v>
      </c>
      <c r="I211" t="inlineStr">
        <is>
          <t>gross</t>
        </is>
      </c>
      <c r="J211" t="inlineStr">
        <is>
          <t>net / recipe_yield</t>
        </is>
      </c>
      <c r="K211" t="inlineStr">
        <is>
          <t>550000 / 0.699 (recipe yield 69.9%)</t>
        </is>
      </c>
      <c r="L211" t="inlineStr">
        <is>
          <t>786838.3404864091559370529328</t>
        </is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4</v>
      </c>
      <c r="B212" t="n">
        <v>621</v>
      </c>
      <c r="C212" t="inlineStr">
        <is>
          <t>GFF560R - Ma</t>
        </is>
      </c>
      <c r="D212" t="inlineStr">
        <is>
          <t>Coriander Marinated Chicken (Simmers) - 560 - Marination</t>
        </is>
      </c>
      <c r="E212" t="inlineStr">
        <is>
          <t>grams</t>
        </is>
      </c>
      <c r="F212" t="inlineStr">
        <is>
          <t>child</t>
        </is>
      </c>
      <c r="G212" t="inlineStr"/>
      <c r="H212" t="n">
        <v>3</v>
      </c>
      <c r="I212" t="inlineStr">
        <is>
          <t>stock_net</t>
        </is>
      </c>
      <c r="J212" t="inlineStr"/>
      <c r="K212" t="inlineStr"/>
      <c r="L212" t="inlineStr"/>
      <c r="M212" t="b">
        <v>1</v>
      </c>
      <c r="N212" t="inlineStr">
        <is>
          <t>consider_stock=false</t>
        </is>
      </c>
      <c r="O212" t="inlineStr"/>
      <c r="P212" t="inlineStr"/>
      <c r="Q212" t="inlineStr"/>
      <c r="R212" t="inlineStr">
        <is>
          <t>550000</t>
        </is>
      </c>
      <c r="S212" t="inlineStr">
        <is>
          <t>786838.3404864091559370529328</t>
        </is>
      </c>
    </row>
    <row r="213">
      <c r="A213" t="n">
        <v>4</v>
      </c>
      <c r="B213" t="n">
        <v>824</v>
      </c>
      <c r="C213" t="inlineStr">
        <is>
          <t>AFFINITY-S1</t>
        </is>
      </c>
      <c r="D213" t="inlineStr">
        <is>
          <t>Water</t>
        </is>
      </c>
      <c r="E213" t="inlineStr">
        <is>
          <t>grams</t>
        </is>
      </c>
      <c r="F213" t="inlineStr">
        <is>
          <t>child</t>
        </is>
      </c>
      <c r="G213" t="inlineStr">
        <is>
          <t>421875.4218754218754218754219 from parent 702000.702000702000702000702 × BOM 90000 / batch_quantity 149760. Stock not applied.</t>
        </is>
      </c>
      <c r="H213" t="n">
        <v>1</v>
      </c>
      <c r="I213" t="inlineStr">
        <is>
          <t>scale_bom</t>
        </is>
      </c>
      <c r="J213" t="inlineStr">
        <is>
          <t>parent_gross × bom_qty / batch_quantity</t>
        </is>
      </c>
      <c r="K213" t="inlineStr">
        <is>
          <t>702000.702000702000702000702 × 90000 / 149760</t>
        </is>
      </c>
      <c r="L213" t="inlineStr">
        <is>
          <t>421875.4218754218754218754219</t>
        </is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4</v>
      </c>
      <c r="B214" t="n">
        <v>824</v>
      </c>
      <c r="C214" t="inlineStr">
        <is>
          <t>AFFINITY-S1</t>
        </is>
      </c>
      <c r="D214" t="inlineStr">
        <is>
          <t>Water</t>
        </is>
      </c>
      <c r="E214" t="inlineStr">
        <is>
          <t>grams</t>
        </is>
      </c>
      <c r="F214" t="inlineStr">
        <is>
          <t>child</t>
        </is>
      </c>
      <c r="G214" t="inlineStr"/>
      <c r="H214" t="n">
        <v>2</v>
      </c>
      <c r="I214" t="inlineStr">
        <is>
          <t>gross</t>
        </is>
      </c>
      <c r="J214" t="inlineStr">
        <is>
          <t>net / recipe_yield</t>
        </is>
      </c>
      <c r="K214" t="inlineStr">
        <is>
          <t>421875.4218754218754218754219 / 1 (recipe yield 100%)</t>
        </is>
      </c>
      <c r="L214" t="inlineStr">
        <is>
          <t>421875.4218754218754218754219</t>
        </is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4</v>
      </c>
      <c r="B215" t="n">
        <v>824</v>
      </c>
      <c r="C215" t="inlineStr">
        <is>
          <t>AFFINITY-S1</t>
        </is>
      </c>
      <c r="D215" t="inlineStr">
        <is>
          <t>Water</t>
        </is>
      </c>
      <c r="E215" t="inlineStr">
        <is>
          <t>grams</t>
        </is>
      </c>
      <c r="F215" t="inlineStr">
        <is>
          <t>child</t>
        </is>
      </c>
      <c r="G215" t="inlineStr"/>
      <c r="H215" t="n">
        <v>3</v>
      </c>
      <c r="I215" t="inlineStr">
        <is>
          <t>stock_net</t>
        </is>
      </c>
      <c r="J215" t="inlineStr"/>
      <c r="K215" t="inlineStr"/>
      <c r="L215" t="inlineStr"/>
      <c r="M215" t="b">
        <v>1</v>
      </c>
      <c r="N215" t="inlineStr">
        <is>
          <t>consider_stock=false</t>
        </is>
      </c>
      <c r="O215" t="inlineStr"/>
      <c r="P215" t="inlineStr"/>
      <c r="Q215" t="inlineStr"/>
      <c r="R215" t="inlineStr">
        <is>
          <t>421875.4218754218754218754219</t>
        </is>
      </c>
      <c r="S215" t="inlineStr">
        <is>
          <t>421875.4218754218754218754219</t>
        </is>
      </c>
    </row>
    <row r="216">
      <c r="A216" t="n">
        <v>4</v>
      </c>
      <c r="B216" t="n">
        <v>274</v>
      </c>
      <c r="C216" t="inlineStr">
        <is>
          <t>INGRAD-07</t>
        </is>
      </c>
      <c r="D216" t="inlineStr">
        <is>
          <t>BASMATI RICE</t>
        </is>
      </c>
      <c r="E216" t="inlineStr">
        <is>
          <t>grams</t>
        </is>
      </c>
      <c r="F216" t="inlineStr">
        <is>
          <t>child</t>
        </is>
      </c>
      <c r="G216" t="inlineStr">
        <is>
          <t>210937.7109377109377109377109 from parent 702000.702000702000702000702 × BOM 45000 / batch_quantity 149760. Stock not applied.</t>
        </is>
      </c>
      <c r="H216" t="n">
        <v>1</v>
      </c>
      <c r="I216" t="inlineStr">
        <is>
          <t>scale_bom</t>
        </is>
      </c>
      <c r="J216" t="inlineStr">
        <is>
          <t>parent_gross × bom_qty / batch_quantity</t>
        </is>
      </c>
      <c r="K216" t="inlineStr">
        <is>
          <t>702000.702000702000702000702 × 45000 / 149760</t>
        </is>
      </c>
      <c r="L216" t="inlineStr">
        <is>
          <t>210937.7109377109377109377109</t>
        </is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4</v>
      </c>
      <c r="B217" t="n">
        <v>274</v>
      </c>
      <c r="C217" t="inlineStr">
        <is>
          <t>INGRAD-07</t>
        </is>
      </c>
      <c r="D217" t="inlineStr">
        <is>
          <t>BASMATI RICE</t>
        </is>
      </c>
      <c r="E217" t="inlineStr">
        <is>
          <t>grams</t>
        </is>
      </c>
      <c r="F217" t="inlineStr">
        <is>
          <t>child</t>
        </is>
      </c>
      <c r="G217" t="inlineStr"/>
      <c r="H217" t="n">
        <v>2</v>
      </c>
      <c r="I217" t="inlineStr">
        <is>
          <t>gross</t>
        </is>
      </c>
      <c r="J217" t="inlineStr">
        <is>
          <t>net / recipe_yield</t>
        </is>
      </c>
      <c r="K217" t="inlineStr">
        <is>
          <t>210937.7109377109377109377109 / 1 (recipe yield 100%)</t>
        </is>
      </c>
      <c r="L217" t="inlineStr">
        <is>
          <t>210937.7109377109377109377109</t>
        </is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4</v>
      </c>
      <c r="B218" t="n">
        <v>274</v>
      </c>
      <c r="C218" t="inlineStr">
        <is>
          <t>INGRAD-07</t>
        </is>
      </c>
      <c r="D218" t="inlineStr">
        <is>
          <t>BASMATI RICE</t>
        </is>
      </c>
      <c r="E218" t="inlineStr">
        <is>
          <t>grams</t>
        </is>
      </c>
      <c r="F218" t="inlineStr">
        <is>
          <t>child</t>
        </is>
      </c>
      <c r="G218" t="inlineStr"/>
      <c r="H218" t="n">
        <v>3</v>
      </c>
      <c r="I218" t="inlineStr">
        <is>
          <t>stock_net</t>
        </is>
      </c>
      <c r="J218" t="inlineStr"/>
      <c r="K218" t="inlineStr"/>
      <c r="L218" t="inlineStr"/>
      <c r="M218" t="b">
        <v>1</v>
      </c>
      <c r="N218" t="inlineStr">
        <is>
          <t>consider_stock=false</t>
        </is>
      </c>
      <c r="O218" t="inlineStr"/>
      <c r="P218" t="inlineStr"/>
      <c r="Q218" t="inlineStr"/>
      <c r="R218" t="inlineStr">
        <is>
          <t>210937.7109377109377109377109</t>
        </is>
      </c>
      <c r="S218" t="inlineStr">
        <is>
          <t>210937.7109377109377109377109</t>
        </is>
      </c>
    </row>
    <row r="219">
      <c r="A219" t="n">
        <v>4</v>
      </c>
      <c r="B219" t="n">
        <v>17</v>
      </c>
      <c r="C219" t="inlineStr">
        <is>
          <t>VEGFRO-06</t>
        </is>
      </c>
      <c r="D219" t="inlineStr">
        <is>
          <t>SPRING ONION CHOPPED 4MM (FROZEN)</t>
        </is>
      </c>
      <c r="E219" t="inlineStr">
        <is>
          <t>grams</t>
        </is>
      </c>
      <c r="F219" t="inlineStr">
        <is>
          <t>child</t>
        </is>
      </c>
      <c r="G219" t="inlineStr">
        <is>
          <t>21093.77109377109377109377109 from parent 702000.702000702000702000702 × BOM 4500 / batch_quantity 149760. Stock not applied.</t>
        </is>
      </c>
      <c r="H219" t="n">
        <v>1</v>
      </c>
      <c r="I219" t="inlineStr">
        <is>
          <t>scale_bom</t>
        </is>
      </c>
      <c r="J219" t="inlineStr">
        <is>
          <t>parent_gross × bom_qty / batch_quantity</t>
        </is>
      </c>
      <c r="K219" t="inlineStr">
        <is>
          <t>702000.702000702000702000702 × 4500 / 149760</t>
        </is>
      </c>
      <c r="L219" t="inlineStr">
        <is>
          <t>21093.77109377109377109377109</t>
        </is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4</v>
      </c>
      <c r="B220" t="n">
        <v>17</v>
      </c>
      <c r="C220" t="inlineStr">
        <is>
          <t>VEGFRO-06</t>
        </is>
      </c>
      <c r="D220" t="inlineStr">
        <is>
          <t>SPRING ONION CHOPPED 4MM (FROZEN)</t>
        </is>
      </c>
      <c r="E220" t="inlineStr">
        <is>
          <t>grams</t>
        </is>
      </c>
      <c r="F220" t="inlineStr">
        <is>
          <t>child</t>
        </is>
      </c>
      <c r="G220" t="inlineStr"/>
      <c r="H220" t="n">
        <v>2</v>
      </c>
      <c r="I220" t="inlineStr">
        <is>
          <t>gross</t>
        </is>
      </c>
      <c r="J220" t="inlineStr">
        <is>
          <t>net / recipe_yield</t>
        </is>
      </c>
      <c r="K220" t="inlineStr">
        <is>
          <t>21093.77109377109377109377109 / 1 (recipe yield 100%)</t>
        </is>
      </c>
      <c r="L220" t="inlineStr">
        <is>
          <t>21093.77109377109377109377109</t>
        </is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4</v>
      </c>
      <c r="B221" t="n">
        <v>17</v>
      </c>
      <c r="C221" t="inlineStr">
        <is>
          <t>VEGFRO-06</t>
        </is>
      </c>
      <c r="D221" t="inlineStr">
        <is>
          <t>SPRING ONION CHOPPED 4MM (FROZEN)</t>
        </is>
      </c>
      <c r="E221" t="inlineStr">
        <is>
          <t>grams</t>
        </is>
      </c>
      <c r="F221" t="inlineStr">
        <is>
          <t>child</t>
        </is>
      </c>
      <c r="G221" t="inlineStr"/>
      <c r="H221" t="n">
        <v>3</v>
      </c>
      <c r="I221" t="inlineStr">
        <is>
          <t>stock_net</t>
        </is>
      </c>
      <c r="J221" t="inlineStr"/>
      <c r="K221" t="inlineStr"/>
      <c r="L221" t="inlineStr"/>
      <c r="M221" t="b">
        <v>1</v>
      </c>
      <c r="N221" t="inlineStr">
        <is>
          <t>consider_stock=false</t>
        </is>
      </c>
      <c r="O221" t="inlineStr"/>
      <c r="P221" t="inlineStr"/>
      <c r="Q221" t="inlineStr"/>
      <c r="R221" t="inlineStr">
        <is>
          <t>21093.77109377109377109377109</t>
        </is>
      </c>
      <c r="S221" t="inlineStr">
        <is>
          <t>21093.77109377109377109377109</t>
        </is>
      </c>
    </row>
    <row r="222">
      <c r="A222" t="n">
        <v>4</v>
      </c>
      <c r="B222" t="n">
        <v>213</v>
      </c>
      <c r="C222" t="inlineStr">
        <is>
          <t>INGRAD-38</t>
        </is>
      </c>
      <c r="D222" t="inlineStr">
        <is>
          <t>OLIVE OIL</t>
        </is>
      </c>
      <c r="E222" t="inlineStr">
        <is>
          <t>grams</t>
        </is>
      </c>
      <c r="F222" t="inlineStr">
        <is>
          <t>child</t>
        </is>
      </c>
      <c r="G222" t="inlineStr">
        <is>
          <t>12656.26265626265626265626265 from parent 702000.702000702000702000702 × BOM 2700 / batch_quantity 149760. Stock not applied.</t>
        </is>
      </c>
      <c r="H222" t="n">
        <v>1</v>
      </c>
      <c r="I222" t="inlineStr">
        <is>
          <t>scale_bom</t>
        </is>
      </c>
      <c r="J222" t="inlineStr">
        <is>
          <t>parent_gross × bom_qty / batch_quantity</t>
        </is>
      </c>
      <c r="K222" t="inlineStr">
        <is>
          <t>702000.702000702000702000702 × 2700 / 149760</t>
        </is>
      </c>
      <c r="L222" t="inlineStr">
        <is>
          <t>12656.26265626265626265626265</t>
        </is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4</v>
      </c>
      <c r="B223" t="n">
        <v>213</v>
      </c>
      <c r="C223" t="inlineStr">
        <is>
          <t>INGRAD-38</t>
        </is>
      </c>
      <c r="D223" t="inlineStr">
        <is>
          <t>OLIVE OIL</t>
        </is>
      </c>
      <c r="E223" t="inlineStr">
        <is>
          <t>grams</t>
        </is>
      </c>
      <c r="F223" t="inlineStr">
        <is>
          <t>child</t>
        </is>
      </c>
      <c r="G223" t="inlineStr"/>
      <c r="H223" t="n">
        <v>2</v>
      </c>
      <c r="I223" t="inlineStr">
        <is>
          <t>gross</t>
        </is>
      </c>
      <c r="J223" t="inlineStr">
        <is>
          <t>net / recipe_yield</t>
        </is>
      </c>
      <c r="K223" t="inlineStr">
        <is>
          <t>12656.26265626265626265626265 / 1 (recipe yield 100%)</t>
        </is>
      </c>
      <c r="L223" t="inlineStr">
        <is>
          <t>12656.26265626265626265626265</t>
        </is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4</v>
      </c>
      <c r="B224" t="n">
        <v>213</v>
      </c>
      <c r="C224" t="inlineStr">
        <is>
          <t>INGRAD-38</t>
        </is>
      </c>
      <c r="D224" t="inlineStr">
        <is>
          <t>OLIVE OIL</t>
        </is>
      </c>
      <c r="E224" t="inlineStr">
        <is>
          <t>grams</t>
        </is>
      </c>
      <c r="F224" t="inlineStr">
        <is>
          <t>child</t>
        </is>
      </c>
      <c r="G224" t="inlineStr"/>
      <c r="H224" t="n">
        <v>3</v>
      </c>
      <c r="I224" t="inlineStr">
        <is>
          <t>stock_net</t>
        </is>
      </c>
      <c r="J224" t="inlineStr"/>
      <c r="K224" t="inlineStr"/>
      <c r="L224" t="inlineStr"/>
      <c r="M224" t="b">
        <v>1</v>
      </c>
      <c r="N224" t="inlineStr">
        <is>
          <t>consider_stock=false</t>
        </is>
      </c>
      <c r="O224" t="inlineStr"/>
      <c r="P224" t="inlineStr"/>
      <c r="Q224" t="inlineStr"/>
      <c r="R224" t="inlineStr">
        <is>
          <t>12656.26265626265626265626265</t>
        </is>
      </c>
      <c r="S224" t="inlineStr">
        <is>
          <t>12656.26265626265626265626265</t>
        </is>
      </c>
    </row>
    <row r="225">
      <c r="A225" t="n">
        <v>4</v>
      </c>
      <c r="B225" t="n">
        <v>10</v>
      </c>
      <c r="C225" t="inlineStr">
        <is>
          <t>VEGFRO-15</t>
        </is>
      </c>
      <c r="D225" t="inlineStr">
        <is>
          <t>GINGER PUREE (FROZEN)</t>
        </is>
      </c>
      <c r="E225" t="inlineStr">
        <is>
          <t>grams</t>
        </is>
      </c>
      <c r="F225" t="inlineStr">
        <is>
          <t>child</t>
        </is>
      </c>
      <c r="G225" t="inlineStr">
        <is>
          <t>8437.50843750843750843750844 from parent 702000.702000702000702000702 × BOM 1800 / batch_quantity 149760. Stock not applied.</t>
        </is>
      </c>
      <c r="H225" t="n">
        <v>1</v>
      </c>
      <c r="I225" t="inlineStr">
        <is>
          <t>scale_bom</t>
        </is>
      </c>
      <c r="J225" t="inlineStr">
        <is>
          <t>parent_gross × bom_qty / batch_quantity</t>
        </is>
      </c>
      <c r="K225" t="inlineStr">
        <is>
          <t>702000.702000702000702000702 × 1800 / 149760</t>
        </is>
      </c>
      <c r="L225" t="inlineStr">
        <is>
          <t>8437.50843750843750843750844</t>
        </is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4</v>
      </c>
      <c r="B226" t="n">
        <v>10</v>
      </c>
      <c r="C226" t="inlineStr">
        <is>
          <t>VEGFRO-15</t>
        </is>
      </c>
      <c r="D226" t="inlineStr">
        <is>
          <t>GINGER PUREE (FROZEN)</t>
        </is>
      </c>
      <c r="E226" t="inlineStr">
        <is>
          <t>grams</t>
        </is>
      </c>
      <c r="F226" t="inlineStr">
        <is>
          <t>child</t>
        </is>
      </c>
      <c r="G226" t="inlineStr"/>
      <c r="H226" t="n">
        <v>2</v>
      </c>
      <c r="I226" t="inlineStr">
        <is>
          <t>gross</t>
        </is>
      </c>
      <c r="J226" t="inlineStr">
        <is>
          <t>net / recipe_yield</t>
        </is>
      </c>
      <c r="K226" t="inlineStr">
        <is>
          <t>8437.50843750843750843750844 / 1 (recipe yield 100%)</t>
        </is>
      </c>
      <c r="L226" t="inlineStr">
        <is>
          <t>8437.50843750843750843750844</t>
        </is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4</v>
      </c>
      <c r="B227" t="n">
        <v>10</v>
      </c>
      <c r="C227" t="inlineStr">
        <is>
          <t>VEGFRO-15</t>
        </is>
      </c>
      <c r="D227" t="inlineStr">
        <is>
          <t>GINGER PUREE (FROZEN)</t>
        </is>
      </c>
      <c r="E227" t="inlineStr">
        <is>
          <t>grams</t>
        </is>
      </c>
      <c r="F227" t="inlineStr">
        <is>
          <t>child</t>
        </is>
      </c>
      <c r="G227" t="inlineStr"/>
      <c r="H227" t="n">
        <v>3</v>
      </c>
      <c r="I227" t="inlineStr">
        <is>
          <t>stock_net</t>
        </is>
      </c>
      <c r="J227" t="inlineStr"/>
      <c r="K227" t="inlineStr"/>
      <c r="L227" t="inlineStr"/>
      <c r="M227" t="b">
        <v>1</v>
      </c>
      <c r="N227" t="inlineStr">
        <is>
          <t>consider_stock=false</t>
        </is>
      </c>
      <c r="O227" t="inlineStr"/>
      <c r="P227" t="inlineStr"/>
      <c r="Q227" t="inlineStr"/>
      <c r="R227" t="inlineStr">
        <is>
          <t>8437.50843750843750843750844</t>
        </is>
      </c>
      <c r="S227" t="inlineStr">
        <is>
          <t>8437.50843750843750843750844</t>
        </is>
      </c>
    </row>
    <row r="228">
      <c r="A228" t="n">
        <v>4</v>
      </c>
      <c r="B228" t="n">
        <v>29</v>
      </c>
      <c r="C228" t="inlineStr">
        <is>
          <t>VEGFRO-11</t>
        </is>
      </c>
      <c r="D228" t="inlineStr">
        <is>
          <t>GARLIC PUREE (FROZEN)</t>
        </is>
      </c>
      <c r="E228" t="inlineStr">
        <is>
          <t>grams</t>
        </is>
      </c>
      <c r="F228" t="inlineStr">
        <is>
          <t>child</t>
        </is>
      </c>
      <c r="G228" t="inlineStr">
        <is>
          <t>8437.50843750843750843750844 from parent 702000.702000702000702000702 × BOM 1800 / batch_quantity 149760. Stock not applied.</t>
        </is>
      </c>
      <c r="H228" t="n">
        <v>1</v>
      </c>
      <c r="I228" t="inlineStr">
        <is>
          <t>scale_bom</t>
        </is>
      </c>
      <c r="J228" t="inlineStr">
        <is>
          <t>parent_gross × bom_qty / batch_quantity</t>
        </is>
      </c>
      <c r="K228" t="inlineStr">
        <is>
          <t>702000.702000702000702000702 × 1800 / 149760</t>
        </is>
      </c>
      <c r="L228" t="inlineStr">
        <is>
          <t>8437.50843750843750843750844</t>
        </is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4</v>
      </c>
      <c r="B229" t="n">
        <v>29</v>
      </c>
      <c r="C229" t="inlineStr">
        <is>
          <t>VEGFRO-11</t>
        </is>
      </c>
      <c r="D229" t="inlineStr">
        <is>
          <t>GARLIC PUREE (FROZEN)</t>
        </is>
      </c>
      <c r="E229" t="inlineStr">
        <is>
          <t>grams</t>
        </is>
      </c>
      <c r="F229" t="inlineStr">
        <is>
          <t>child</t>
        </is>
      </c>
      <c r="G229" t="inlineStr"/>
      <c r="H229" t="n">
        <v>2</v>
      </c>
      <c r="I229" t="inlineStr">
        <is>
          <t>gross</t>
        </is>
      </c>
      <c r="J229" t="inlineStr">
        <is>
          <t>net / recipe_yield</t>
        </is>
      </c>
      <c r="K229" t="inlineStr">
        <is>
          <t>8437.50843750843750843750844 / 1 (recipe yield 100%)</t>
        </is>
      </c>
      <c r="L229" t="inlineStr">
        <is>
          <t>8437.50843750843750843750844</t>
        </is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4</v>
      </c>
      <c r="B230" t="n">
        <v>29</v>
      </c>
      <c r="C230" t="inlineStr">
        <is>
          <t>VEGFRO-11</t>
        </is>
      </c>
      <c r="D230" t="inlineStr">
        <is>
          <t>GARLIC PUREE (FROZEN)</t>
        </is>
      </c>
      <c r="E230" t="inlineStr">
        <is>
          <t>grams</t>
        </is>
      </c>
      <c r="F230" t="inlineStr">
        <is>
          <t>child</t>
        </is>
      </c>
      <c r="G230" t="inlineStr"/>
      <c r="H230" t="n">
        <v>3</v>
      </c>
      <c r="I230" t="inlineStr">
        <is>
          <t>stock_net</t>
        </is>
      </c>
      <c r="J230" t="inlineStr"/>
      <c r="K230" t="inlineStr"/>
      <c r="L230" t="inlineStr"/>
      <c r="M230" t="b">
        <v>1</v>
      </c>
      <c r="N230" t="inlineStr">
        <is>
          <t>consider_stock=false</t>
        </is>
      </c>
      <c r="O230" t="inlineStr"/>
      <c r="P230" t="inlineStr"/>
      <c r="Q230" t="inlineStr"/>
      <c r="R230" t="inlineStr">
        <is>
          <t>8437.50843750843750843750844</t>
        </is>
      </c>
      <c r="S230" t="inlineStr">
        <is>
          <t>8437.50843750843750843750844</t>
        </is>
      </c>
    </row>
    <row r="231">
      <c r="A231" t="n">
        <v>4</v>
      </c>
      <c r="B231" t="n">
        <v>1530</v>
      </c>
      <c r="C231" t="inlineStr">
        <is>
          <t>GFF579R-S</t>
        </is>
      </c>
      <c r="D231" t="inlineStr">
        <is>
          <t>Thai Style Rice (Simmers) - 579 - Spices</t>
        </is>
      </c>
      <c r="E231" t="inlineStr">
        <is>
          <t>grams</t>
        </is>
      </c>
      <c r="F231" t="inlineStr">
        <is>
          <t>child</t>
        </is>
      </c>
      <c r="G231" t="inlineStr">
        <is>
          <t>18562.51856251856251856251856 from parent 702000.702000702000702000702 × BOM 3960 / batch_quantity 149760. Stock not applied.</t>
        </is>
      </c>
      <c r="H231" t="n">
        <v>1</v>
      </c>
      <c r="I231" t="inlineStr">
        <is>
          <t>scale_bom</t>
        </is>
      </c>
      <c r="J231" t="inlineStr">
        <is>
          <t>parent_gross × bom_qty / batch_quantity</t>
        </is>
      </c>
      <c r="K231" t="inlineStr">
        <is>
          <t>702000.702000702000702000702 × 3960 / 149760</t>
        </is>
      </c>
      <c r="L231" t="inlineStr">
        <is>
          <t>18562.51856251856251856251856</t>
        </is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4</v>
      </c>
      <c r="B232" t="n">
        <v>1530</v>
      </c>
      <c r="C232" t="inlineStr">
        <is>
          <t>GFF579R-S</t>
        </is>
      </c>
      <c r="D232" t="inlineStr">
        <is>
          <t>Thai Style Rice (Simmers) - 579 - Spices</t>
        </is>
      </c>
      <c r="E232" t="inlineStr">
        <is>
          <t>grams</t>
        </is>
      </c>
      <c r="F232" t="inlineStr">
        <is>
          <t>child</t>
        </is>
      </c>
      <c r="G232" t="inlineStr"/>
      <c r="H232" t="n">
        <v>2</v>
      </c>
      <c r="I232" t="inlineStr">
        <is>
          <t>gross</t>
        </is>
      </c>
      <c r="J232" t="inlineStr">
        <is>
          <t>net / recipe_yield</t>
        </is>
      </c>
      <c r="K232" t="inlineStr">
        <is>
          <t>18562.51856251856251856251856 / 1 (recipe yield 100%)</t>
        </is>
      </c>
      <c r="L232" t="inlineStr">
        <is>
          <t>18562.51856251856251856251856</t>
        </is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4</v>
      </c>
      <c r="B233" t="n">
        <v>1530</v>
      </c>
      <c r="C233" t="inlineStr">
        <is>
          <t>GFF579R-S</t>
        </is>
      </c>
      <c r="D233" t="inlineStr">
        <is>
          <t>Thai Style Rice (Simmers) - 579 - Spices</t>
        </is>
      </c>
      <c r="E233" t="inlineStr">
        <is>
          <t>grams</t>
        </is>
      </c>
      <c r="F233" t="inlineStr">
        <is>
          <t>child</t>
        </is>
      </c>
      <c r="G233" t="inlineStr"/>
      <c r="H233" t="n">
        <v>3</v>
      </c>
      <c r="I233" t="inlineStr">
        <is>
          <t>stock_net</t>
        </is>
      </c>
      <c r="J233" t="inlineStr"/>
      <c r="K233" t="inlineStr"/>
      <c r="L233" t="inlineStr"/>
      <c r="M233" t="b">
        <v>1</v>
      </c>
      <c r="N233" t="inlineStr">
        <is>
          <t>consider_stock=false</t>
        </is>
      </c>
      <c r="O233" t="inlineStr"/>
      <c r="P233" t="inlineStr"/>
      <c r="Q233" t="inlineStr"/>
      <c r="R233" t="inlineStr">
        <is>
          <t>18562.51856251856251856251856</t>
        </is>
      </c>
      <c r="S233" t="inlineStr">
        <is>
          <t>18562.51856251856251856251856</t>
        </is>
      </c>
    </row>
    <row r="234">
      <c r="A234" t="n">
        <v>4</v>
      </c>
      <c r="B234" t="n">
        <v>824</v>
      </c>
      <c r="C234" t="inlineStr">
        <is>
          <t>AFFINITY-S1</t>
        </is>
      </c>
      <c r="D234" t="inlineStr">
        <is>
          <t>Water</t>
        </is>
      </c>
      <c r="E234" t="inlineStr">
        <is>
          <t>grams</t>
        </is>
      </c>
      <c r="F234" t="inlineStr">
        <is>
          <t>child</t>
        </is>
      </c>
      <c r="G234" t="inlineStr">
        <is>
          <t>150261.0368122844519339986744 from parent 484730.9743092583616093068347 × BOM 43200 / batch_quantity 139360. Stock not applied.</t>
        </is>
      </c>
      <c r="H234" t="n">
        <v>1</v>
      </c>
      <c r="I234" t="inlineStr">
        <is>
          <t>scale_bom</t>
        </is>
      </c>
      <c r="J234" t="inlineStr">
        <is>
          <t>parent_gross × bom_qty / batch_quantity</t>
        </is>
      </c>
      <c r="K234" t="inlineStr">
        <is>
          <t>484730.9743092583616093068347 × 43200 / 139360</t>
        </is>
      </c>
      <c r="L234" t="inlineStr">
        <is>
          <t>150261.0368122844519339986744</t>
        </is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4</v>
      </c>
      <c r="B235" t="n">
        <v>824</v>
      </c>
      <c r="C235" t="inlineStr">
        <is>
          <t>AFFINITY-S1</t>
        </is>
      </c>
      <c r="D235" t="inlineStr">
        <is>
          <t>Water</t>
        </is>
      </c>
      <c r="E235" t="inlineStr">
        <is>
          <t>grams</t>
        </is>
      </c>
      <c r="F235" t="inlineStr">
        <is>
          <t>child</t>
        </is>
      </c>
      <c r="G235" t="inlineStr"/>
      <c r="H235" t="n">
        <v>2</v>
      </c>
      <c r="I235" t="inlineStr">
        <is>
          <t>gross</t>
        </is>
      </c>
      <c r="J235" t="inlineStr">
        <is>
          <t>net / recipe_yield</t>
        </is>
      </c>
      <c r="K235" t="inlineStr">
        <is>
          <t>150261.0368122844519339986744 / 1 (recipe yield 100%)</t>
        </is>
      </c>
      <c r="L235" t="inlineStr">
        <is>
          <t>150261.0368122844519339986744</t>
        </is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4</v>
      </c>
      <c r="B236" t="n">
        <v>824</v>
      </c>
      <c r="C236" t="inlineStr">
        <is>
          <t>AFFINITY-S1</t>
        </is>
      </c>
      <c r="D236" t="inlineStr">
        <is>
          <t>Water</t>
        </is>
      </c>
      <c r="E236" t="inlineStr">
        <is>
          <t>grams</t>
        </is>
      </c>
      <c r="F236" t="inlineStr">
        <is>
          <t>child</t>
        </is>
      </c>
      <c r="G236" t="inlineStr"/>
      <c r="H236" t="n">
        <v>3</v>
      </c>
      <c r="I236" t="inlineStr">
        <is>
          <t>stock_net</t>
        </is>
      </c>
      <c r="J236" t="inlineStr"/>
      <c r="K236" t="inlineStr"/>
      <c r="L236" t="inlineStr"/>
      <c r="M236" t="b">
        <v>1</v>
      </c>
      <c r="N236" t="inlineStr">
        <is>
          <t>consider_stock=false</t>
        </is>
      </c>
      <c r="O236" t="inlineStr"/>
      <c r="P236" t="inlineStr"/>
      <c r="Q236" t="inlineStr"/>
      <c r="R236" t="inlineStr">
        <is>
          <t>150261.0368122844519339986744</t>
        </is>
      </c>
      <c r="S236" t="inlineStr">
        <is>
          <t>150261.0368122844519339986744</t>
        </is>
      </c>
    </row>
    <row r="237">
      <c r="A237" t="n">
        <v>4</v>
      </c>
      <c r="B237" t="n">
        <v>166</v>
      </c>
      <c r="C237" t="inlineStr">
        <is>
          <t>DAIRY0-01</t>
        </is>
      </c>
      <c r="D237" t="inlineStr">
        <is>
          <t>COCONUT MILK</t>
        </is>
      </c>
      <c r="E237" t="inlineStr">
        <is>
          <t>grams</t>
        </is>
      </c>
      <c r="F237" t="inlineStr">
        <is>
          <t>child</t>
        </is>
      </c>
      <c r="G237" t="inlineStr">
        <is>
          <t>139130.5896410041221611098837 from parent 484730.9743092583616093068347 × BOM 40000 / batch_quantity 139360. Stock not applied.</t>
        </is>
      </c>
      <c r="H237" t="n">
        <v>1</v>
      </c>
      <c r="I237" t="inlineStr">
        <is>
          <t>scale_bom</t>
        </is>
      </c>
      <c r="J237" t="inlineStr">
        <is>
          <t>parent_gross × bom_qty / batch_quantity</t>
        </is>
      </c>
      <c r="K237" t="inlineStr">
        <is>
          <t>484730.9743092583616093068347 × 40000 / 139360</t>
        </is>
      </c>
      <c r="L237" t="inlineStr">
        <is>
          <t>139130.5896410041221611098837</t>
        </is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4</v>
      </c>
      <c r="B238" t="n">
        <v>166</v>
      </c>
      <c r="C238" t="inlineStr">
        <is>
          <t>DAIRY0-01</t>
        </is>
      </c>
      <c r="D238" t="inlineStr">
        <is>
          <t>COCONUT MILK</t>
        </is>
      </c>
      <c r="E238" t="inlineStr">
        <is>
          <t>grams</t>
        </is>
      </c>
      <c r="F238" t="inlineStr">
        <is>
          <t>child</t>
        </is>
      </c>
      <c r="G238" t="inlineStr"/>
      <c r="H238" t="n">
        <v>2</v>
      </c>
      <c r="I238" t="inlineStr">
        <is>
          <t>gross</t>
        </is>
      </c>
      <c r="J238" t="inlineStr">
        <is>
          <t>net / recipe_yield</t>
        </is>
      </c>
      <c r="K238" t="inlineStr">
        <is>
          <t>139130.5896410041221611098837 / 1 (recipe yield 100%)</t>
        </is>
      </c>
      <c r="L238" t="inlineStr">
        <is>
          <t>139130.5896410041221611098837</t>
        </is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</v>
      </c>
      <c r="B239" t="n">
        <v>166</v>
      </c>
      <c r="C239" t="inlineStr">
        <is>
          <t>DAIRY0-01</t>
        </is>
      </c>
      <c r="D239" t="inlineStr">
        <is>
          <t>COCONUT MILK</t>
        </is>
      </c>
      <c r="E239" t="inlineStr">
        <is>
          <t>grams</t>
        </is>
      </c>
      <c r="F239" t="inlineStr">
        <is>
          <t>child</t>
        </is>
      </c>
      <c r="G239" t="inlineStr"/>
      <c r="H239" t="n">
        <v>3</v>
      </c>
      <c r="I239" t="inlineStr">
        <is>
          <t>stock_net</t>
        </is>
      </c>
      <c r="J239" t="inlineStr"/>
      <c r="K239" t="inlineStr"/>
      <c r="L239" t="inlineStr"/>
      <c r="M239" t="b">
        <v>1</v>
      </c>
      <c r="N239" t="inlineStr">
        <is>
          <t>consider_stock=false</t>
        </is>
      </c>
      <c r="O239" t="inlineStr"/>
      <c r="P239" t="inlineStr"/>
      <c r="Q239" t="inlineStr"/>
      <c r="R239" t="inlineStr">
        <is>
          <t>139130.5896410041221611098837</t>
        </is>
      </c>
      <c r="S239" t="inlineStr">
        <is>
          <t>139130.5896410041221611098837</t>
        </is>
      </c>
    </row>
    <row r="240">
      <c r="A240" t="n">
        <v>4</v>
      </c>
      <c r="B240" t="n">
        <v>15</v>
      </c>
      <c r="C240" t="inlineStr">
        <is>
          <t>VEGFRO-05</t>
        </is>
      </c>
      <c r="D240" t="inlineStr">
        <is>
          <t>RED PEPPER DICED 10MM (FROZEN)</t>
        </is>
      </c>
      <c r="E240" t="inlineStr">
        <is>
          <t>grams</t>
        </is>
      </c>
      <c r="F240" t="inlineStr">
        <is>
          <t>child</t>
        </is>
      </c>
      <c r="G240" t="inlineStr">
        <is>
          <t>55652.23585640164886444395347 from parent 484730.9743092583616093068347 × BOM 16000 / batch_quantity 139360. Stock not applied.</t>
        </is>
      </c>
      <c r="H240" t="n">
        <v>1</v>
      </c>
      <c r="I240" t="inlineStr">
        <is>
          <t>scale_bom</t>
        </is>
      </c>
      <c r="J240" t="inlineStr">
        <is>
          <t>parent_gross × bom_qty / batch_quantity</t>
        </is>
      </c>
      <c r="K240" t="inlineStr">
        <is>
          <t>484730.9743092583616093068347 × 16000 / 139360</t>
        </is>
      </c>
      <c r="L240" t="inlineStr">
        <is>
          <t>55652.23585640164886444395347</t>
        </is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</v>
      </c>
      <c r="B241" t="n">
        <v>15</v>
      </c>
      <c r="C241" t="inlineStr">
        <is>
          <t>VEGFRO-05</t>
        </is>
      </c>
      <c r="D241" t="inlineStr">
        <is>
          <t>RED PEPPER DICED 10MM (FROZEN)</t>
        </is>
      </c>
      <c r="E241" t="inlineStr">
        <is>
          <t>grams</t>
        </is>
      </c>
      <c r="F241" t="inlineStr">
        <is>
          <t>child</t>
        </is>
      </c>
      <c r="G241" t="inlineStr"/>
      <c r="H241" t="n">
        <v>2</v>
      </c>
      <c r="I241" t="inlineStr">
        <is>
          <t>gross</t>
        </is>
      </c>
      <c r="J241" t="inlineStr">
        <is>
          <t>net / recipe_yield</t>
        </is>
      </c>
      <c r="K241" t="inlineStr">
        <is>
          <t>55652.23585640164886444395347 / 1 (recipe yield 100%)</t>
        </is>
      </c>
      <c r="L241" t="inlineStr">
        <is>
          <t>55652.23585640164886444395347</t>
        </is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</v>
      </c>
      <c r="B242" t="n">
        <v>15</v>
      </c>
      <c r="C242" t="inlineStr">
        <is>
          <t>VEGFRO-05</t>
        </is>
      </c>
      <c r="D242" t="inlineStr">
        <is>
          <t>RED PEPPER DICED 10MM (FROZEN)</t>
        </is>
      </c>
      <c r="E242" t="inlineStr">
        <is>
          <t>grams</t>
        </is>
      </c>
      <c r="F242" t="inlineStr">
        <is>
          <t>child</t>
        </is>
      </c>
      <c r="G242" t="inlineStr"/>
      <c r="H242" t="n">
        <v>3</v>
      </c>
      <c r="I242" t="inlineStr">
        <is>
          <t>stock_net</t>
        </is>
      </c>
      <c r="J242" t="inlineStr"/>
      <c r="K242" t="inlineStr"/>
      <c r="L242" t="inlineStr"/>
      <c r="M242" t="b">
        <v>1</v>
      </c>
      <c r="N242" t="inlineStr">
        <is>
          <t>consider_stock=false</t>
        </is>
      </c>
      <c r="O242" t="inlineStr"/>
      <c r="P242" t="inlineStr"/>
      <c r="Q242" t="inlineStr"/>
      <c r="R242" t="inlineStr">
        <is>
          <t>55652.23585640164886444395347</t>
        </is>
      </c>
      <c r="S242" t="inlineStr">
        <is>
          <t>55652.23585640164886444395347</t>
        </is>
      </c>
    </row>
    <row r="243">
      <c r="A243" t="n">
        <v>4</v>
      </c>
      <c r="B243" t="n">
        <v>134</v>
      </c>
      <c r="C243" t="inlineStr">
        <is>
          <t>SAUCE0-07</t>
        </is>
      </c>
      <c r="D243" t="inlineStr">
        <is>
          <t>ONION PUREE</t>
        </is>
      </c>
      <c r="E243" t="inlineStr">
        <is>
          <t>grams</t>
        </is>
      </c>
      <c r="F243" t="inlineStr">
        <is>
          <t>child</t>
        </is>
      </c>
      <c r="G243" t="inlineStr">
        <is>
          <t>27826.11792820082443222197674 from parent 484730.9743092583616093068347 × BOM 8000 / batch_quantity 139360. Stock not applied.</t>
        </is>
      </c>
      <c r="H243" t="n">
        <v>1</v>
      </c>
      <c r="I243" t="inlineStr">
        <is>
          <t>scale_bom</t>
        </is>
      </c>
      <c r="J243" t="inlineStr">
        <is>
          <t>parent_gross × bom_qty / batch_quantity</t>
        </is>
      </c>
      <c r="K243" t="inlineStr">
        <is>
          <t>484730.9743092583616093068347 × 8000 / 139360</t>
        </is>
      </c>
      <c r="L243" t="inlineStr">
        <is>
          <t>27826.11792820082443222197674</t>
        </is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</v>
      </c>
      <c r="B244" t="n">
        <v>134</v>
      </c>
      <c r="C244" t="inlineStr">
        <is>
          <t>SAUCE0-07</t>
        </is>
      </c>
      <c r="D244" t="inlineStr">
        <is>
          <t>ONION PUREE</t>
        </is>
      </c>
      <c r="E244" t="inlineStr">
        <is>
          <t>grams</t>
        </is>
      </c>
      <c r="F244" t="inlineStr">
        <is>
          <t>child</t>
        </is>
      </c>
      <c r="G244" t="inlineStr"/>
      <c r="H244" t="n">
        <v>2</v>
      </c>
      <c r="I244" t="inlineStr">
        <is>
          <t>gross</t>
        </is>
      </c>
      <c r="J244" t="inlineStr">
        <is>
          <t>net / recipe_yield</t>
        </is>
      </c>
      <c r="K244" t="inlineStr">
        <is>
          <t>27826.11792820082443222197674 / 1 (recipe yield 100%)</t>
        </is>
      </c>
      <c r="L244" t="inlineStr">
        <is>
          <t>27826.11792820082443222197674</t>
        </is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</v>
      </c>
      <c r="B245" t="n">
        <v>134</v>
      </c>
      <c r="C245" t="inlineStr">
        <is>
          <t>SAUCE0-07</t>
        </is>
      </c>
      <c r="D245" t="inlineStr">
        <is>
          <t>ONION PUREE</t>
        </is>
      </c>
      <c r="E245" t="inlineStr">
        <is>
          <t>grams</t>
        </is>
      </c>
      <c r="F245" t="inlineStr">
        <is>
          <t>child</t>
        </is>
      </c>
      <c r="G245" t="inlineStr"/>
      <c r="H245" t="n">
        <v>3</v>
      </c>
      <c r="I245" t="inlineStr">
        <is>
          <t>stock_net</t>
        </is>
      </c>
      <c r="J245" t="inlineStr"/>
      <c r="K245" t="inlineStr"/>
      <c r="L245" t="inlineStr"/>
      <c r="M245" t="b">
        <v>1</v>
      </c>
      <c r="N245" t="inlineStr">
        <is>
          <t>consider_stock=false</t>
        </is>
      </c>
      <c r="O245" t="inlineStr"/>
      <c r="P245" t="inlineStr"/>
      <c r="Q245" t="inlineStr"/>
      <c r="R245" t="inlineStr">
        <is>
          <t>27826.11792820082443222197674</t>
        </is>
      </c>
      <c r="S245" t="inlineStr">
        <is>
          <t>27826.11792820082443222197674</t>
        </is>
      </c>
    </row>
    <row r="246">
      <c r="A246" t="n">
        <v>4</v>
      </c>
      <c r="B246" t="n">
        <v>17</v>
      </c>
      <c r="C246" t="inlineStr">
        <is>
          <t>VEGFRO-06</t>
        </is>
      </c>
      <c r="D246" t="inlineStr">
        <is>
          <t>SPRING ONION CHOPPED 4MM (FROZEN)</t>
        </is>
      </c>
      <c r="E246" t="inlineStr">
        <is>
          <t>grams</t>
        </is>
      </c>
      <c r="F246" t="inlineStr">
        <is>
          <t>child</t>
        </is>
      </c>
      <c r="G246" t="inlineStr">
        <is>
          <t>13913.05896410041221611098837 from parent 484730.9743092583616093068347 × BOM 4000 / batch_quantity 139360. Stock not applied.</t>
        </is>
      </c>
      <c r="H246" t="n">
        <v>1</v>
      </c>
      <c r="I246" t="inlineStr">
        <is>
          <t>scale_bom</t>
        </is>
      </c>
      <c r="J246" t="inlineStr">
        <is>
          <t>parent_gross × bom_qty / batch_quantity</t>
        </is>
      </c>
      <c r="K246" t="inlineStr">
        <is>
          <t>484730.9743092583616093068347 × 4000 / 139360</t>
        </is>
      </c>
      <c r="L246" t="inlineStr">
        <is>
          <t>13913.05896410041221611098837</t>
        </is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</v>
      </c>
      <c r="B247" t="n">
        <v>17</v>
      </c>
      <c r="C247" t="inlineStr">
        <is>
          <t>VEGFRO-06</t>
        </is>
      </c>
      <c r="D247" t="inlineStr">
        <is>
          <t>SPRING ONION CHOPPED 4MM (FROZEN)</t>
        </is>
      </c>
      <c r="E247" t="inlineStr">
        <is>
          <t>grams</t>
        </is>
      </c>
      <c r="F247" t="inlineStr">
        <is>
          <t>child</t>
        </is>
      </c>
      <c r="G247" t="inlineStr"/>
      <c r="H247" t="n">
        <v>2</v>
      </c>
      <c r="I247" t="inlineStr">
        <is>
          <t>gross</t>
        </is>
      </c>
      <c r="J247" t="inlineStr">
        <is>
          <t>net / recipe_yield</t>
        </is>
      </c>
      <c r="K247" t="inlineStr">
        <is>
          <t>13913.05896410041221611098837 / 1 (recipe yield 100%)</t>
        </is>
      </c>
      <c r="L247" t="inlineStr">
        <is>
          <t>13913.05896410041221611098837</t>
        </is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4</v>
      </c>
      <c r="B248" t="n">
        <v>17</v>
      </c>
      <c r="C248" t="inlineStr">
        <is>
          <t>VEGFRO-06</t>
        </is>
      </c>
      <c r="D248" t="inlineStr">
        <is>
          <t>SPRING ONION CHOPPED 4MM (FROZEN)</t>
        </is>
      </c>
      <c r="E248" t="inlineStr">
        <is>
          <t>grams</t>
        </is>
      </c>
      <c r="F248" t="inlineStr">
        <is>
          <t>child</t>
        </is>
      </c>
      <c r="G248" t="inlineStr"/>
      <c r="H248" t="n">
        <v>3</v>
      </c>
      <c r="I248" t="inlineStr">
        <is>
          <t>stock_net</t>
        </is>
      </c>
      <c r="J248" t="inlineStr"/>
      <c r="K248" t="inlineStr"/>
      <c r="L248" t="inlineStr"/>
      <c r="M248" t="b">
        <v>1</v>
      </c>
      <c r="N248" t="inlineStr">
        <is>
          <t>consider_stock=false</t>
        </is>
      </c>
      <c r="O248" t="inlineStr"/>
      <c r="P248" t="inlineStr"/>
      <c r="Q248" t="inlineStr"/>
      <c r="R248" t="inlineStr">
        <is>
          <t>13913.05896410041221611098837</t>
        </is>
      </c>
      <c r="S248" t="inlineStr">
        <is>
          <t>13913.05896410041221611098837</t>
        </is>
      </c>
    </row>
    <row r="249">
      <c r="A249" t="n">
        <v>4</v>
      </c>
      <c r="B249" t="n">
        <v>48</v>
      </c>
      <c r="C249" t="inlineStr">
        <is>
          <t>SPICE0-03</t>
        </is>
      </c>
      <c r="D249" t="inlineStr">
        <is>
          <t>SUGAR</t>
        </is>
      </c>
      <c r="E249" t="inlineStr">
        <is>
          <t>grams</t>
        </is>
      </c>
      <c r="F249" t="inlineStr">
        <is>
          <t>child</t>
        </is>
      </c>
      <c r="G249" t="inlineStr">
        <is>
          <t>11130.44717128032977288879069 from parent 484730.9743092583616093068347 × BOM 3200 / batch_quantity 139360. Stock not applied.</t>
        </is>
      </c>
      <c r="H249" t="n">
        <v>1</v>
      </c>
      <c r="I249" t="inlineStr">
        <is>
          <t>scale_bom</t>
        </is>
      </c>
      <c r="J249" t="inlineStr">
        <is>
          <t>parent_gross × bom_qty / batch_quantity</t>
        </is>
      </c>
      <c r="K249" t="inlineStr">
        <is>
          <t>484730.9743092583616093068347 × 3200 / 139360</t>
        </is>
      </c>
      <c r="L249" t="inlineStr">
        <is>
          <t>11130.44717128032977288879069</t>
        </is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4</v>
      </c>
      <c r="B250" t="n">
        <v>48</v>
      </c>
      <c r="C250" t="inlineStr">
        <is>
          <t>SPICE0-03</t>
        </is>
      </c>
      <c r="D250" t="inlineStr">
        <is>
          <t>SUGAR</t>
        </is>
      </c>
      <c r="E250" t="inlineStr">
        <is>
          <t>grams</t>
        </is>
      </c>
      <c r="F250" t="inlineStr">
        <is>
          <t>child</t>
        </is>
      </c>
      <c r="G250" t="inlineStr"/>
      <c r="H250" t="n">
        <v>2</v>
      </c>
      <c r="I250" t="inlineStr">
        <is>
          <t>gross</t>
        </is>
      </c>
      <c r="J250" t="inlineStr">
        <is>
          <t>net / recipe_yield</t>
        </is>
      </c>
      <c r="K250" t="inlineStr">
        <is>
          <t>11130.44717128032977288879069 / 1 (recipe yield 100%)</t>
        </is>
      </c>
      <c r="L250" t="inlineStr">
        <is>
          <t>11130.44717128032977288879069</t>
        </is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4</v>
      </c>
      <c r="B251" t="n">
        <v>48</v>
      </c>
      <c r="C251" t="inlineStr">
        <is>
          <t>SPICE0-03</t>
        </is>
      </c>
      <c r="D251" t="inlineStr">
        <is>
          <t>SUGAR</t>
        </is>
      </c>
      <c r="E251" t="inlineStr">
        <is>
          <t>grams</t>
        </is>
      </c>
      <c r="F251" t="inlineStr">
        <is>
          <t>child</t>
        </is>
      </c>
      <c r="G251" t="inlineStr"/>
      <c r="H251" t="n">
        <v>3</v>
      </c>
      <c r="I251" t="inlineStr">
        <is>
          <t>stock_net</t>
        </is>
      </c>
      <c r="J251" t="inlineStr"/>
      <c r="K251" t="inlineStr"/>
      <c r="L251" t="inlineStr"/>
      <c r="M251" t="b">
        <v>1</v>
      </c>
      <c r="N251" t="inlineStr">
        <is>
          <t>consider_stock=false</t>
        </is>
      </c>
      <c r="O251" t="inlineStr"/>
      <c r="P251" t="inlineStr"/>
      <c r="Q251" t="inlineStr"/>
      <c r="R251" t="inlineStr">
        <is>
          <t>11130.44717128032977288879069</t>
        </is>
      </c>
      <c r="S251" t="inlineStr">
        <is>
          <t>11130.44717128032977288879069</t>
        </is>
      </c>
    </row>
    <row r="252">
      <c r="A252" t="n">
        <v>4</v>
      </c>
      <c r="B252" t="n">
        <v>213</v>
      </c>
      <c r="C252" t="inlineStr">
        <is>
          <t>INGRAD-38</t>
        </is>
      </c>
      <c r="D252" t="inlineStr">
        <is>
          <t>OLIVE OIL</t>
        </is>
      </c>
      <c r="E252" t="inlineStr">
        <is>
          <t>grams</t>
        </is>
      </c>
      <c r="F252" t="inlineStr">
        <is>
          <t>child</t>
        </is>
      </c>
      <c r="G252" t="inlineStr">
        <is>
          <t>8347.835378460247329666593018 from parent 484730.9743092583616093068347 × BOM 2400 / batch_quantity 139360. Stock not applied.</t>
        </is>
      </c>
      <c r="H252" t="n">
        <v>1</v>
      </c>
      <c r="I252" t="inlineStr">
        <is>
          <t>scale_bom</t>
        </is>
      </c>
      <c r="J252" t="inlineStr">
        <is>
          <t>parent_gross × bom_qty / batch_quantity</t>
        </is>
      </c>
      <c r="K252" t="inlineStr">
        <is>
          <t>484730.9743092583616093068347 × 2400 / 139360</t>
        </is>
      </c>
      <c r="L252" t="inlineStr">
        <is>
          <t>8347.835378460247329666593018</t>
        </is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4</v>
      </c>
      <c r="B253" t="n">
        <v>213</v>
      </c>
      <c r="C253" t="inlineStr">
        <is>
          <t>INGRAD-38</t>
        </is>
      </c>
      <c r="D253" t="inlineStr">
        <is>
          <t>OLIVE OIL</t>
        </is>
      </c>
      <c r="E253" t="inlineStr">
        <is>
          <t>grams</t>
        </is>
      </c>
      <c r="F253" t="inlineStr">
        <is>
          <t>child</t>
        </is>
      </c>
      <c r="G253" t="inlineStr"/>
      <c r="H253" t="n">
        <v>2</v>
      </c>
      <c r="I253" t="inlineStr">
        <is>
          <t>gross</t>
        </is>
      </c>
      <c r="J253" t="inlineStr">
        <is>
          <t>net / recipe_yield</t>
        </is>
      </c>
      <c r="K253" t="inlineStr">
        <is>
          <t>8347.835378460247329666593018 / 1 (recipe yield 100%)</t>
        </is>
      </c>
      <c r="L253" t="inlineStr">
        <is>
          <t>8347.835378460247329666593018</t>
        </is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4</v>
      </c>
      <c r="B254" t="n">
        <v>213</v>
      </c>
      <c r="C254" t="inlineStr">
        <is>
          <t>INGRAD-38</t>
        </is>
      </c>
      <c r="D254" t="inlineStr">
        <is>
          <t>OLIVE OIL</t>
        </is>
      </c>
      <c r="E254" t="inlineStr">
        <is>
          <t>grams</t>
        </is>
      </c>
      <c r="F254" t="inlineStr">
        <is>
          <t>child</t>
        </is>
      </c>
      <c r="G254" t="inlineStr"/>
      <c r="H254" t="n">
        <v>3</v>
      </c>
      <c r="I254" t="inlineStr">
        <is>
          <t>stock_net</t>
        </is>
      </c>
      <c r="J254" t="inlineStr"/>
      <c r="K254" t="inlineStr"/>
      <c r="L254" t="inlineStr"/>
      <c r="M254" t="b">
        <v>1</v>
      </c>
      <c r="N254" t="inlineStr">
        <is>
          <t>consider_stock=false</t>
        </is>
      </c>
      <c r="O254" t="inlineStr"/>
      <c r="P254" t="inlineStr"/>
      <c r="Q254" t="inlineStr"/>
      <c r="R254" t="inlineStr">
        <is>
          <t>8347.835378460247329666593018</t>
        </is>
      </c>
      <c r="S254" t="inlineStr">
        <is>
          <t>8347.835378460247329666593018</t>
        </is>
      </c>
    </row>
    <row r="255">
      <c r="A255" t="n">
        <v>4</v>
      </c>
      <c r="B255" t="n">
        <v>129</v>
      </c>
      <c r="C255" t="inlineStr">
        <is>
          <t>SAUCE0-03</t>
        </is>
      </c>
      <c r="D255" t="inlineStr">
        <is>
          <t>TOMATO PASTE</t>
        </is>
      </c>
      <c r="E255" t="inlineStr">
        <is>
          <t>grams</t>
        </is>
      </c>
      <c r="F255" t="inlineStr">
        <is>
          <t>child</t>
        </is>
      </c>
      <c r="G255" t="inlineStr">
        <is>
          <t>8347.835378460247329666593018 from parent 484730.9743092583616093068347 × BOM 2400 / batch_quantity 139360. Stock not applied.</t>
        </is>
      </c>
      <c r="H255" t="n">
        <v>1</v>
      </c>
      <c r="I255" t="inlineStr">
        <is>
          <t>scale_bom</t>
        </is>
      </c>
      <c r="J255" t="inlineStr">
        <is>
          <t>parent_gross × bom_qty / batch_quantity</t>
        </is>
      </c>
      <c r="K255" t="inlineStr">
        <is>
          <t>484730.9743092583616093068347 × 2400 / 139360</t>
        </is>
      </c>
      <c r="L255" t="inlineStr">
        <is>
          <t>8347.835378460247329666593018</t>
        </is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4</v>
      </c>
      <c r="B256" t="n">
        <v>129</v>
      </c>
      <c r="C256" t="inlineStr">
        <is>
          <t>SAUCE0-03</t>
        </is>
      </c>
      <c r="D256" t="inlineStr">
        <is>
          <t>TOMATO PASTE</t>
        </is>
      </c>
      <c r="E256" t="inlineStr">
        <is>
          <t>grams</t>
        </is>
      </c>
      <c r="F256" t="inlineStr">
        <is>
          <t>child</t>
        </is>
      </c>
      <c r="G256" t="inlineStr"/>
      <c r="H256" t="n">
        <v>2</v>
      </c>
      <c r="I256" t="inlineStr">
        <is>
          <t>gross</t>
        </is>
      </c>
      <c r="J256" t="inlineStr">
        <is>
          <t>net / recipe_yield</t>
        </is>
      </c>
      <c r="K256" t="inlineStr">
        <is>
          <t>8347.835378460247329666593018 / 1 (recipe yield 100%)</t>
        </is>
      </c>
      <c r="L256" t="inlineStr">
        <is>
          <t>8347.835378460247329666593018</t>
        </is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4</v>
      </c>
      <c r="B257" t="n">
        <v>129</v>
      </c>
      <c r="C257" t="inlineStr">
        <is>
          <t>SAUCE0-03</t>
        </is>
      </c>
      <c r="D257" t="inlineStr">
        <is>
          <t>TOMATO PASTE</t>
        </is>
      </c>
      <c r="E257" t="inlineStr">
        <is>
          <t>grams</t>
        </is>
      </c>
      <c r="F257" t="inlineStr">
        <is>
          <t>child</t>
        </is>
      </c>
      <c r="G257" t="inlineStr"/>
      <c r="H257" t="n">
        <v>3</v>
      </c>
      <c r="I257" t="inlineStr">
        <is>
          <t>stock_net</t>
        </is>
      </c>
      <c r="J257" t="inlineStr"/>
      <c r="K257" t="inlineStr"/>
      <c r="L257" t="inlineStr"/>
      <c r="M257" t="b">
        <v>1</v>
      </c>
      <c r="N257" t="inlineStr">
        <is>
          <t>consider_stock=false</t>
        </is>
      </c>
      <c r="O257" t="inlineStr"/>
      <c r="P257" t="inlineStr"/>
      <c r="Q257" t="inlineStr"/>
      <c r="R257" t="inlineStr">
        <is>
          <t>8347.835378460247329666593018</t>
        </is>
      </c>
      <c r="S257" t="inlineStr">
        <is>
          <t>8347.835378460247329666593018</t>
        </is>
      </c>
    </row>
    <row r="258">
      <c r="A258" t="n">
        <v>4</v>
      </c>
      <c r="B258" t="n">
        <v>10</v>
      </c>
      <c r="C258" t="inlineStr">
        <is>
          <t>VEGFRO-15</t>
        </is>
      </c>
      <c r="D258" t="inlineStr">
        <is>
          <t>GINGER PUREE (FROZEN)</t>
        </is>
      </c>
      <c r="E258" t="inlineStr">
        <is>
          <t>grams</t>
        </is>
      </c>
      <c r="F258" t="inlineStr">
        <is>
          <t>child</t>
        </is>
      </c>
      <c r="G258" t="inlineStr">
        <is>
          <t>5565.223585640164886444395347 from parent 484730.9743092583616093068347 × BOM 1600 / batch_quantity 139360. Stock not applied.</t>
        </is>
      </c>
      <c r="H258" t="n">
        <v>1</v>
      </c>
      <c r="I258" t="inlineStr">
        <is>
          <t>scale_bom</t>
        </is>
      </c>
      <c r="J258" t="inlineStr">
        <is>
          <t>parent_gross × bom_qty / batch_quantity</t>
        </is>
      </c>
      <c r="K258" t="inlineStr">
        <is>
          <t>484730.9743092583616093068347 × 1600 / 139360</t>
        </is>
      </c>
      <c r="L258" t="inlineStr">
        <is>
          <t>5565.223585640164886444395347</t>
        </is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4</v>
      </c>
      <c r="B259" t="n">
        <v>10</v>
      </c>
      <c r="C259" t="inlineStr">
        <is>
          <t>VEGFRO-15</t>
        </is>
      </c>
      <c r="D259" t="inlineStr">
        <is>
          <t>GINGER PUREE (FROZEN)</t>
        </is>
      </c>
      <c r="E259" t="inlineStr">
        <is>
          <t>grams</t>
        </is>
      </c>
      <c r="F259" t="inlineStr">
        <is>
          <t>child</t>
        </is>
      </c>
      <c r="G259" t="inlineStr"/>
      <c r="H259" t="n">
        <v>2</v>
      </c>
      <c r="I259" t="inlineStr">
        <is>
          <t>gross</t>
        </is>
      </c>
      <c r="J259" t="inlineStr">
        <is>
          <t>net / recipe_yield</t>
        </is>
      </c>
      <c r="K259" t="inlineStr">
        <is>
          <t>5565.223585640164886444395347 / 1 (recipe yield 100%)</t>
        </is>
      </c>
      <c r="L259" t="inlineStr">
        <is>
          <t>5565.223585640164886444395347</t>
        </is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4</v>
      </c>
      <c r="B260" t="n">
        <v>10</v>
      </c>
      <c r="C260" t="inlineStr">
        <is>
          <t>VEGFRO-15</t>
        </is>
      </c>
      <c r="D260" t="inlineStr">
        <is>
          <t>GINGER PUREE (FROZEN)</t>
        </is>
      </c>
      <c r="E260" t="inlineStr">
        <is>
          <t>grams</t>
        </is>
      </c>
      <c r="F260" t="inlineStr">
        <is>
          <t>child</t>
        </is>
      </c>
      <c r="G260" t="inlineStr"/>
      <c r="H260" t="n">
        <v>3</v>
      </c>
      <c r="I260" t="inlineStr">
        <is>
          <t>stock_net</t>
        </is>
      </c>
      <c r="J260" t="inlineStr"/>
      <c r="K260" t="inlineStr"/>
      <c r="L260" t="inlineStr"/>
      <c r="M260" t="b">
        <v>1</v>
      </c>
      <c r="N260" t="inlineStr">
        <is>
          <t>consider_stock=false</t>
        </is>
      </c>
      <c r="O260" t="inlineStr"/>
      <c r="P260" t="inlineStr"/>
      <c r="Q260" t="inlineStr"/>
      <c r="R260" t="inlineStr">
        <is>
          <t>5565.223585640164886444395347</t>
        </is>
      </c>
      <c r="S260" t="inlineStr">
        <is>
          <t>5565.223585640164886444395347</t>
        </is>
      </c>
    </row>
    <row r="261">
      <c r="A261" t="n">
        <v>4</v>
      </c>
      <c r="B261" t="n">
        <v>29</v>
      </c>
      <c r="C261" t="inlineStr">
        <is>
          <t>VEGFRO-11</t>
        </is>
      </c>
      <c r="D261" t="inlineStr">
        <is>
          <t>GARLIC PUREE (FROZEN)</t>
        </is>
      </c>
      <c r="E261" t="inlineStr">
        <is>
          <t>grams</t>
        </is>
      </c>
      <c r="F261" t="inlineStr">
        <is>
          <t>child</t>
        </is>
      </c>
      <c r="G261" t="inlineStr">
        <is>
          <t>5565.223585640164886444395347 from parent 484730.9743092583616093068347 × BOM 1600 / batch_quantity 139360. Stock not applied.</t>
        </is>
      </c>
      <c r="H261" t="n">
        <v>1</v>
      </c>
      <c r="I261" t="inlineStr">
        <is>
          <t>scale_bom</t>
        </is>
      </c>
      <c r="J261" t="inlineStr">
        <is>
          <t>parent_gross × bom_qty / batch_quantity</t>
        </is>
      </c>
      <c r="K261" t="inlineStr">
        <is>
          <t>484730.9743092583616093068347 × 1600 / 139360</t>
        </is>
      </c>
      <c r="L261" t="inlineStr">
        <is>
          <t>5565.223585640164886444395347</t>
        </is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4</v>
      </c>
      <c r="B262" t="n">
        <v>29</v>
      </c>
      <c r="C262" t="inlineStr">
        <is>
          <t>VEGFRO-11</t>
        </is>
      </c>
      <c r="D262" t="inlineStr">
        <is>
          <t>GARLIC PUREE (FROZEN)</t>
        </is>
      </c>
      <c r="E262" t="inlineStr">
        <is>
          <t>grams</t>
        </is>
      </c>
      <c r="F262" t="inlineStr">
        <is>
          <t>child</t>
        </is>
      </c>
      <c r="G262" t="inlineStr"/>
      <c r="H262" t="n">
        <v>2</v>
      </c>
      <c r="I262" t="inlineStr">
        <is>
          <t>gross</t>
        </is>
      </c>
      <c r="J262" t="inlineStr">
        <is>
          <t>net / recipe_yield</t>
        </is>
      </c>
      <c r="K262" t="inlineStr">
        <is>
          <t>5565.223585640164886444395347 / 1 (recipe yield 100%)</t>
        </is>
      </c>
      <c r="L262" t="inlineStr">
        <is>
          <t>5565.223585640164886444395347</t>
        </is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4</v>
      </c>
      <c r="B263" t="n">
        <v>29</v>
      </c>
      <c r="C263" t="inlineStr">
        <is>
          <t>VEGFRO-11</t>
        </is>
      </c>
      <c r="D263" t="inlineStr">
        <is>
          <t>GARLIC PUREE (FROZEN)</t>
        </is>
      </c>
      <c r="E263" t="inlineStr">
        <is>
          <t>grams</t>
        </is>
      </c>
      <c r="F263" t="inlineStr">
        <is>
          <t>child</t>
        </is>
      </c>
      <c r="G263" t="inlineStr"/>
      <c r="H263" t="n">
        <v>3</v>
      </c>
      <c r="I263" t="inlineStr">
        <is>
          <t>stock_net</t>
        </is>
      </c>
      <c r="J263" t="inlineStr"/>
      <c r="K263" t="inlineStr"/>
      <c r="L263" t="inlineStr"/>
      <c r="M263" t="b">
        <v>1</v>
      </c>
      <c r="N263" t="inlineStr">
        <is>
          <t>consider_stock=false</t>
        </is>
      </c>
      <c r="O263" t="inlineStr"/>
      <c r="P263" t="inlineStr"/>
      <c r="Q263" t="inlineStr"/>
      <c r="R263" t="inlineStr">
        <is>
          <t>5565.223585640164886444395347</t>
        </is>
      </c>
      <c r="S263" t="inlineStr">
        <is>
          <t>5565.223585640164886444395347</t>
        </is>
      </c>
    </row>
    <row r="264">
      <c r="A264" t="n">
        <v>4</v>
      </c>
      <c r="B264" t="n">
        <v>43</v>
      </c>
      <c r="C264" t="inlineStr">
        <is>
          <t>VEGFRO-28</t>
        </is>
      </c>
      <c r="D264" t="inlineStr">
        <is>
          <t>RED CHILLI PUREE (FROZEN)</t>
        </is>
      </c>
      <c r="E264" t="inlineStr">
        <is>
          <t>grams</t>
        </is>
      </c>
      <c r="F264" t="inlineStr">
        <is>
          <t>child</t>
        </is>
      </c>
      <c r="G264" t="inlineStr">
        <is>
          <t>5565.223585640164886444395347 from parent 484730.9743092583616093068347 × BOM 1600 / batch_quantity 139360. Stock not applied.</t>
        </is>
      </c>
      <c r="H264" t="n">
        <v>1</v>
      </c>
      <c r="I264" t="inlineStr">
        <is>
          <t>scale_bom</t>
        </is>
      </c>
      <c r="J264" t="inlineStr">
        <is>
          <t>parent_gross × bom_qty / batch_quantity</t>
        </is>
      </c>
      <c r="K264" t="inlineStr">
        <is>
          <t>484730.9743092583616093068347 × 1600 / 139360</t>
        </is>
      </c>
      <c r="L264" t="inlineStr">
        <is>
          <t>5565.223585640164886444395347</t>
        </is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4</v>
      </c>
      <c r="B265" t="n">
        <v>43</v>
      </c>
      <c r="C265" t="inlineStr">
        <is>
          <t>VEGFRO-28</t>
        </is>
      </c>
      <c r="D265" t="inlineStr">
        <is>
          <t>RED CHILLI PUREE (FROZEN)</t>
        </is>
      </c>
      <c r="E265" t="inlineStr">
        <is>
          <t>grams</t>
        </is>
      </c>
      <c r="F265" t="inlineStr">
        <is>
          <t>child</t>
        </is>
      </c>
      <c r="G265" t="inlineStr"/>
      <c r="H265" t="n">
        <v>2</v>
      </c>
      <c r="I265" t="inlineStr">
        <is>
          <t>gross</t>
        </is>
      </c>
      <c r="J265" t="inlineStr">
        <is>
          <t>net / recipe_yield</t>
        </is>
      </c>
      <c r="K265" t="inlineStr">
        <is>
          <t>5565.223585640164886444395347 / 1 (recipe yield 100%)</t>
        </is>
      </c>
      <c r="L265" t="inlineStr">
        <is>
          <t>5565.223585640164886444395347</t>
        </is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</v>
      </c>
      <c r="B266" t="n">
        <v>43</v>
      </c>
      <c r="C266" t="inlineStr">
        <is>
          <t>VEGFRO-28</t>
        </is>
      </c>
      <c r="D266" t="inlineStr">
        <is>
          <t>RED CHILLI PUREE (FROZEN)</t>
        </is>
      </c>
      <c r="E266" t="inlineStr">
        <is>
          <t>grams</t>
        </is>
      </c>
      <c r="F266" t="inlineStr">
        <is>
          <t>child</t>
        </is>
      </c>
      <c r="G266" t="inlineStr"/>
      <c r="H266" t="n">
        <v>3</v>
      </c>
      <c r="I266" t="inlineStr">
        <is>
          <t>stock_net</t>
        </is>
      </c>
      <c r="J266" t="inlineStr"/>
      <c r="K266" t="inlineStr"/>
      <c r="L266" t="inlineStr"/>
      <c r="M266" t="b">
        <v>1</v>
      </c>
      <c r="N266" t="inlineStr">
        <is>
          <t>consider_stock=false</t>
        </is>
      </c>
      <c r="O266" t="inlineStr"/>
      <c r="P266" t="inlineStr"/>
      <c r="Q266" t="inlineStr"/>
      <c r="R266" t="inlineStr">
        <is>
          <t>5565.223585640164886444395347</t>
        </is>
      </c>
      <c r="S266" t="inlineStr">
        <is>
          <t>5565.223585640164886444395347</t>
        </is>
      </c>
    </row>
    <row r="267">
      <c r="A267" t="n">
        <v>4</v>
      </c>
      <c r="B267" t="n">
        <v>152</v>
      </c>
      <c r="C267" t="inlineStr">
        <is>
          <t>SAUCE0-25</t>
        </is>
      </c>
      <c r="D267" t="inlineStr">
        <is>
          <t>VINEGAR RICE</t>
        </is>
      </c>
      <c r="E267" t="inlineStr">
        <is>
          <t>grams</t>
        </is>
      </c>
      <c r="F267" t="inlineStr">
        <is>
          <t>child</t>
        </is>
      </c>
      <c r="G267" t="inlineStr">
        <is>
          <t>5565.223585640164886444395347 from parent 484730.9743092583616093068347 × BOM 1600 / batch_quantity 139360. Stock not applied.</t>
        </is>
      </c>
      <c r="H267" t="n">
        <v>1</v>
      </c>
      <c r="I267" t="inlineStr">
        <is>
          <t>scale_bom</t>
        </is>
      </c>
      <c r="J267" t="inlineStr">
        <is>
          <t>parent_gross × bom_qty / batch_quantity</t>
        </is>
      </c>
      <c r="K267" t="inlineStr">
        <is>
          <t>484730.9743092583616093068347 × 1600 / 139360</t>
        </is>
      </c>
      <c r="L267" t="inlineStr">
        <is>
          <t>5565.223585640164886444395347</t>
        </is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</v>
      </c>
      <c r="B268" t="n">
        <v>152</v>
      </c>
      <c r="C268" t="inlineStr">
        <is>
          <t>SAUCE0-25</t>
        </is>
      </c>
      <c r="D268" t="inlineStr">
        <is>
          <t>VINEGAR RICE</t>
        </is>
      </c>
      <c r="E268" t="inlineStr">
        <is>
          <t>grams</t>
        </is>
      </c>
      <c r="F268" t="inlineStr">
        <is>
          <t>child</t>
        </is>
      </c>
      <c r="G268" t="inlineStr"/>
      <c r="H268" t="n">
        <v>2</v>
      </c>
      <c r="I268" t="inlineStr">
        <is>
          <t>gross</t>
        </is>
      </c>
      <c r="J268" t="inlineStr">
        <is>
          <t>net / recipe_yield</t>
        </is>
      </c>
      <c r="K268" t="inlineStr">
        <is>
          <t>5565.223585640164886444395347 / 1 (recipe yield 100%)</t>
        </is>
      </c>
      <c r="L268" t="inlineStr">
        <is>
          <t>5565.223585640164886444395347</t>
        </is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</v>
      </c>
      <c r="B269" t="n">
        <v>152</v>
      </c>
      <c r="C269" t="inlineStr">
        <is>
          <t>SAUCE0-25</t>
        </is>
      </c>
      <c r="D269" t="inlineStr">
        <is>
          <t>VINEGAR RICE</t>
        </is>
      </c>
      <c r="E269" t="inlineStr">
        <is>
          <t>grams</t>
        </is>
      </c>
      <c r="F269" t="inlineStr">
        <is>
          <t>child</t>
        </is>
      </c>
      <c r="G269" t="inlineStr"/>
      <c r="H269" t="n">
        <v>3</v>
      </c>
      <c r="I269" t="inlineStr">
        <is>
          <t>stock_net</t>
        </is>
      </c>
      <c r="J269" t="inlineStr"/>
      <c r="K269" t="inlineStr"/>
      <c r="L269" t="inlineStr"/>
      <c r="M269" t="b">
        <v>1</v>
      </c>
      <c r="N269" t="inlineStr">
        <is>
          <t>consider_stock=false</t>
        </is>
      </c>
      <c r="O269" t="inlineStr"/>
      <c r="P269" t="inlineStr"/>
      <c r="Q269" t="inlineStr"/>
      <c r="R269" t="inlineStr">
        <is>
          <t>5565.223585640164886444395347</t>
        </is>
      </c>
      <c r="S269" t="inlineStr">
        <is>
          <t>5565.223585640164886444395347</t>
        </is>
      </c>
    </row>
    <row r="270">
      <c r="A270" t="n">
        <v>4</v>
      </c>
      <c r="B270" t="n">
        <v>291</v>
      </c>
      <c r="C270" t="inlineStr">
        <is>
          <t>INGRAD-17</t>
        </is>
      </c>
      <c r="D270" t="inlineStr">
        <is>
          <t>CORN FLOUR</t>
        </is>
      </c>
      <c r="E270" t="inlineStr">
        <is>
          <t>grams</t>
        </is>
      </c>
      <c r="F270" t="inlineStr">
        <is>
          <t>child</t>
        </is>
      </c>
      <c r="G270" t="inlineStr">
        <is>
          <t>5565.223585640164886444395347 from parent 484730.9743092583616093068347 × BOM 1600 / batch_quantity 139360. Stock not applied.</t>
        </is>
      </c>
      <c r="H270" t="n">
        <v>1</v>
      </c>
      <c r="I270" t="inlineStr">
        <is>
          <t>scale_bom</t>
        </is>
      </c>
      <c r="J270" t="inlineStr">
        <is>
          <t>parent_gross × bom_qty / batch_quantity</t>
        </is>
      </c>
      <c r="K270" t="inlineStr">
        <is>
          <t>484730.9743092583616093068347 × 1600 / 139360</t>
        </is>
      </c>
      <c r="L270" t="inlineStr">
        <is>
          <t>5565.223585640164886444395347</t>
        </is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4</v>
      </c>
      <c r="B271" t="n">
        <v>291</v>
      </c>
      <c r="C271" t="inlineStr">
        <is>
          <t>INGRAD-17</t>
        </is>
      </c>
      <c r="D271" t="inlineStr">
        <is>
          <t>CORN FLOUR</t>
        </is>
      </c>
      <c r="E271" t="inlineStr">
        <is>
          <t>grams</t>
        </is>
      </c>
      <c r="F271" t="inlineStr">
        <is>
          <t>child</t>
        </is>
      </c>
      <c r="G271" t="inlineStr"/>
      <c r="H271" t="n">
        <v>2</v>
      </c>
      <c r="I271" t="inlineStr">
        <is>
          <t>gross</t>
        </is>
      </c>
      <c r="J271" t="inlineStr">
        <is>
          <t>net / recipe_yield</t>
        </is>
      </c>
      <c r="K271" t="inlineStr">
        <is>
          <t>5565.223585640164886444395347 / 1 (recipe yield 100%)</t>
        </is>
      </c>
      <c r="L271" t="inlineStr">
        <is>
          <t>5565.223585640164886444395347</t>
        </is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</v>
      </c>
      <c r="B272" t="n">
        <v>291</v>
      </c>
      <c r="C272" t="inlineStr">
        <is>
          <t>INGRAD-17</t>
        </is>
      </c>
      <c r="D272" t="inlineStr">
        <is>
          <t>CORN FLOUR</t>
        </is>
      </c>
      <c r="E272" t="inlineStr">
        <is>
          <t>grams</t>
        </is>
      </c>
      <c r="F272" t="inlineStr">
        <is>
          <t>child</t>
        </is>
      </c>
      <c r="G272" t="inlineStr"/>
      <c r="H272" t="n">
        <v>3</v>
      </c>
      <c r="I272" t="inlineStr">
        <is>
          <t>stock_net</t>
        </is>
      </c>
      <c r="J272" t="inlineStr"/>
      <c r="K272" t="inlineStr"/>
      <c r="L272" t="inlineStr"/>
      <c r="M272" t="b">
        <v>1</v>
      </c>
      <c r="N272" t="inlineStr">
        <is>
          <t>consider_stock=false</t>
        </is>
      </c>
      <c r="O272" t="inlineStr"/>
      <c r="P272" t="inlineStr"/>
      <c r="Q272" t="inlineStr"/>
      <c r="R272" t="inlineStr">
        <is>
          <t>5565.223585640164886444395347</t>
        </is>
      </c>
      <c r="S272" t="inlineStr">
        <is>
          <t>5565.223585640164886444395347</t>
        </is>
      </c>
    </row>
    <row r="273">
      <c r="A273" t="n">
        <v>4</v>
      </c>
      <c r="B273" t="n">
        <v>1529</v>
      </c>
      <c r="C273" t="inlineStr">
        <is>
          <t>GFF578R-S</t>
        </is>
      </c>
      <c r="D273" t="inlineStr">
        <is>
          <t>Red Thai Curry Sauce (Simmers) - 578 - Spices</t>
        </is>
      </c>
      <c r="E273" t="inlineStr">
        <is>
          <t>grams</t>
        </is>
      </c>
      <c r="F273" t="inlineStr">
        <is>
          <t>child</t>
        </is>
      </c>
      <c r="G273" t="inlineStr">
        <is>
          <t>42295.69925086525313697740464 from parent 484730.9743092583616093068347 × BOM 12160 / batch_quantity 139360. Stock not applied.</t>
        </is>
      </c>
      <c r="H273" t="n">
        <v>1</v>
      </c>
      <c r="I273" t="inlineStr">
        <is>
          <t>scale_bom</t>
        </is>
      </c>
      <c r="J273" t="inlineStr">
        <is>
          <t>parent_gross × bom_qty / batch_quantity</t>
        </is>
      </c>
      <c r="K273" t="inlineStr">
        <is>
          <t>484730.9743092583616093068347 × 12160 / 139360</t>
        </is>
      </c>
      <c r="L273" t="inlineStr">
        <is>
          <t>42295.69925086525313697740464</t>
        </is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</v>
      </c>
      <c r="B274" t="n">
        <v>1529</v>
      </c>
      <c r="C274" t="inlineStr">
        <is>
          <t>GFF578R-S</t>
        </is>
      </c>
      <c r="D274" t="inlineStr">
        <is>
          <t>Red Thai Curry Sauce (Simmers) - 578 - Spices</t>
        </is>
      </c>
      <c r="E274" t="inlineStr">
        <is>
          <t>grams</t>
        </is>
      </c>
      <c r="F274" t="inlineStr">
        <is>
          <t>child</t>
        </is>
      </c>
      <c r="G274" t="inlineStr"/>
      <c r="H274" t="n">
        <v>2</v>
      </c>
      <c r="I274" t="inlineStr">
        <is>
          <t>gross</t>
        </is>
      </c>
      <c r="J274" t="inlineStr">
        <is>
          <t>net / recipe_yield</t>
        </is>
      </c>
      <c r="K274" t="inlineStr">
        <is>
          <t>42295.69925086525313697740464 / 1 (recipe yield 100%)</t>
        </is>
      </c>
      <c r="L274" t="inlineStr">
        <is>
          <t>42295.69925086525313697740464</t>
        </is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</v>
      </c>
      <c r="B275" t="n">
        <v>1529</v>
      </c>
      <c r="C275" t="inlineStr">
        <is>
          <t>GFF578R-S</t>
        </is>
      </c>
      <c r="D275" t="inlineStr">
        <is>
          <t>Red Thai Curry Sauce (Simmers) - 578 - Spices</t>
        </is>
      </c>
      <c r="E275" t="inlineStr">
        <is>
          <t>grams</t>
        </is>
      </c>
      <c r="F275" t="inlineStr">
        <is>
          <t>child</t>
        </is>
      </c>
      <c r="G275" t="inlineStr"/>
      <c r="H275" t="n">
        <v>3</v>
      </c>
      <c r="I275" t="inlineStr">
        <is>
          <t>stock_net</t>
        </is>
      </c>
      <c r="J275" t="inlineStr"/>
      <c r="K275" t="inlineStr"/>
      <c r="L275" t="inlineStr"/>
      <c r="M275" t="b">
        <v>1</v>
      </c>
      <c r="N275" t="inlineStr">
        <is>
          <t>consider_stock=false</t>
        </is>
      </c>
      <c r="O275" t="inlineStr"/>
      <c r="P275" t="inlineStr"/>
      <c r="Q275" t="inlineStr"/>
      <c r="R275" t="inlineStr">
        <is>
          <t>42295.69925086525313697740464</t>
        </is>
      </c>
      <c r="S275" t="inlineStr">
        <is>
          <t>42295.69925086525313697740464</t>
        </is>
      </c>
    </row>
    <row r="276">
      <c r="A276" t="n">
        <v>4</v>
      </c>
      <c r="B276" t="n">
        <v>31</v>
      </c>
      <c r="C276" t="inlineStr">
        <is>
          <t>VEGFRO-13</t>
        </is>
      </c>
      <c r="D276" t="inlineStr">
        <is>
          <t>RED PEPPER DICED 20MM (FROZEN)</t>
        </is>
      </c>
      <c r="E276" t="inlineStr">
        <is>
          <t>grams</t>
        </is>
      </c>
      <c r="F276" t="inlineStr">
        <is>
          <t>child</t>
        </is>
      </c>
      <c r="G276" t="inlineStr">
        <is>
          <t>235294.1176470588235294117647 from parent 470588.2352941176470588235294 × BOM 50000 / batch_quantity 100000. Stock not applied.</t>
        </is>
      </c>
      <c r="H276" t="n">
        <v>1</v>
      </c>
      <c r="I276" t="inlineStr">
        <is>
          <t>scale_bom</t>
        </is>
      </c>
      <c r="J276" t="inlineStr">
        <is>
          <t>parent_gross × bom_qty / batch_quantity</t>
        </is>
      </c>
      <c r="K276" t="inlineStr">
        <is>
          <t>470588.2352941176470588235294 × 50000 / 100000</t>
        </is>
      </c>
      <c r="L276" t="inlineStr">
        <is>
          <t>235294.1176470588235294117647</t>
        </is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</v>
      </c>
      <c r="B277" t="n">
        <v>31</v>
      </c>
      <c r="C277" t="inlineStr">
        <is>
          <t>VEGFRO-13</t>
        </is>
      </c>
      <c r="D277" t="inlineStr">
        <is>
          <t>RED PEPPER DICED 20MM (FROZEN)</t>
        </is>
      </c>
      <c r="E277" t="inlineStr">
        <is>
          <t>grams</t>
        </is>
      </c>
      <c r="F277" t="inlineStr">
        <is>
          <t>child</t>
        </is>
      </c>
      <c r="G277" t="inlineStr"/>
      <c r="H277" t="n">
        <v>2</v>
      </c>
      <c r="I277" t="inlineStr">
        <is>
          <t>gross</t>
        </is>
      </c>
      <c r="J277" t="inlineStr">
        <is>
          <t>net / recipe_yield</t>
        </is>
      </c>
      <c r="K277" t="inlineStr">
        <is>
          <t>235294.1176470588235294117647 / 1 (recipe yield 100%)</t>
        </is>
      </c>
      <c r="L277" t="inlineStr">
        <is>
          <t>235294.1176470588235294117647</t>
        </is>
      </c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4</v>
      </c>
      <c r="B278" t="n">
        <v>31</v>
      </c>
      <c r="C278" t="inlineStr">
        <is>
          <t>VEGFRO-13</t>
        </is>
      </c>
      <c r="D278" t="inlineStr">
        <is>
          <t>RED PEPPER DICED 20MM (FROZEN)</t>
        </is>
      </c>
      <c r="E278" t="inlineStr">
        <is>
          <t>grams</t>
        </is>
      </c>
      <c r="F278" t="inlineStr">
        <is>
          <t>child</t>
        </is>
      </c>
      <c r="G278" t="inlineStr"/>
      <c r="H278" t="n">
        <v>3</v>
      </c>
      <c r="I278" t="inlineStr">
        <is>
          <t>stock_net</t>
        </is>
      </c>
      <c r="J278" t="inlineStr"/>
      <c r="K278" t="inlineStr"/>
      <c r="L278" t="inlineStr"/>
      <c r="M278" t="b">
        <v>1</v>
      </c>
      <c r="N278" t="inlineStr">
        <is>
          <t>consider_stock=false</t>
        </is>
      </c>
      <c r="O278" t="inlineStr"/>
      <c r="P278" t="inlineStr"/>
      <c r="Q278" t="inlineStr"/>
      <c r="R278" t="inlineStr">
        <is>
          <t>235294.1176470588235294117647</t>
        </is>
      </c>
      <c r="S278" t="inlineStr">
        <is>
          <t>235294.1176470588235294117647</t>
        </is>
      </c>
    </row>
    <row r="279">
      <c r="A279" t="n">
        <v>4</v>
      </c>
      <c r="B279" t="n">
        <v>1567</v>
      </c>
      <c r="C279" t="inlineStr">
        <is>
          <t>VEGFRO-66</t>
        </is>
      </c>
      <c r="D279" t="inlineStr">
        <is>
          <t>Carrot Baton 6 x 6 x 45mm</t>
        </is>
      </c>
      <c r="E279" t="inlineStr">
        <is>
          <t>grams</t>
        </is>
      </c>
      <c r="F279" t="inlineStr">
        <is>
          <t>child</t>
        </is>
      </c>
      <c r="G279" t="inlineStr">
        <is>
          <t>235294.1176470588235294117647 from parent 470588.2352941176470588235294 × BOM 50000 / batch_quantity 100000. Stock not applied.</t>
        </is>
      </c>
      <c r="H279" t="n">
        <v>1</v>
      </c>
      <c r="I279" t="inlineStr">
        <is>
          <t>scale_bom</t>
        </is>
      </c>
      <c r="J279" t="inlineStr">
        <is>
          <t>parent_gross × bom_qty / batch_quantity</t>
        </is>
      </c>
      <c r="K279" t="inlineStr">
        <is>
          <t>470588.2352941176470588235294 × 50000 / 100000</t>
        </is>
      </c>
      <c r="L279" t="inlineStr">
        <is>
          <t>235294.1176470588235294117647</t>
        </is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4</v>
      </c>
      <c r="B280" t="n">
        <v>1567</v>
      </c>
      <c r="C280" t="inlineStr">
        <is>
          <t>VEGFRO-66</t>
        </is>
      </c>
      <c r="D280" t="inlineStr">
        <is>
          <t>Carrot Baton 6 x 6 x 45mm</t>
        </is>
      </c>
      <c r="E280" t="inlineStr">
        <is>
          <t>grams</t>
        </is>
      </c>
      <c r="F280" t="inlineStr">
        <is>
          <t>child</t>
        </is>
      </c>
      <c r="G280" t="inlineStr"/>
      <c r="H280" t="n">
        <v>2</v>
      </c>
      <c r="I280" t="inlineStr">
        <is>
          <t>gross</t>
        </is>
      </c>
      <c r="J280" t="inlineStr">
        <is>
          <t>net / recipe_yield</t>
        </is>
      </c>
      <c r="K280" t="inlineStr">
        <is>
          <t>235294.1176470588235294117647 / 1 (recipe yield 100%)</t>
        </is>
      </c>
      <c r="L280" t="inlineStr">
        <is>
          <t>235294.1176470588235294117647</t>
        </is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4</v>
      </c>
      <c r="B281" t="n">
        <v>1567</v>
      </c>
      <c r="C281" t="inlineStr">
        <is>
          <t>VEGFRO-66</t>
        </is>
      </c>
      <c r="D281" t="inlineStr">
        <is>
          <t>Carrot Baton 6 x 6 x 45mm</t>
        </is>
      </c>
      <c r="E281" t="inlineStr">
        <is>
          <t>grams</t>
        </is>
      </c>
      <c r="F281" t="inlineStr">
        <is>
          <t>child</t>
        </is>
      </c>
      <c r="G281" t="inlineStr"/>
      <c r="H281" t="n">
        <v>3</v>
      </c>
      <c r="I281" t="inlineStr">
        <is>
          <t>stock_net</t>
        </is>
      </c>
      <c r="J281" t="inlineStr"/>
      <c r="K281" t="inlineStr"/>
      <c r="L281" t="inlineStr"/>
      <c r="M281" t="b">
        <v>1</v>
      </c>
      <c r="N281" t="inlineStr">
        <is>
          <t>consider_stock=false</t>
        </is>
      </c>
      <c r="O281" t="inlineStr"/>
      <c r="P281" t="inlineStr"/>
      <c r="Q281" t="inlineStr"/>
      <c r="R281" t="inlineStr">
        <is>
          <t>235294.1176470588235294117647</t>
        </is>
      </c>
      <c r="S281" t="inlineStr">
        <is>
          <t>235294.1176470588235294117647</t>
        </is>
      </c>
    </row>
    <row r="282">
      <c r="A282" t="n">
        <v>4</v>
      </c>
      <c r="B282" t="n">
        <v>621</v>
      </c>
      <c r="C282" t="inlineStr">
        <is>
          <t>GFF560R - Ma</t>
        </is>
      </c>
      <c r="D282" t="inlineStr">
        <is>
          <t>Coriander Marinated Chicken (Simmers) - 560 - Marination</t>
        </is>
      </c>
      <c r="E282" t="inlineStr">
        <is>
          <t>grams</t>
        </is>
      </c>
      <c r="F282" t="inlineStr">
        <is>
          <t>child</t>
        </is>
      </c>
      <c r="G282" t="inlineStr">
        <is>
          <t>150000 from parent 150000 × BOM 164500 / batch_quantity 164500. Stock not applied.</t>
        </is>
      </c>
      <c r="H282" t="n">
        <v>1</v>
      </c>
      <c r="I282" t="inlineStr">
        <is>
          <t>scale_bom</t>
        </is>
      </c>
      <c r="J282" t="inlineStr">
        <is>
          <t>parent_gross × bom_qty / batch_quantity</t>
        </is>
      </c>
      <c r="K282" t="inlineStr">
        <is>
          <t>150000 × 164500 / 164500</t>
        </is>
      </c>
      <c r="L282" t="inlineStr">
        <is>
          <t>150000</t>
        </is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4</v>
      </c>
      <c r="B283" t="n">
        <v>621</v>
      </c>
      <c r="C283" t="inlineStr">
        <is>
          <t>GFF560R - Ma</t>
        </is>
      </c>
      <c r="D283" t="inlineStr">
        <is>
          <t>Coriander Marinated Chicken (Simmers) - 560 - Marination</t>
        </is>
      </c>
      <c r="E283" t="inlineStr">
        <is>
          <t>grams</t>
        </is>
      </c>
      <c r="F283" t="inlineStr">
        <is>
          <t>child</t>
        </is>
      </c>
      <c r="G283" t="inlineStr"/>
      <c r="H283" t="n">
        <v>2</v>
      </c>
      <c r="I283" t="inlineStr">
        <is>
          <t>gross</t>
        </is>
      </c>
      <c r="J283" t="inlineStr">
        <is>
          <t>net / recipe_yield</t>
        </is>
      </c>
      <c r="K283" t="inlineStr">
        <is>
          <t>150000 / 0.699 (recipe yield 69.9%)</t>
        </is>
      </c>
      <c r="L283" t="inlineStr">
        <is>
          <t>214592.274678111587982832618</t>
        </is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4</v>
      </c>
      <c r="B284" t="n">
        <v>621</v>
      </c>
      <c r="C284" t="inlineStr">
        <is>
          <t>GFF560R - Ma</t>
        </is>
      </c>
      <c r="D284" t="inlineStr">
        <is>
          <t>Coriander Marinated Chicken (Simmers) - 560 - Marination</t>
        </is>
      </c>
      <c r="E284" t="inlineStr">
        <is>
          <t>grams</t>
        </is>
      </c>
      <c r="F284" t="inlineStr">
        <is>
          <t>child</t>
        </is>
      </c>
      <c r="G284" t="inlineStr"/>
      <c r="H284" t="n">
        <v>3</v>
      </c>
      <c r="I284" t="inlineStr">
        <is>
          <t>stock_net</t>
        </is>
      </c>
      <c r="J284" t="inlineStr"/>
      <c r="K284" t="inlineStr"/>
      <c r="L284" t="inlineStr"/>
      <c r="M284" t="b">
        <v>1</v>
      </c>
      <c r="N284" t="inlineStr">
        <is>
          <t>consider_stock=false</t>
        </is>
      </c>
      <c r="O284" t="inlineStr"/>
      <c r="P284" t="inlineStr"/>
      <c r="Q284" t="inlineStr"/>
      <c r="R284" t="inlineStr">
        <is>
          <t>150000</t>
        </is>
      </c>
      <c r="S284" t="inlineStr">
        <is>
          <t>214592.274678111587982832618</t>
        </is>
      </c>
    </row>
    <row r="285">
      <c r="A285" t="n">
        <v>4</v>
      </c>
      <c r="B285" t="n">
        <v>824</v>
      </c>
      <c r="C285" t="inlineStr">
        <is>
          <t>AFFINITY-S1</t>
        </is>
      </c>
      <c r="D285" t="inlineStr">
        <is>
          <t>Water</t>
        </is>
      </c>
      <c r="E285" t="inlineStr">
        <is>
          <t>grams</t>
        </is>
      </c>
      <c r="F285" t="inlineStr">
        <is>
          <t>child</t>
        </is>
      </c>
      <c r="G285" t="inlineStr">
        <is>
          <t>35156.28515628515628515628516 from parent 58500.0585000585000585000585 × BOM 90000 / batch_quantity 149760. Stock not applied.</t>
        </is>
      </c>
      <c r="H285" t="n">
        <v>1</v>
      </c>
      <c r="I285" t="inlineStr">
        <is>
          <t>scale_bom</t>
        </is>
      </c>
      <c r="J285" t="inlineStr">
        <is>
          <t>parent_gross × bom_qty / batch_quantity</t>
        </is>
      </c>
      <c r="K285" t="inlineStr">
        <is>
          <t>58500.0585000585000585000585 × 90000 / 149760</t>
        </is>
      </c>
      <c r="L285" t="inlineStr">
        <is>
          <t>35156.28515628515628515628516</t>
        </is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4</v>
      </c>
      <c r="B286" t="n">
        <v>824</v>
      </c>
      <c r="C286" t="inlineStr">
        <is>
          <t>AFFINITY-S1</t>
        </is>
      </c>
      <c r="D286" t="inlineStr">
        <is>
          <t>Water</t>
        </is>
      </c>
      <c r="E286" t="inlineStr">
        <is>
          <t>grams</t>
        </is>
      </c>
      <c r="F286" t="inlineStr">
        <is>
          <t>child</t>
        </is>
      </c>
      <c r="G286" t="inlineStr"/>
      <c r="H286" t="n">
        <v>2</v>
      </c>
      <c r="I286" t="inlineStr">
        <is>
          <t>gross</t>
        </is>
      </c>
      <c r="J286" t="inlineStr">
        <is>
          <t>net / recipe_yield</t>
        </is>
      </c>
      <c r="K286" t="inlineStr">
        <is>
          <t>35156.28515628515628515628516 / 1 (recipe yield 100%)</t>
        </is>
      </c>
      <c r="L286" t="inlineStr">
        <is>
          <t>35156.28515628515628515628516</t>
        </is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4</v>
      </c>
      <c r="B287" t="n">
        <v>824</v>
      </c>
      <c r="C287" t="inlineStr">
        <is>
          <t>AFFINITY-S1</t>
        </is>
      </c>
      <c r="D287" t="inlineStr">
        <is>
          <t>Water</t>
        </is>
      </c>
      <c r="E287" t="inlineStr">
        <is>
          <t>grams</t>
        </is>
      </c>
      <c r="F287" t="inlineStr">
        <is>
          <t>child</t>
        </is>
      </c>
      <c r="G287" t="inlineStr"/>
      <c r="H287" t="n">
        <v>3</v>
      </c>
      <c r="I287" t="inlineStr">
        <is>
          <t>stock_net</t>
        </is>
      </c>
      <c r="J287" t="inlineStr"/>
      <c r="K287" t="inlineStr"/>
      <c r="L287" t="inlineStr"/>
      <c r="M287" t="b">
        <v>1</v>
      </c>
      <c r="N287" t="inlineStr">
        <is>
          <t>consider_stock=false</t>
        </is>
      </c>
      <c r="O287" t="inlineStr"/>
      <c r="P287" t="inlineStr"/>
      <c r="Q287" t="inlineStr"/>
      <c r="R287" t="inlineStr">
        <is>
          <t>35156.28515628515628515628516</t>
        </is>
      </c>
      <c r="S287" t="inlineStr">
        <is>
          <t>35156.28515628515628515628516</t>
        </is>
      </c>
    </row>
    <row r="288">
      <c r="A288" t="n">
        <v>4</v>
      </c>
      <c r="B288" t="n">
        <v>274</v>
      </c>
      <c r="C288" t="inlineStr">
        <is>
          <t>INGRAD-07</t>
        </is>
      </c>
      <c r="D288" t="inlineStr">
        <is>
          <t>BASMATI RICE</t>
        </is>
      </c>
      <c r="E288" t="inlineStr">
        <is>
          <t>grams</t>
        </is>
      </c>
      <c r="F288" t="inlineStr">
        <is>
          <t>child</t>
        </is>
      </c>
      <c r="G288" t="inlineStr">
        <is>
          <t>17578.14257814257814257814257 from parent 58500.0585000585000585000585 × BOM 45000 / batch_quantity 149760. Stock not applied.</t>
        </is>
      </c>
      <c r="H288" t="n">
        <v>1</v>
      </c>
      <c r="I288" t="inlineStr">
        <is>
          <t>scale_bom</t>
        </is>
      </c>
      <c r="J288" t="inlineStr">
        <is>
          <t>parent_gross × bom_qty / batch_quantity</t>
        </is>
      </c>
      <c r="K288" t="inlineStr">
        <is>
          <t>58500.0585000585000585000585 × 45000 / 149760</t>
        </is>
      </c>
      <c r="L288" t="inlineStr">
        <is>
          <t>17578.14257814257814257814257</t>
        </is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</v>
      </c>
      <c r="B289" t="n">
        <v>274</v>
      </c>
      <c r="C289" t="inlineStr">
        <is>
          <t>INGRAD-07</t>
        </is>
      </c>
      <c r="D289" t="inlineStr">
        <is>
          <t>BASMATI RICE</t>
        </is>
      </c>
      <c r="E289" t="inlineStr">
        <is>
          <t>grams</t>
        </is>
      </c>
      <c r="F289" t="inlineStr">
        <is>
          <t>child</t>
        </is>
      </c>
      <c r="G289" t="inlineStr"/>
      <c r="H289" t="n">
        <v>2</v>
      </c>
      <c r="I289" t="inlineStr">
        <is>
          <t>gross</t>
        </is>
      </c>
      <c r="J289" t="inlineStr">
        <is>
          <t>net / recipe_yield</t>
        </is>
      </c>
      <c r="K289" t="inlineStr">
        <is>
          <t>17578.14257814257814257814257 / 1 (recipe yield 100%)</t>
        </is>
      </c>
      <c r="L289" t="inlineStr">
        <is>
          <t>17578.14257814257814257814257</t>
        </is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</v>
      </c>
      <c r="B290" t="n">
        <v>274</v>
      </c>
      <c r="C290" t="inlineStr">
        <is>
          <t>INGRAD-07</t>
        </is>
      </c>
      <c r="D290" t="inlineStr">
        <is>
          <t>BASMATI RICE</t>
        </is>
      </c>
      <c r="E290" t="inlineStr">
        <is>
          <t>grams</t>
        </is>
      </c>
      <c r="F290" t="inlineStr">
        <is>
          <t>child</t>
        </is>
      </c>
      <c r="G290" t="inlineStr"/>
      <c r="H290" t="n">
        <v>3</v>
      </c>
      <c r="I290" t="inlineStr">
        <is>
          <t>stock_net</t>
        </is>
      </c>
      <c r="J290" t="inlineStr"/>
      <c r="K290" t="inlineStr"/>
      <c r="L290" t="inlineStr"/>
      <c r="M290" t="b">
        <v>1</v>
      </c>
      <c r="N290" t="inlineStr">
        <is>
          <t>consider_stock=false</t>
        </is>
      </c>
      <c r="O290" t="inlineStr"/>
      <c r="P290" t="inlineStr"/>
      <c r="Q290" t="inlineStr"/>
      <c r="R290" t="inlineStr">
        <is>
          <t>17578.14257814257814257814257</t>
        </is>
      </c>
      <c r="S290" t="inlineStr">
        <is>
          <t>17578.14257814257814257814257</t>
        </is>
      </c>
    </row>
    <row r="291">
      <c r="A291" t="n">
        <v>4</v>
      </c>
      <c r="B291" t="n">
        <v>17</v>
      </c>
      <c r="C291" t="inlineStr">
        <is>
          <t>VEGFRO-06</t>
        </is>
      </c>
      <c r="D291" t="inlineStr">
        <is>
          <t>SPRING ONION CHOPPED 4MM (FROZEN)</t>
        </is>
      </c>
      <c r="E291" t="inlineStr">
        <is>
          <t>grams</t>
        </is>
      </c>
      <c r="F291" t="inlineStr">
        <is>
          <t>child</t>
        </is>
      </c>
      <c r="G291" t="inlineStr">
        <is>
          <t>1757.814257814257814257814257 from parent 58500.0585000585000585000585 × BOM 4500 / batch_quantity 149760. Stock not applied.</t>
        </is>
      </c>
      <c r="H291" t="n">
        <v>1</v>
      </c>
      <c r="I291" t="inlineStr">
        <is>
          <t>scale_bom</t>
        </is>
      </c>
      <c r="J291" t="inlineStr">
        <is>
          <t>parent_gross × bom_qty / batch_quantity</t>
        </is>
      </c>
      <c r="K291" t="inlineStr">
        <is>
          <t>58500.0585000585000585000585 × 4500 / 149760</t>
        </is>
      </c>
      <c r="L291" t="inlineStr">
        <is>
          <t>1757.814257814257814257814257</t>
        </is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</v>
      </c>
      <c r="B292" t="n">
        <v>17</v>
      </c>
      <c r="C292" t="inlineStr">
        <is>
          <t>VEGFRO-06</t>
        </is>
      </c>
      <c r="D292" t="inlineStr">
        <is>
          <t>SPRING ONION CHOPPED 4MM (FROZEN)</t>
        </is>
      </c>
      <c r="E292" t="inlineStr">
        <is>
          <t>grams</t>
        </is>
      </c>
      <c r="F292" t="inlineStr">
        <is>
          <t>child</t>
        </is>
      </c>
      <c r="G292" t="inlineStr"/>
      <c r="H292" t="n">
        <v>2</v>
      </c>
      <c r="I292" t="inlineStr">
        <is>
          <t>gross</t>
        </is>
      </c>
      <c r="J292" t="inlineStr">
        <is>
          <t>net / recipe_yield</t>
        </is>
      </c>
      <c r="K292" t="inlineStr">
        <is>
          <t>1757.814257814257814257814257 / 1 (recipe yield 100%)</t>
        </is>
      </c>
      <c r="L292" t="inlineStr">
        <is>
          <t>1757.814257814257814257814257</t>
        </is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</v>
      </c>
      <c r="B293" t="n">
        <v>17</v>
      </c>
      <c r="C293" t="inlineStr">
        <is>
          <t>VEGFRO-06</t>
        </is>
      </c>
      <c r="D293" t="inlineStr">
        <is>
          <t>SPRING ONION CHOPPED 4MM (FROZEN)</t>
        </is>
      </c>
      <c r="E293" t="inlineStr">
        <is>
          <t>grams</t>
        </is>
      </c>
      <c r="F293" t="inlineStr">
        <is>
          <t>child</t>
        </is>
      </c>
      <c r="G293" t="inlineStr"/>
      <c r="H293" t="n">
        <v>3</v>
      </c>
      <c r="I293" t="inlineStr">
        <is>
          <t>stock_net</t>
        </is>
      </c>
      <c r="J293" t="inlineStr"/>
      <c r="K293" t="inlineStr"/>
      <c r="L293" t="inlineStr"/>
      <c r="M293" t="b">
        <v>1</v>
      </c>
      <c r="N293" t="inlineStr">
        <is>
          <t>consider_stock=false</t>
        </is>
      </c>
      <c r="O293" t="inlineStr"/>
      <c r="P293" t="inlineStr"/>
      <c r="Q293" t="inlineStr"/>
      <c r="R293" t="inlineStr">
        <is>
          <t>1757.814257814257814257814257</t>
        </is>
      </c>
      <c r="S293" t="inlineStr">
        <is>
          <t>1757.814257814257814257814257</t>
        </is>
      </c>
    </row>
    <row r="294">
      <c r="A294" t="n">
        <v>4</v>
      </c>
      <c r="B294" t="n">
        <v>213</v>
      </c>
      <c r="C294" t="inlineStr">
        <is>
          <t>INGRAD-38</t>
        </is>
      </c>
      <c r="D294" t="inlineStr">
        <is>
          <t>OLIVE OIL</t>
        </is>
      </c>
      <c r="E294" t="inlineStr">
        <is>
          <t>grams</t>
        </is>
      </c>
      <c r="F294" t="inlineStr">
        <is>
          <t>child</t>
        </is>
      </c>
      <c r="G294" t="inlineStr">
        <is>
          <t>1054.688554688554688554688555 from parent 58500.0585000585000585000585 × BOM 2700 / batch_quantity 149760. Stock not applied.</t>
        </is>
      </c>
      <c r="H294" t="n">
        <v>1</v>
      </c>
      <c r="I294" t="inlineStr">
        <is>
          <t>scale_bom</t>
        </is>
      </c>
      <c r="J294" t="inlineStr">
        <is>
          <t>parent_gross × bom_qty / batch_quantity</t>
        </is>
      </c>
      <c r="K294" t="inlineStr">
        <is>
          <t>58500.0585000585000585000585 × 2700 / 149760</t>
        </is>
      </c>
      <c r="L294" t="inlineStr">
        <is>
          <t>1054.688554688554688554688555</t>
        </is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</v>
      </c>
      <c r="B295" t="n">
        <v>213</v>
      </c>
      <c r="C295" t="inlineStr">
        <is>
          <t>INGRAD-38</t>
        </is>
      </c>
      <c r="D295" t="inlineStr">
        <is>
          <t>OLIVE OIL</t>
        </is>
      </c>
      <c r="E295" t="inlineStr">
        <is>
          <t>grams</t>
        </is>
      </c>
      <c r="F295" t="inlineStr">
        <is>
          <t>child</t>
        </is>
      </c>
      <c r="G295" t="inlineStr"/>
      <c r="H295" t="n">
        <v>2</v>
      </c>
      <c r="I295" t="inlineStr">
        <is>
          <t>gross</t>
        </is>
      </c>
      <c r="J295" t="inlineStr">
        <is>
          <t>net / recipe_yield</t>
        </is>
      </c>
      <c r="K295" t="inlineStr">
        <is>
          <t>1054.688554688554688554688555 / 1 (recipe yield 100%)</t>
        </is>
      </c>
      <c r="L295" t="inlineStr">
        <is>
          <t>1054.688554688554688554688555</t>
        </is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</v>
      </c>
      <c r="B296" t="n">
        <v>213</v>
      </c>
      <c r="C296" t="inlineStr">
        <is>
          <t>INGRAD-38</t>
        </is>
      </c>
      <c r="D296" t="inlineStr">
        <is>
          <t>OLIVE OIL</t>
        </is>
      </c>
      <c r="E296" t="inlineStr">
        <is>
          <t>grams</t>
        </is>
      </c>
      <c r="F296" t="inlineStr">
        <is>
          <t>child</t>
        </is>
      </c>
      <c r="G296" t="inlineStr"/>
      <c r="H296" t="n">
        <v>3</v>
      </c>
      <c r="I296" t="inlineStr">
        <is>
          <t>stock_net</t>
        </is>
      </c>
      <c r="J296" t="inlineStr"/>
      <c r="K296" t="inlineStr"/>
      <c r="L296" t="inlineStr"/>
      <c r="M296" t="b">
        <v>1</v>
      </c>
      <c r="N296" t="inlineStr">
        <is>
          <t>consider_stock=false</t>
        </is>
      </c>
      <c r="O296" t="inlineStr"/>
      <c r="P296" t="inlineStr"/>
      <c r="Q296" t="inlineStr"/>
      <c r="R296" t="inlineStr">
        <is>
          <t>1054.688554688554688554688555</t>
        </is>
      </c>
      <c r="S296" t="inlineStr">
        <is>
          <t>1054.688554688554688554688555</t>
        </is>
      </c>
    </row>
    <row r="297">
      <c r="A297" t="n">
        <v>4</v>
      </c>
      <c r="B297" t="n">
        <v>10</v>
      </c>
      <c r="C297" t="inlineStr">
        <is>
          <t>VEGFRO-15</t>
        </is>
      </c>
      <c r="D297" t="inlineStr">
        <is>
          <t>GINGER PUREE (FROZEN)</t>
        </is>
      </c>
      <c r="E297" t="inlineStr">
        <is>
          <t>grams</t>
        </is>
      </c>
      <c r="F297" t="inlineStr">
        <is>
          <t>child</t>
        </is>
      </c>
      <c r="G297" t="inlineStr">
        <is>
          <t>703.1257031257031257031257031 from parent 58500.0585000585000585000585 × BOM 1800 / batch_quantity 149760. Stock not applied.</t>
        </is>
      </c>
      <c r="H297" t="n">
        <v>1</v>
      </c>
      <c r="I297" t="inlineStr">
        <is>
          <t>scale_bom</t>
        </is>
      </c>
      <c r="J297" t="inlineStr">
        <is>
          <t>parent_gross × bom_qty / batch_quantity</t>
        </is>
      </c>
      <c r="K297" t="inlineStr">
        <is>
          <t>58500.0585000585000585000585 × 1800 / 149760</t>
        </is>
      </c>
      <c r="L297" t="inlineStr">
        <is>
          <t>703.1257031257031257031257031</t>
        </is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4</v>
      </c>
      <c r="B298" t="n">
        <v>10</v>
      </c>
      <c r="C298" t="inlineStr">
        <is>
          <t>VEGFRO-15</t>
        </is>
      </c>
      <c r="D298" t="inlineStr">
        <is>
          <t>GINGER PUREE (FROZEN)</t>
        </is>
      </c>
      <c r="E298" t="inlineStr">
        <is>
          <t>grams</t>
        </is>
      </c>
      <c r="F298" t="inlineStr">
        <is>
          <t>child</t>
        </is>
      </c>
      <c r="G298" t="inlineStr"/>
      <c r="H298" t="n">
        <v>2</v>
      </c>
      <c r="I298" t="inlineStr">
        <is>
          <t>gross</t>
        </is>
      </c>
      <c r="J298" t="inlineStr">
        <is>
          <t>net / recipe_yield</t>
        </is>
      </c>
      <c r="K298" t="inlineStr">
        <is>
          <t>703.1257031257031257031257031 / 1 (recipe yield 100%)</t>
        </is>
      </c>
      <c r="L298" t="inlineStr">
        <is>
          <t>703.1257031257031257031257031</t>
        </is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4</v>
      </c>
      <c r="B299" t="n">
        <v>10</v>
      </c>
      <c r="C299" t="inlineStr">
        <is>
          <t>VEGFRO-15</t>
        </is>
      </c>
      <c r="D299" t="inlineStr">
        <is>
          <t>GINGER PUREE (FROZEN)</t>
        </is>
      </c>
      <c r="E299" t="inlineStr">
        <is>
          <t>grams</t>
        </is>
      </c>
      <c r="F299" t="inlineStr">
        <is>
          <t>child</t>
        </is>
      </c>
      <c r="G299" t="inlineStr"/>
      <c r="H299" t="n">
        <v>3</v>
      </c>
      <c r="I299" t="inlineStr">
        <is>
          <t>stock_net</t>
        </is>
      </c>
      <c r="J299" t="inlineStr"/>
      <c r="K299" t="inlineStr"/>
      <c r="L299" t="inlineStr"/>
      <c r="M299" t="b">
        <v>1</v>
      </c>
      <c r="N299" t="inlineStr">
        <is>
          <t>consider_stock=false</t>
        </is>
      </c>
      <c r="O299" t="inlineStr"/>
      <c r="P299" t="inlineStr"/>
      <c r="Q299" t="inlineStr"/>
      <c r="R299" t="inlineStr">
        <is>
          <t>703.1257031257031257031257031</t>
        </is>
      </c>
      <c r="S299" t="inlineStr">
        <is>
          <t>703.1257031257031257031257031</t>
        </is>
      </c>
    </row>
    <row r="300">
      <c r="A300" t="n">
        <v>4</v>
      </c>
      <c r="B300" t="n">
        <v>29</v>
      </c>
      <c r="C300" t="inlineStr">
        <is>
          <t>VEGFRO-11</t>
        </is>
      </c>
      <c r="D300" t="inlineStr">
        <is>
          <t>GARLIC PUREE (FROZEN)</t>
        </is>
      </c>
      <c r="E300" t="inlineStr">
        <is>
          <t>grams</t>
        </is>
      </c>
      <c r="F300" t="inlineStr">
        <is>
          <t>child</t>
        </is>
      </c>
      <c r="G300" t="inlineStr">
        <is>
          <t>703.1257031257031257031257031 from parent 58500.0585000585000585000585 × BOM 1800 / batch_quantity 149760. Stock not applied.</t>
        </is>
      </c>
      <c r="H300" t="n">
        <v>1</v>
      </c>
      <c r="I300" t="inlineStr">
        <is>
          <t>scale_bom</t>
        </is>
      </c>
      <c r="J300" t="inlineStr">
        <is>
          <t>parent_gross × bom_qty / batch_quantity</t>
        </is>
      </c>
      <c r="K300" t="inlineStr">
        <is>
          <t>58500.0585000585000585000585 × 1800 / 149760</t>
        </is>
      </c>
      <c r="L300" t="inlineStr">
        <is>
          <t>703.1257031257031257031257031</t>
        </is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4</v>
      </c>
      <c r="B301" t="n">
        <v>29</v>
      </c>
      <c r="C301" t="inlineStr">
        <is>
          <t>VEGFRO-11</t>
        </is>
      </c>
      <c r="D301" t="inlineStr">
        <is>
          <t>GARLIC PUREE (FROZEN)</t>
        </is>
      </c>
      <c r="E301" t="inlineStr">
        <is>
          <t>grams</t>
        </is>
      </c>
      <c r="F301" t="inlineStr">
        <is>
          <t>child</t>
        </is>
      </c>
      <c r="G301" t="inlineStr"/>
      <c r="H301" t="n">
        <v>2</v>
      </c>
      <c r="I301" t="inlineStr">
        <is>
          <t>gross</t>
        </is>
      </c>
      <c r="J301" t="inlineStr">
        <is>
          <t>net / recipe_yield</t>
        </is>
      </c>
      <c r="K301" t="inlineStr">
        <is>
          <t>703.1257031257031257031257031 / 1 (recipe yield 100%)</t>
        </is>
      </c>
      <c r="L301" t="inlineStr">
        <is>
          <t>703.1257031257031257031257031</t>
        </is>
      </c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4</v>
      </c>
      <c r="B302" t="n">
        <v>29</v>
      </c>
      <c r="C302" t="inlineStr">
        <is>
          <t>VEGFRO-11</t>
        </is>
      </c>
      <c r="D302" t="inlineStr">
        <is>
          <t>GARLIC PUREE (FROZEN)</t>
        </is>
      </c>
      <c r="E302" t="inlineStr">
        <is>
          <t>grams</t>
        </is>
      </c>
      <c r="F302" t="inlineStr">
        <is>
          <t>child</t>
        </is>
      </c>
      <c r="G302" t="inlineStr"/>
      <c r="H302" t="n">
        <v>3</v>
      </c>
      <c r="I302" t="inlineStr">
        <is>
          <t>stock_net</t>
        </is>
      </c>
      <c r="J302" t="inlineStr"/>
      <c r="K302" t="inlineStr"/>
      <c r="L302" t="inlineStr"/>
      <c r="M302" t="b">
        <v>1</v>
      </c>
      <c r="N302" t="inlineStr">
        <is>
          <t>consider_stock=false</t>
        </is>
      </c>
      <c r="O302" t="inlineStr"/>
      <c r="P302" t="inlineStr"/>
      <c r="Q302" t="inlineStr"/>
      <c r="R302" t="inlineStr">
        <is>
          <t>703.1257031257031257031257031</t>
        </is>
      </c>
      <c r="S302" t="inlineStr">
        <is>
          <t>703.1257031257031257031257031</t>
        </is>
      </c>
    </row>
    <row r="303">
      <c r="A303" t="n">
        <v>4</v>
      </c>
      <c r="B303" t="n">
        <v>1530</v>
      </c>
      <c r="C303" t="inlineStr">
        <is>
          <t>GFF579R-S</t>
        </is>
      </c>
      <c r="D303" t="inlineStr">
        <is>
          <t>Thai Style Rice (Simmers) - 579 - Spices</t>
        </is>
      </c>
      <c r="E303" t="inlineStr">
        <is>
          <t>grams</t>
        </is>
      </c>
      <c r="F303" t="inlineStr">
        <is>
          <t>child</t>
        </is>
      </c>
      <c r="G303" t="inlineStr">
        <is>
          <t>1546.876546876546876546876547 from parent 58500.0585000585000585000585 × BOM 3960 / batch_quantity 149760. Stock not applied.</t>
        </is>
      </c>
      <c r="H303" t="n">
        <v>1</v>
      </c>
      <c r="I303" t="inlineStr">
        <is>
          <t>scale_bom</t>
        </is>
      </c>
      <c r="J303" t="inlineStr">
        <is>
          <t>parent_gross × bom_qty / batch_quantity</t>
        </is>
      </c>
      <c r="K303" t="inlineStr">
        <is>
          <t>58500.0585000585000585000585 × 3960 / 149760</t>
        </is>
      </c>
      <c r="L303" t="inlineStr">
        <is>
          <t>1546.876546876546876546876547</t>
        </is>
      </c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4</v>
      </c>
      <c r="B304" t="n">
        <v>1530</v>
      </c>
      <c r="C304" t="inlineStr">
        <is>
          <t>GFF579R-S</t>
        </is>
      </c>
      <c r="D304" t="inlineStr">
        <is>
          <t>Thai Style Rice (Simmers) - 579 - Spices</t>
        </is>
      </c>
      <c r="E304" t="inlineStr">
        <is>
          <t>grams</t>
        </is>
      </c>
      <c r="F304" t="inlineStr">
        <is>
          <t>child</t>
        </is>
      </c>
      <c r="G304" t="inlineStr"/>
      <c r="H304" t="n">
        <v>2</v>
      </c>
      <c r="I304" t="inlineStr">
        <is>
          <t>gross</t>
        </is>
      </c>
      <c r="J304" t="inlineStr">
        <is>
          <t>net / recipe_yield</t>
        </is>
      </c>
      <c r="K304" t="inlineStr">
        <is>
          <t>1546.876546876546876546876547 / 1 (recipe yield 100%)</t>
        </is>
      </c>
      <c r="L304" t="inlineStr">
        <is>
          <t>1546.876546876546876546876547</t>
        </is>
      </c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4</v>
      </c>
      <c r="B305" t="n">
        <v>1530</v>
      </c>
      <c r="C305" t="inlineStr">
        <is>
          <t>GFF579R-S</t>
        </is>
      </c>
      <c r="D305" t="inlineStr">
        <is>
          <t>Thai Style Rice (Simmers) - 579 - Spices</t>
        </is>
      </c>
      <c r="E305" t="inlineStr">
        <is>
          <t>grams</t>
        </is>
      </c>
      <c r="F305" t="inlineStr">
        <is>
          <t>child</t>
        </is>
      </c>
      <c r="G305" t="inlineStr"/>
      <c r="H305" t="n">
        <v>3</v>
      </c>
      <c r="I305" t="inlineStr">
        <is>
          <t>stock_net</t>
        </is>
      </c>
      <c r="J305" t="inlineStr"/>
      <c r="K305" t="inlineStr"/>
      <c r="L305" t="inlineStr"/>
      <c r="M305" t="b">
        <v>1</v>
      </c>
      <c r="N305" t="inlineStr">
        <is>
          <t>consider_stock=false</t>
        </is>
      </c>
      <c r="O305" t="inlineStr"/>
      <c r="P305" t="inlineStr"/>
      <c r="Q305" t="inlineStr"/>
      <c r="R305" t="inlineStr">
        <is>
          <t>1546.876546876546876546876547</t>
        </is>
      </c>
      <c r="S305" t="inlineStr">
        <is>
          <t>1546.876546876546876546876547</t>
        </is>
      </c>
    </row>
    <row r="306">
      <c r="A306" t="n">
        <v>4</v>
      </c>
      <c r="B306" t="n">
        <v>31</v>
      </c>
      <c r="C306" t="inlineStr">
        <is>
          <t>VEGFRO-13</t>
        </is>
      </c>
      <c r="D306" t="inlineStr">
        <is>
          <t>RED PEPPER DICED 20MM (FROZEN)</t>
        </is>
      </c>
      <c r="E306" t="inlineStr">
        <is>
          <t>grams</t>
        </is>
      </c>
      <c r="F306" t="inlineStr">
        <is>
          <t>child</t>
        </is>
      </c>
      <c r="G306" t="inlineStr">
        <is>
          <t>64705.8823529411764705882353 from parent 129411.7647058823529411764706 × BOM 50000 / batch_quantity 100000. Stock not applied.</t>
        </is>
      </c>
      <c r="H306" t="n">
        <v>1</v>
      </c>
      <c r="I306" t="inlineStr">
        <is>
          <t>scale_bom</t>
        </is>
      </c>
      <c r="J306" t="inlineStr">
        <is>
          <t>parent_gross × bom_qty / batch_quantity</t>
        </is>
      </c>
      <c r="K306" t="inlineStr">
        <is>
          <t>129411.7647058823529411764706 × 50000 / 100000</t>
        </is>
      </c>
      <c r="L306" t="inlineStr">
        <is>
          <t>64705.8823529411764705882353</t>
        </is>
      </c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4</v>
      </c>
      <c r="B307" t="n">
        <v>31</v>
      </c>
      <c r="C307" t="inlineStr">
        <is>
          <t>VEGFRO-13</t>
        </is>
      </c>
      <c r="D307" t="inlineStr">
        <is>
          <t>RED PEPPER DICED 20MM (FROZEN)</t>
        </is>
      </c>
      <c r="E307" t="inlineStr">
        <is>
          <t>grams</t>
        </is>
      </c>
      <c r="F307" t="inlineStr">
        <is>
          <t>child</t>
        </is>
      </c>
      <c r="G307" t="inlineStr"/>
      <c r="H307" t="n">
        <v>2</v>
      </c>
      <c r="I307" t="inlineStr">
        <is>
          <t>gross</t>
        </is>
      </c>
      <c r="J307" t="inlineStr">
        <is>
          <t>net / recipe_yield</t>
        </is>
      </c>
      <c r="K307" t="inlineStr">
        <is>
          <t>64705.8823529411764705882353 / 1 (recipe yield 100%)</t>
        </is>
      </c>
      <c r="L307" t="inlineStr">
        <is>
          <t>64705.8823529411764705882353</t>
        </is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4</v>
      </c>
      <c r="B308" t="n">
        <v>31</v>
      </c>
      <c r="C308" t="inlineStr">
        <is>
          <t>VEGFRO-13</t>
        </is>
      </c>
      <c r="D308" t="inlineStr">
        <is>
          <t>RED PEPPER DICED 20MM (FROZEN)</t>
        </is>
      </c>
      <c r="E308" t="inlineStr">
        <is>
          <t>grams</t>
        </is>
      </c>
      <c r="F308" t="inlineStr">
        <is>
          <t>child</t>
        </is>
      </c>
      <c r="G308" t="inlineStr"/>
      <c r="H308" t="n">
        <v>3</v>
      </c>
      <c r="I308" t="inlineStr">
        <is>
          <t>stock_net</t>
        </is>
      </c>
      <c r="J308" t="inlineStr"/>
      <c r="K308" t="inlineStr"/>
      <c r="L308" t="inlineStr"/>
      <c r="M308" t="b">
        <v>1</v>
      </c>
      <c r="N308" t="inlineStr">
        <is>
          <t>consider_stock=false</t>
        </is>
      </c>
      <c r="O308" t="inlineStr"/>
      <c r="P308" t="inlineStr"/>
      <c r="Q308" t="inlineStr"/>
      <c r="R308" t="inlineStr">
        <is>
          <t>64705.8823529411764705882353</t>
        </is>
      </c>
      <c r="S308" t="inlineStr">
        <is>
          <t>64705.8823529411764705882353</t>
        </is>
      </c>
    </row>
    <row r="309">
      <c r="A309" t="n">
        <v>4</v>
      </c>
      <c r="B309" t="n">
        <v>1567</v>
      </c>
      <c r="C309" t="inlineStr">
        <is>
          <t>VEGFRO-66</t>
        </is>
      </c>
      <c r="D309" t="inlineStr">
        <is>
          <t>Carrot Baton 6 x 6 x 45mm</t>
        </is>
      </c>
      <c r="E309" t="inlineStr">
        <is>
          <t>grams</t>
        </is>
      </c>
      <c r="F309" t="inlineStr">
        <is>
          <t>child</t>
        </is>
      </c>
      <c r="G309" t="inlineStr">
        <is>
          <t>64705.8823529411764705882353 from parent 129411.7647058823529411764706 × BOM 50000 / batch_quantity 100000. Stock not applied.</t>
        </is>
      </c>
      <c r="H309" t="n">
        <v>1</v>
      </c>
      <c r="I309" t="inlineStr">
        <is>
          <t>scale_bom</t>
        </is>
      </c>
      <c r="J309" t="inlineStr">
        <is>
          <t>parent_gross × bom_qty / batch_quantity</t>
        </is>
      </c>
      <c r="K309" t="inlineStr">
        <is>
          <t>129411.7647058823529411764706 × 50000 / 100000</t>
        </is>
      </c>
      <c r="L309" t="inlineStr">
        <is>
          <t>64705.8823529411764705882353</t>
        </is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4</v>
      </c>
      <c r="B310" t="n">
        <v>1567</v>
      </c>
      <c r="C310" t="inlineStr">
        <is>
          <t>VEGFRO-66</t>
        </is>
      </c>
      <c r="D310" t="inlineStr">
        <is>
          <t>Carrot Baton 6 x 6 x 45mm</t>
        </is>
      </c>
      <c r="E310" t="inlineStr">
        <is>
          <t>grams</t>
        </is>
      </c>
      <c r="F310" t="inlineStr">
        <is>
          <t>child</t>
        </is>
      </c>
      <c r="G310" t="inlineStr"/>
      <c r="H310" t="n">
        <v>2</v>
      </c>
      <c r="I310" t="inlineStr">
        <is>
          <t>gross</t>
        </is>
      </c>
      <c r="J310" t="inlineStr">
        <is>
          <t>net / recipe_yield</t>
        </is>
      </c>
      <c r="K310" t="inlineStr">
        <is>
          <t>64705.8823529411764705882353 / 1 (recipe yield 100%)</t>
        </is>
      </c>
      <c r="L310" t="inlineStr">
        <is>
          <t>64705.8823529411764705882353</t>
        </is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4</v>
      </c>
      <c r="B311" t="n">
        <v>1567</v>
      </c>
      <c r="C311" t="inlineStr">
        <is>
          <t>VEGFRO-66</t>
        </is>
      </c>
      <c r="D311" t="inlineStr">
        <is>
          <t>Carrot Baton 6 x 6 x 45mm</t>
        </is>
      </c>
      <c r="E311" t="inlineStr">
        <is>
          <t>grams</t>
        </is>
      </c>
      <c r="F311" t="inlineStr">
        <is>
          <t>child</t>
        </is>
      </c>
      <c r="G311" t="inlineStr"/>
      <c r="H311" t="n">
        <v>3</v>
      </c>
      <c r="I311" t="inlineStr">
        <is>
          <t>stock_net</t>
        </is>
      </c>
      <c r="J311" t="inlineStr"/>
      <c r="K311" t="inlineStr"/>
      <c r="L311" t="inlineStr"/>
      <c r="M311" t="b">
        <v>1</v>
      </c>
      <c r="N311" t="inlineStr">
        <is>
          <t>consider_stock=false</t>
        </is>
      </c>
      <c r="O311" t="inlineStr"/>
      <c r="P311" t="inlineStr"/>
      <c r="Q311" t="inlineStr"/>
      <c r="R311" t="inlineStr">
        <is>
          <t>64705.8823529411764705882353</t>
        </is>
      </c>
      <c r="S311" t="inlineStr">
        <is>
          <t>64705.8823529411764705882353</t>
        </is>
      </c>
    </row>
    <row r="312">
      <c r="A312" t="n">
        <v>4</v>
      </c>
      <c r="B312" t="n">
        <v>824</v>
      </c>
      <c r="C312" t="inlineStr">
        <is>
          <t>AFFINITY-S1</t>
        </is>
      </c>
      <c r="D312" t="inlineStr">
        <is>
          <t>Water</t>
        </is>
      </c>
      <c r="E312" t="inlineStr">
        <is>
          <t>grams</t>
        </is>
      </c>
      <c r="F312" t="inlineStr">
        <is>
          <t>child</t>
        </is>
      </c>
      <c r="G312" t="inlineStr">
        <is>
          <t>33808.73328276400168514970173 from parent 109064.4692195831313620940378 × BOM 43200 / batch_quantity 139360. Stock not applied.</t>
        </is>
      </c>
      <c r="H312" t="n">
        <v>1</v>
      </c>
      <c r="I312" t="inlineStr">
        <is>
          <t>scale_bom</t>
        </is>
      </c>
      <c r="J312" t="inlineStr">
        <is>
          <t>parent_gross × bom_qty / batch_quantity</t>
        </is>
      </c>
      <c r="K312" t="inlineStr">
        <is>
          <t>109064.4692195831313620940378 × 43200 / 139360</t>
        </is>
      </c>
      <c r="L312" t="inlineStr">
        <is>
          <t>33808.73328276400168514970173</t>
        </is>
      </c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4</v>
      </c>
      <c r="B313" t="n">
        <v>824</v>
      </c>
      <c r="C313" t="inlineStr">
        <is>
          <t>AFFINITY-S1</t>
        </is>
      </c>
      <c r="D313" t="inlineStr">
        <is>
          <t>Water</t>
        </is>
      </c>
      <c r="E313" t="inlineStr">
        <is>
          <t>grams</t>
        </is>
      </c>
      <c r="F313" t="inlineStr">
        <is>
          <t>child</t>
        </is>
      </c>
      <c r="G313" t="inlineStr"/>
      <c r="H313" t="n">
        <v>2</v>
      </c>
      <c r="I313" t="inlineStr">
        <is>
          <t>gross</t>
        </is>
      </c>
      <c r="J313" t="inlineStr">
        <is>
          <t>net / recipe_yield</t>
        </is>
      </c>
      <c r="K313" t="inlineStr">
        <is>
          <t>33808.73328276400168514970173 / 1 (recipe yield 100%)</t>
        </is>
      </c>
      <c r="L313" t="inlineStr">
        <is>
          <t>33808.73328276400168514970173</t>
        </is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4</v>
      </c>
      <c r="B314" t="n">
        <v>824</v>
      </c>
      <c r="C314" t="inlineStr">
        <is>
          <t>AFFINITY-S1</t>
        </is>
      </c>
      <c r="D314" t="inlineStr">
        <is>
          <t>Water</t>
        </is>
      </c>
      <c r="E314" t="inlineStr">
        <is>
          <t>grams</t>
        </is>
      </c>
      <c r="F314" t="inlineStr">
        <is>
          <t>child</t>
        </is>
      </c>
      <c r="G314" t="inlineStr"/>
      <c r="H314" t="n">
        <v>3</v>
      </c>
      <c r="I314" t="inlineStr">
        <is>
          <t>stock_net</t>
        </is>
      </c>
      <c r="J314" t="inlineStr"/>
      <c r="K314" t="inlineStr"/>
      <c r="L314" t="inlineStr"/>
      <c r="M314" t="b">
        <v>1</v>
      </c>
      <c r="N314" t="inlineStr">
        <is>
          <t>consider_stock=false</t>
        </is>
      </c>
      <c r="O314" t="inlineStr"/>
      <c r="P314" t="inlineStr"/>
      <c r="Q314" t="inlineStr"/>
      <c r="R314" t="inlineStr">
        <is>
          <t>33808.73328276400168514970173</t>
        </is>
      </c>
      <c r="S314" t="inlineStr">
        <is>
          <t>33808.73328276400168514970173</t>
        </is>
      </c>
    </row>
    <row r="315">
      <c r="A315" t="n">
        <v>4</v>
      </c>
      <c r="B315" t="n">
        <v>166</v>
      </c>
      <c r="C315" t="inlineStr">
        <is>
          <t>DAIRY0-01</t>
        </is>
      </c>
      <c r="D315" t="inlineStr">
        <is>
          <t>COCONUT MILK</t>
        </is>
      </c>
      <c r="E315" t="inlineStr">
        <is>
          <t>grams</t>
        </is>
      </c>
      <c r="F315" t="inlineStr">
        <is>
          <t>child</t>
        </is>
      </c>
      <c r="G315" t="inlineStr">
        <is>
          <t>31304.38266922592748624972382 from parent 109064.4692195831313620940378 × BOM 40000 / batch_quantity 139360. Stock not applied.</t>
        </is>
      </c>
      <c r="H315" t="n">
        <v>1</v>
      </c>
      <c r="I315" t="inlineStr">
        <is>
          <t>scale_bom</t>
        </is>
      </c>
      <c r="J315" t="inlineStr">
        <is>
          <t>parent_gross × bom_qty / batch_quantity</t>
        </is>
      </c>
      <c r="K315" t="inlineStr">
        <is>
          <t>109064.4692195831313620940378 × 40000 / 139360</t>
        </is>
      </c>
      <c r="L315" t="inlineStr">
        <is>
          <t>31304.38266922592748624972382</t>
        </is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4</v>
      </c>
      <c r="B316" t="n">
        <v>166</v>
      </c>
      <c r="C316" t="inlineStr">
        <is>
          <t>DAIRY0-01</t>
        </is>
      </c>
      <c r="D316" t="inlineStr">
        <is>
          <t>COCONUT MILK</t>
        </is>
      </c>
      <c r="E316" t="inlineStr">
        <is>
          <t>grams</t>
        </is>
      </c>
      <c r="F316" t="inlineStr">
        <is>
          <t>child</t>
        </is>
      </c>
      <c r="G316" t="inlineStr"/>
      <c r="H316" t="n">
        <v>2</v>
      </c>
      <c r="I316" t="inlineStr">
        <is>
          <t>gross</t>
        </is>
      </c>
      <c r="J316" t="inlineStr">
        <is>
          <t>net / recipe_yield</t>
        </is>
      </c>
      <c r="K316" t="inlineStr">
        <is>
          <t>31304.38266922592748624972382 / 1 (recipe yield 100%)</t>
        </is>
      </c>
      <c r="L316" t="inlineStr">
        <is>
          <t>31304.38266922592748624972382</t>
        </is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4</v>
      </c>
      <c r="B317" t="n">
        <v>166</v>
      </c>
      <c r="C317" t="inlineStr">
        <is>
          <t>DAIRY0-01</t>
        </is>
      </c>
      <c r="D317" t="inlineStr">
        <is>
          <t>COCONUT MILK</t>
        </is>
      </c>
      <c r="E317" t="inlineStr">
        <is>
          <t>grams</t>
        </is>
      </c>
      <c r="F317" t="inlineStr">
        <is>
          <t>child</t>
        </is>
      </c>
      <c r="G317" t="inlineStr"/>
      <c r="H317" t="n">
        <v>3</v>
      </c>
      <c r="I317" t="inlineStr">
        <is>
          <t>stock_net</t>
        </is>
      </c>
      <c r="J317" t="inlineStr"/>
      <c r="K317" t="inlineStr"/>
      <c r="L317" t="inlineStr"/>
      <c r="M317" t="b">
        <v>1</v>
      </c>
      <c r="N317" t="inlineStr">
        <is>
          <t>consider_stock=false</t>
        </is>
      </c>
      <c r="O317" t="inlineStr"/>
      <c r="P317" t="inlineStr"/>
      <c r="Q317" t="inlineStr"/>
      <c r="R317" t="inlineStr">
        <is>
          <t>31304.38266922592748624972382</t>
        </is>
      </c>
      <c r="S317" t="inlineStr">
        <is>
          <t>31304.38266922592748624972382</t>
        </is>
      </c>
    </row>
    <row r="318">
      <c r="A318" t="n">
        <v>4</v>
      </c>
      <c r="B318" t="n">
        <v>15</v>
      </c>
      <c r="C318" t="inlineStr">
        <is>
          <t>VEGFRO-05</t>
        </is>
      </c>
      <c r="D318" t="inlineStr">
        <is>
          <t>RED PEPPER DICED 10MM (FROZEN)</t>
        </is>
      </c>
      <c r="E318" t="inlineStr">
        <is>
          <t>grams</t>
        </is>
      </c>
      <c r="F318" t="inlineStr">
        <is>
          <t>child</t>
        </is>
      </c>
      <c r="G318" t="inlineStr">
        <is>
          <t>12521.75306769037099449988953 from parent 109064.4692195831313620940378 × BOM 16000 / batch_quantity 139360. Stock not applied.</t>
        </is>
      </c>
      <c r="H318" t="n">
        <v>1</v>
      </c>
      <c r="I318" t="inlineStr">
        <is>
          <t>scale_bom</t>
        </is>
      </c>
      <c r="J318" t="inlineStr">
        <is>
          <t>parent_gross × bom_qty / batch_quantity</t>
        </is>
      </c>
      <c r="K318" t="inlineStr">
        <is>
          <t>109064.4692195831313620940378 × 16000 / 139360</t>
        </is>
      </c>
      <c r="L318" t="inlineStr">
        <is>
          <t>12521.75306769037099449988953</t>
        </is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4</v>
      </c>
      <c r="B319" t="n">
        <v>15</v>
      </c>
      <c r="C319" t="inlineStr">
        <is>
          <t>VEGFRO-05</t>
        </is>
      </c>
      <c r="D319" t="inlineStr">
        <is>
          <t>RED PEPPER DICED 10MM (FROZEN)</t>
        </is>
      </c>
      <c r="E319" t="inlineStr">
        <is>
          <t>grams</t>
        </is>
      </c>
      <c r="F319" t="inlineStr">
        <is>
          <t>child</t>
        </is>
      </c>
      <c r="G319" t="inlineStr"/>
      <c r="H319" t="n">
        <v>2</v>
      </c>
      <c r="I319" t="inlineStr">
        <is>
          <t>gross</t>
        </is>
      </c>
      <c r="J319" t="inlineStr">
        <is>
          <t>net / recipe_yield</t>
        </is>
      </c>
      <c r="K319" t="inlineStr">
        <is>
          <t>12521.75306769037099449988953 / 1 (recipe yield 100%)</t>
        </is>
      </c>
      <c r="L319" t="inlineStr">
        <is>
          <t>12521.75306769037099449988953</t>
        </is>
      </c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4</v>
      </c>
      <c r="B320" t="n">
        <v>15</v>
      </c>
      <c r="C320" t="inlineStr">
        <is>
          <t>VEGFRO-05</t>
        </is>
      </c>
      <c r="D320" t="inlineStr">
        <is>
          <t>RED PEPPER DICED 10MM (FROZEN)</t>
        </is>
      </c>
      <c r="E320" t="inlineStr">
        <is>
          <t>grams</t>
        </is>
      </c>
      <c r="F320" t="inlineStr">
        <is>
          <t>child</t>
        </is>
      </c>
      <c r="G320" t="inlineStr"/>
      <c r="H320" t="n">
        <v>3</v>
      </c>
      <c r="I320" t="inlineStr">
        <is>
          <t>stock_net</t>
        </is>
      </c>
      <c r="J320" t="inlineStr"/>
      <c r="K320" t="inlineStr"/>
      <c r="L320" t="inlineStr"/>
      <c r="M320" t="b">
        <v>1</v>
      </c>
      <c r="N320" t="inlineStr">
        <is>
          <t>consider_stock=false</t>
        </is>
      </c>
      <c r="O320" t="inlineStr"/>
      <c r="P320" t="inlineStr"/>
      <c r="Q320" t="inlineStr"/>
      <c r="R320" t="inlineStr">
        <is>
          <t>12521.75306769037099449988953</t>
        </is>
      </c>
      <c r="S320" t="inlineStr">
        <is>
          <t>12521.75306769037099449988953</t>
        </is>
      </c>
    </row>
    <row r="321">
      <c r="A321" t="n">
        <v>4</v>
      </c>
      <c r="B321" t="n">
        <v>134</v>
      </c>
      <c r="C321" t="inlineStr">
        <is>
          <t>SAUCE0-07</t>
        </is>
      </c>
      <c r="D321" t="inlineStr">
        <is>
          <t>ONION PUREE</t>
        </is>
      </c>
      <c r="E321" t="inlineStr">
        <is>
          <t>grams</t>
        </is>
      </c>
      <c r="F321" t="inlineStr">
        <is>
          <t>child</t>
        </is>
      </c>
      <c r="G321" t="inlineStr">
        <is>
          <t>6260.876533845185497249944765 from parent 109064.4692195831313620940378 × BOM 8000 / batch_quantity 139360. Stock not applied.</t>
        </is>
      </c>
      <c r="H321" t="n">
        <v>1</v>
      </c>
      <c r="I321" t="inlineStr">
        <is>
          <t>scale_bom</t>
        </is>
      </c>
      <c r="J321" t="inlineStr">
        <is>
          <t>parent_gross × bom_qty / batch_quantity</t>
        </is>
      </c>
      <c r="K321" t="inlineStr">
        <is>
          <t>109064.4692195831313620940378 × 8000 / 139360</t>
        </is>
      </c>
      <c r="L321" t="inlineStr">
        <is>
          <t>6260.876533845185497249944765</t>
        </is>
      </c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4</v>
      </c>
      <c r="B322" t="n">
        <v>134</v>
      </c>
      <c r="C322" t="inlineStr">
        <is>
          <t>SAUCE0-07</t>
        </is>
      </c>
      <c r="D322" t="inlineStr">
        <is>
          <t>ONION PUREE</t>
        </is>
      </c>
      <c r="E322" t="inlineStr">
        <is>
          <t>grams</t>
        </is>
      </c>
      <c r="F322" t="inlineStr">
        <is>
          <t>child</t>
        </is>
      </c>
      <c r="G322" t="inlineStr"/>
      <c r="H322" t="n">
        <v>2</v>
      </c>
      <c r="I322" t="inlineStr">
        <is>
          <t>gross</t>
        </is>
      </c>
      <c r="J322" t="inlineStr">
        <is>
          <t>net / recipe_yield</t>
        </is>
      </c>
      <c r="K322" t="inlineStr">
        <is>
          <t>6260.876533845185497249944765 / 1 (recipe yield 100%)</t>
        </is>
      </c>
      <c r="L322" t="inlineStr">
        <is>
          <t>6260.876533845185497249944765</t>
        </is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4</v>
      </c>
      <c r="B323" t="n">
        <v>134</v>
      </c>
      <c r="C323" t="inlineStr">
        <is>
          <t>SAUCE0-07</t>
        </is>
      </c>
      <c r="D323" t="inlineStr">
        <is>
          <t>ONION PUREE</t>
        </is>
      </c>
      <c r="E323" t="inlineStr">
        <is>
          <t>grams</t>
        </is>
      </c>
      <c r="F323" t="inlineStr">
        <is>
          <t>child</t>
        </is>
      </c>
      <c r="G323" t="inlineStr"/>
      <c r="H323" t="n">
        <v>3</v>
      </c>
      <c r="I323" t="inlineStr">
        <is>
          <t>stock_net</t>
        </is>
      </c>
      <c r="J323" t="inlineStr"/>
      <c r="K323" t="inlineStr"/>
      <c r="L323" t="inlineStr"/>
      <c r="M323" t="b">
        <v>1</v>
      </c>
      <c r="N323" t="inlineStr">
        <is>
          <t>consider_stock=false</t>
        </is>
      </c>
      <c r="O323" t="inlineStr"/>
      <c r="P323" t="inlineStr"/>
      <c r="Q323" t="inlineStr"/>
      <c r="R323" t="inlineStr">
        <is>
          <t>6260.876533845185497249944765</t>
        </is>
      </c>
      <c r="S323" t="inlineStr">
        <is>
          <t>6260.876533845185497249944765</t>
        </is>
      </c>
    </row>
    <row r="324">
      <c r="A324" t="n">
        <v>4</v>
      </c>
      <c r="B324" t="n">
        <v>17</v>
      </c>
      <c r="C324" t="inlineStr">
        <is>
          <t>VEGFRO-06</t>
        </is>
      </c>
      <c r="D324" t="inlineStr">
        <is>
          <t>SPRING ONION CHOPPED 4MM (FROZEN)</t>
        </is>
      </c>
      <c r="E324" t="inlineStr">
        <is>
          <t>grams</t>
        </is>
      </c>
      <c r="F324" t="inlineStr">
        <is>
          <t>child</t>
        </is>
      </c>
      <c r="G324" t="inlineStr">
        <is>
          <t>3130.438266922592748624972382 from parent 109064.4692195831313620940378 × BOM 4000 / batch_quantity 139360. Stock not applied.</t>
        </is>
      </c>
      <c r="H324" t="n">
        <v>1</v>
      </c>
      <c r="I324" t="inlineStr">
        <is>
          <t>scale_bom</t>
        </is>
      </c>
      <c r="J324" t="inlineStr">
        <is>
          <t>parent_gross × bom_qty / batch_quantity</t>
        </is>
      </c>
      <c r="K324" t="inlineStr">
        <is>
          <t>109064.4692195831313620940378 × 4000 / 139360</t>
        </is>
      </c>
      <c r="L324" t="inlineStr">
        <is>
          <t>3130.438266922592748624972382</t>
        </is>
      </c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4</v>
      </c>
      <c r="B325" t="n">
        <v>17</v>
      </c>
      <c r="C325" t="inlineStr">
        <is>
          <t>VEGFRO-06</t>
        </is>
      </c>
      <c r="D325" t="inlineStr">
        <is>
          <t>SPRING ONION CHOPPED 4MM (FROZEN)</t>
        </is>
      </c>
      <c r="E325" t="inlineStr">
        <is>
          <t>grams</t>
        </is>
      </c>
      <c r="F325" t="inlineStr">
        <is>
          <t>child</t>
        </is>
      </c>
      <c r="G325" t="inlineStr"/>
      <c r="H325" t="n">
        <v>2</v>
      </c>
      <c r="I325" t="inlineStr">
        <is>
          <t>gross</t>
        </is>
      </c>
      <c r="J325" t="inlineStr">
        <is>
          <t>net / recipe_yield</t>
        </is>
      </c>
      <c r="K325" t="inlineStr">
        <is>
          <t>3130.438266922592748624972382 / 1 (recipe yield 100%)</t>
        </is>
      </c>
      <c r="L325" t="inlineStr">
        <is>
          <t>3130.438266922592748624972382</t>
        </is>
      </c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4</v>
      </c>
      <c r="B326" t="n">
        <v>17</v>
      </c>
      <c r="C326" t="inlineStr">
        <is>
          <t>VEGFRO-06</t>
        </is>
      </c>
      <c r="D326" t="inlineStr">
        <is>
          <t>SPRING ONION CHOPPED 4MM (FROZEN)</t>
        </is>
      </c>
      <c r="E326" t="inlineStr">
        <is>
          <t>grams</t>
        </is>
      </c>
      <c r="F326" t="inlineStr">
        <is>
          <t>child</t>
        </is>
      </c>
      <c r="G326" t="inlineStr"/>
      <c r="H326" t="n">
        <v>3</v>
      </c>
      <c r="I326" t="inlineStr">
        <is>
          <t>stock_net</t>
        </is>
      </c>
      <c r="J326" t="inlineStr"/>
      <c r="K326" t="inlineStr"/>
      <c r="L326" t="inlineStr"/>
      <c r="M326" t="b">
        <v>1</v>
      </c>
      <c r="N326" t="inlineStr">
        <is>
          <t>consider_stock=false</t>
        </is>
      </c>
      <c r="O326" t="inlineStr"/>
      <c r="P326" t="inlineStr"/>
      <c r="Q326" t="inlineStr"/>
      <c r="R326" t="inlineStr">
        <is>
          <t>3130.438266922592748624972382</t>
        </is>
      </c>
      <c r="S326" t="inlineStr">
        <is>
          <t>3130.438266922592748624972382</t>
        </is>
      </c>
    </row>
    <row r="327">
      <c r="A327" t="n">
        <v>4</v>
      </c>
      <c r="B327" t="n">
        <v>48</v>
      </c>
      <c r="C327" t="inlineStr">
        <is>
          <t>SPICE0-03</t>
        </is>
      </c>
      <c r="D327" t="inlineStr">
        <is>
          <t>SUGAR</t>
        </is>
      </c>
      <c r="E327" t="inlineStr">
        <is>
          <t>grams</t>
        </is>
      </c>
      <c r="F327" t="inlineStr">
        <is>
          <t>child</t>
        </is>
      </c>
      <c r="G327" t="inlineStr">
        <is>
          <t>2504.350613538074198899977906 from parent 109064.4692195831313620940378 × BOM 3200 / batch_quantity 139360. Stock not applied.</t>
        </is>
      </c>
      <c r="H327" t="n">
        <v>1</v>
      </c>
      <c r="I327" t="inlineStr">
        <is>
          <t>scale_bom</t>
        </is>
      </c>
      <c r="J327" t="inlineStr">
        <is>
          <t>parent_gross × bom_qty / batch_quantity</t>
        </is>
      </c>
      <c r="K327" t="inlineStr">
        <is>
          <t>109064.4692195831313620940378 × 3200 / 139360</t>
        </is>
      </c>
      <c r="L327" t="inlineStr">
        <is>
          <t>2504.350613538074198899977906</t>
        </is>
      </c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4</v>
      </c>
      <c r="B328" t="n">
        <v>48</v>
      </c>
      <c r="C328" t="inlineStr">
        <is>
          <t>SPICE0-03</t>
        </is>
      </c>
      <c r="D328" t="inlineStr">
        <is>
          <t>SUGAR</t>
        </is>
      </c>
      <c r="E328" t="inlineStr">
        <is>
          <t>grams</t>
        </is>
      </c>
      <c r="F328" t="inlineStr">
        <is>
          <t>child</t>
        </is>
      </c>
      <c r="G328" t="inlineStr"/>
      <c r="H328" t="n">
        <v>2</v>
      </c>
      <c r="I328" t="inlineStr">
        <is>
          <t>gross</t>
        </is>
      </c>
      <c r="J328" t="inlineStr">
        <is>
          <t>net / recipe_yield</t>
        </is>
      </c>
      <c r="K328" t="inlineStr">
        <is>
          <t>2504.350613538074198899977906 / 1 (recipe yield 100%)</t>
        </is>
      </c>
      <c r="L328" t="inlineStr">
        <is>
          <t>2504.350613538074198899977906</t>
        </is>
      </c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4</v>
      </c>
      <c r="B329" t="n">
        <v>48</v>
      </c>
      <c r="C329" t="inlineStr">
        <is>
          <t>SPICE0-03</t>
        </is>
      </c>
      <c r="D329" t="inlineStr">
        <is>
          <t>SUGAR</t>
        </is>
      </c>
      <c r="E329" t="inlineStr">
        <is>
          <t>grams</t>
        </is>
      </c>
      <c r="F329" t="inlineStr">
        <is>
          <t>child</t>
        </is>
      </c>
      <c r="G329" t="inlineStr"/>
      <c r="H329" t="n">
        <v>3</v>
      </c>
      <c r="I329" t="inlineStr">
        <is>
          <t>stock_net</t>
        </is>
      </c>
      <c r="J329" t="inlineStr"/>
      <c r="K329" t="inlineStr"/>
      <c r="L329" t="inlineStr"/>
      <c r="M329" t="b">
        <v>1</v>
      </c>
      <c r="N329" t="inlineStr">
        <is>
          <t>consider_stock=false</t>
        </is>
      </c>
      <c r="O329" t="inlineStr"/>
      <c r="P329" t="inlineStr"/>
      <c r="Q329" t="inlineStr"/>
      <c r="R329" t="inlineStr">
        <is>
          <t>2504.350613538074198899977906</t>
        </is>
      </c>
      <c r="S329" t="inlineStr">
        <is>
          <t>2504.350613538074198899977906</t>
        </is>
      </c>
    </row>
    <row r="330">
      <c r="A330" t="n">
        <v>4</v>
      </c>
      <c r="B330" t="n">
        <v>213</v>
      </c>
      <c r="C330" t="inlineStr">
        <is>
          <t>INGRAD-38</t>
        </is>
      </c>
      <c r="D330" t="inlineStr">
        <is>
          <t>OLIVE OIL</t>
        </is>
      </c>
      <c r="E330" t="inlineStr">
        <is>
          <t>grams</t>
        </is>
      </c>
      <c r="F330" t="inlineStr">
        <is>
          <t>child</t>
        </is>
      </c>
      <c r="G330" t="inlineStr">
        <is>
          <t>1878.262960153555649174983429 from parent 109064.4692195831313620940378 × BOM 2400 / batch_quantity 139360. Stock not applied.</t>
        </is>
      </c>
      <c r="H330" t="n">
        <v>1</v>
      </c>
      <c r="I330" t="inlineStr">
        <is>
          <t>scale_bom</t>
        </is>
      </c>
      <c r="J330" t="inlineStr">
        <is>
          <t>parent_gross × bom_qty / batch_quantity</t>
        </is>
      </c>
      <c r="K330" t="inlineStr">
        <is>
          <t>109064.4692195831313620940378 × 2400 / 139360</t>
        </is>
      </c>
      <c r="L330" t="inlineStr">
        <is>
          <t>1878.262960153555649174983429</t>
        </is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4</v>
      </c>
      <c r="B331" t="n">
        <v>213</v>
      </c>
      <c r="C331" t="inlineStr">
        <is>
          <t>INGRAD-38</t>
        </is>
      </c>
      <c r="D331" t="inlineStr">
        <is>
          <t>OLIVE OIL</t>
        </is>
      </c>
      <c r="E331" t="inlineStr">
        <is>
          <t>grams</t>
        </is>
      </c>
      <c r="F331" t="inlineStr">
        <is>
          <t>child</t>
        </is>
      </c>
      <c r="G331" t="inlineStr"/>
      <c r="H331" t="n">
        <v>2</v>
      </c>
      <c r="I331" t="inlineStr">
        <is>
          <t>gross</t>
        </is>
      </c>
      <c r="J331" t="inlineStr">
        <is>
          <t>net / recipe_yield</t>
        </is>
      </c>
      <c r="K331" t="inlineStr">
        <is>
          <t>1878.262960153555649174983429 / 1 (recipe yield 100%)</t>
        </is>
      </c>
      <c r="L331" t="inlineStr">
        <is>
          <t>1878.262960153555649174983429</t>
        </is>
      </c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4</v>
      </c>
      <c r="B332" t="n">
        <v>213</v>
      </c>
      <c r="C332" t="inlineStr">
        <is>
          <t>INGRAD-38</t>
        </is>
      </c>
      <c r="D332" t="inlineStr">
        <is>
          <t>OLIVE OIL</t>
        </is>
      </c>
      <c r="E332" t="inlineStr">
        <is>
          <t>grams</t>
        </is>
      </c>
      <c r="F332" t="inlineStr">
        <is>
          <t>child</t>
        </is>
      </c>
      <c r="G332" t="inlineStr"/>
      <c r="H332" t="n">
        <v>3</v>
      </c>
      <c r="I332" t="inlineStr">
        <is>
          <t>stock_net</t>
        </is>
      </c>
      <c r="J332" t="inlineStr"/>
      <c r="K332" t="inlineStr"/>
      <c r="L332" t="inlineStr"/>
      <c r="M332" t="b">
        <v>1</v>
      </c>
      <c r="N332" t="inlineStr">
        <is>
          <t>consider_stock=false</t>
        </is>
      </c>
      <c r="O332" t="inlineStr"/>
      <c r="P332" t="inlineStr"/>
      <c r="Q332" t="inlineStr"/>
      <c r="R332" t="inlineStr">
        <is>
          <t>1878.262960153555649174983429</t>
        </is>
      </c>
      <c r="S332" t="inlineStr">
        <is>
          <t>1878.262960153555649174983429</t>
        </is>
      </c>
    </row>
    <row r="333">
      <c r="A333" t="n">
        <v>4</v>
      </c>
      <c r="B333" t="n">
        <v>129</v>
      </c>
      <c r="C333" t="inlineStr">
        <is>
          <t>SAUCE0-03</t>
        </is>
      </c>
      <c r="D333" t="inlineStr">
        <is>
          <t>TOMATO PASTE</t>
        </is>
      </c>
      <c r="E333" t="inlineStr">
        <is>
          <t>grams</t>
        </is>
      </c>
      <c r="F333" t="inlineStr">
        <is>
          <t>child</t>
        </is>
      </c>
      <c r="G333" t="inlineStr">
        <is>
          <t>1878.262960153555649174983429 from parent 109064.4692195831313620940378 × BOM 2400 / batch_quantity 139360. Stock not applied.</t>
        </is>
      </c>
      <c r="H333" t="n">
        <v>1</v>
      </c>
      <c r="I333" t="inlineStr">
        <is>
          <t>scale_bom</t>
        </is>
      </c>
      <c r="J333" t="inlineStr">
        <is>
          <t>parent_gross × bom_qty / batch_quantity</t>
        </is>
      </c>
      <c r="K333" t="inlineStr">
        <is>
          <t>109064.4692195831313620940378 × 2400 / 139360</t>
        </is>
      </c>
      <c r="L333" t="inlineStr">
        <is>
          <t>1878.262960153555649174983429</t>
        </is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4</v>
      </c>
      <c r="B334" t="n">
        <v>129</v>
      </c>
      <c r="C334" t="inlineStr">
        <is>
          <t>SAUCE0-03</t>
        </is>
      </c>
      <c r="D334" t="inlineStr">
        <is>
          <t>TOMATO PASTE</t>
        </is>
      </c>
      <c r="E334" t="inlineStr">
        <is>
          <t>grams</t>
        </is>
      </c>
      <c r="F334" t="inlineStr">
        <is>
          <t>child</t>
        </is>
      </c>
      <c r="G334" t="inlineStr"/>
      <c r="H334" t="n">
        <v>2</v>
      </c>
      <c r="I334" t="inlineStr">
        <is>
          <t>gross</t>
        </is>
      </c>
      <c r="J334" t="inlineStr">
        <is>
          <t>net / recipe_yield</t>
        </is>
      </c>
      <c r="K334" t="inlineStr">
        <is>
          <t>1878.262960153555649174983429 / 1 (recipe yield 100%)</t>
        </is>
      </c>
      <c r="L334" t="inlineStr">
        <is>
          <t>1878.262960153555649174983429</t>
        </is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4</v>
      </c>
      <c r="B335" t="n">
        <v>129</v>
      </c>
      <c r="C335" t="inlineStr">
        <is>
          <t>SAUCE0-03</t>
        </is>
      </c>
      <c r="D335" t="inlineStr">
        <is>
          <t>TOMATO PASTE</t>
        </is>
      </c>
      <c r="E335" t="inlineStr">
        <is>
          <t>grams</t>
        </is>
      </c>
      <c r="F335" t="inlineStr">
        <is>
          <t>child</t>
        </is>
      </c>
      <c r="G335" t="inlineStr"/>
      <c r="H335" t="n">
        <v>3</v>
      </c>
      <c r="I335" t="inlineStr">
        <is>
          <t>stock_net</t>
        </is>
      </c>
      <c r="J335" t="inlineStr"/>
      <c r="K335" t="inlineStr"/>
      <c r="L335" t="inlineStr"/>
      <c r="M335" t="b">
        <v>1</v>
      </c>
      <c r="N335" t="inlineStr">
        <is>
          <t>consider_stock=false</t>
        </is>
      </c>
      <c r="O335" t="inlineStr"/>
      <c r="P335" t="inlineStr"/>
      <c r="Q335" t="inlineStr"/>
      <c r="R335" t="inlineStr">
        <is>
          <t>1878.262960153555649174983429</t>
        </is>
      </c>
      <c r="S335" t="inlineStr">
        <is>
          <t>1878.262960153555649174983429</t>
        </is>
      </c>
    </row>
    <row r="336">
      <c r="A336" t="n">
        <v>4</v>
      </c>
      <c r="B336" t="n">
        <v>10</v>
      </c>
      <c r="C336" t="inlineStr">
        <is>
          <t>VEGFRO-15</t>
        </is>
      </c>
      <c r="D336" t="inlineStr">
        <is>
          <t>GINGER PUREE (FROZEN)</t>
        </is>
      </c>
      <c r="E336" t="inlineStr">
        <is>
          <t>grams</t>
        </is>
      </c>
      <c r="F336" t="inlineStr">
        <is>
          <t>child</t>
        </is>
      </c>
      <c r="G336" t="inlineStr">
        <is>
          <t>1252.175306769037099449988953 from parent 109064.4692195831313620940378 × BOM 1600 / batch_quantity 139360. Stock not applied.</t>
        </is>
      </c>
      <c r="H336" t="n">
        <v>1</v>
      </c>
      <c r="I336" t="inlineStr">
        <is>
          <t>scale_bom</t>
        </is>
      </c>
      <c r="J336" t="inlineStr">
        <is>
          <t>parent_gross × bom_qty / batch_quantity</t>
        </is>
      </c>
      <c r="K336" t="inlineStr">
        <is>
          <t>109064.4692195831313620940378 × 1600 / 139360</t>
        </is>
      </c>
      <c r="L336" t="inlineStr">
        <is>
          <t>1252.175306769037099449988953</t>
        </is>
      </c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4</v>
      </c>
      <c r="B337" t="n">
        <v>10</v>
      </c>
      <c r="C337" t="inlineStr">
        <is>
          <t>VEGFRO-15</t>
        </is>
      </c>
      <c r="D337" t="inlineStr">
        <is>
          <t>GINGER PUREE (FROZEN)</t>
        </is>
      </c>
      <c r="E337" t="inlineStr">
        <is>
          <t>grams</t>
        </is>
      </c>
      <c r="F337" t="inlineStr">
        <is>
          <t>child</t>
        </is>
      </c>
      <c r="G337" t="inlineStr"/>
      <c r="H337" t="n">
        <v>2</v>
      </c>
      <c r="I337" t="inlineStr">
        <is>
          <t>gross</t>
        </is>
      </c>
      <c r="J337" t="inlineStr">
        <is>
          <t>net / recipe_yield</t>
        </is>
      </c>
      <c r="K337" t="inlineStr">
        <is>
          <t>1252.175306769037099449988953 / 1 (recipe yield 100%)</t>
        </is>
      </c>
      <c r="L337" t="inlineStr">
        <is>
          <t>1252.175306769037099449988953</t>
        </is>
      </c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4</v>
      </c>
      <c r="B338" t="n">
        <v>10</v>
      </c>
      <c r="C338" t="inlineStr">
        <is>
          <t>VEGFRO-15</t>
        </is>
      </c>
      <c r="D338" t="inlineStr">
        <is>
          <t>GINGER PUREE (FROZEN)</t>
        </is>
      </c>
      <c r="E338" t="inlineStr">
        <is>
          <t>grams</t>
        </is>
      </c>
      <c r="F338" t="inlineStr">
        <is>
          <t>child</t>
        </is>
      </c>
      <c r="G338" t="inlineStr"/>
      <c r="H338" t="n">
        <v>3</v>
      </c>
      <c r="I338" t="inlineStr">
        <is>
          <t>stock_net</t>
        </is>
      </c>
      <c r="J338" t="inlineStr"/>
      <c r="K338" t="inlineStr"/>
      <c r="L338" t="inlineStr"/>
      <c r="M338" t="b">
        <v>1</v>
      </c>
      <c r="N338" t="inlineStr">
        <is>
          <t>consider_stock=false</t>
        </is>
      </c>
      <c r="O338" t="inlineStr"/>
      <c r="P338" t="inlineStr"/>
      <c r="Q338" t="inlineStr"/>
      <c r="R338" t="inlineStr">
        <is>
          <t>1252.175306769037099449988953</t>
        </is>
      </c>
      <c r="S338" t="inlineStr">
        <is>
          <t>1252.175306769037099449988953</t>
        </is>
      </c>
    </row>
    <row r="339">
      <c r="A339" t="n">
        <v>4</v>
      </c>
      <c r="B339" t="n">
        <v>29</v>
      </c>
      <c r="C339" t="inlineStr">
        <is>
          <t>VEGFRO-11</t>
        </is>
      </c>
      <c r="D339" t="inlineStr">
        <is>
          <t>GARLIC PUREE (FROZEN)</t>
        </is>
      </c>
      <c r="E339" t="inlineStr">
        <is>
          <t>grams</t>
        </is>
      </c>
      <c r="F339" t="inlineStr">
        <is>
          <t>child</t>
        </is>
      </c>
      <c r="G339" t="inlineStr">
        <is>
          <t>1252.175306769037099449988953 from parent 109064.4692195831313620940378 × BOM 1600 / batch_quantity 139360. Stock not applied.</t>
        </is>
      </c>
      <c r="H339" t="n">
        <v>1</v>
      </c>
      <c r="I339" t="inlineStr">
        <is>
          <t>scale_bom</t>
        </is>
      </c>
      <c r="J339" t="inlineStr">
        <is>
          <t>parent_gross × bom_qty / batch_quantity</t>
        </is>
      </c>
      <c r="K339" t="inlineStr">
        <is>
          <t>109064.4692195831313620940378 × 1600 / 139360</t>
        </is>
      </c>
      <c r="L339" t="inlineStr">
        <is>
          <t>1252.175306769037099449988953</t>
        </is>
      </c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4</v>
      </c>
      <c r="B340" t="n">
        <v>29</v>
      </c>
      <c r="C340" t="inlineStr">
        <is>
          <t>VEGFRO-11</t>
        </is>
      </c>
      <c r="D340" t="inlineStr">
        <is>
          <t>GARLIC PUREE (FROZEN)</t>
        </is>
      </c>
      <c r="E340" t="inlineStr">
        <is>
          <t>grams</t>
        </is>
      </c>
      <c r="F340" t="inlineStr">
        <is>
          <t>child</t>
        </is>
      </c>
      <c r="G340" t="inlineStr"/>
      <c r="H340" t="n">
        <v>2</v>
      </c>
      <c r="I340" t="inlineStr">
        <is>
          <t>gross</t>
        </is>
      </c>
      <c r="J340" t="inlineStr">
        <is>
          <t>net / recipe_yield</t>
        </is>
      </c>
      <c r="K340" t="inlineStr">
        <is>
          <t>1252.175306769037099449988953 / 1 (recipe yield 100%)</t>
        </is>
      </c>
      <c r="L340" t="inlineStr">
        <is>
          <t>1252.175306769037099449988953</t>
        </is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4</v>
      </c>
      <c r="B341" t="n">
        <v>29</v>
      </c>
      <c r="C341" t="inlineStr">
        <is>
          <t>VEGFRO-11</t>
        </is>
      </c>
      <c r="D341" t="inlineStr">
        <is>
          <t>GARLIC PUREE (FROZEN)</t>
        </is>
      </c>
      <c r="E341" t="inlineStr">
        <is>
          <t>grams</t>
        </is>
      </c>
      <c r="F341" t="inlineStr">
        <is>
          <t>child</t>
        </is>
      </c>
      <c r="G341" t="inlineStr"/>
      <c r="H341" t="n">
        <v>3</v>
      </c>
      <c r="I341" t="inlineStr">
        <is>
          <t>stock_net</t>
        </is>
      </c>
      <c r="J341" t="inlineStr"/>
      <c r="K341" t="inlineStr"/>
      <c r="L341" t="inlineStr"/>
      <c r="M341" t="b">
        <v>1</v>
      </c>
      <c r="N341" t="inlineStr">
        <is>
          <t>consider_stock=false</t>
        </is>
      </c>
      <c r="O341" t="inlineStr"/>
      <c r="P341" t="inlineStr"/>
      <c r="Q341" t="inlineStr"/>
      <c r="R341" t="inlineStr">
        <is>
          <t>1252.175306769037099449988953</t>
        </is>
      </c>
      <c r="S341" t="inlineStr">
        <is>
          <t>1252.175306769037099449988953</t>
        </is>
      </c>
    </row>
    <row r="342">
      <c r="A342" t="n">
        <v>4</v>
      </c>
      <c r="B342" t="n">
        <v>43</v>
      </c>
      <c r="C342" t="inlineStr">
        <is>
          <t>VEGFRO-28</t>
        </is>
      </c>
      <c r="D342" t="inlineStr">
        <is>
          <t>RED CHILLI PUREE (FROZEN)</t>
        </is>
      </c>
      <c r="E342" t="inlineStr">
        <is>
          <t>grams</t>
        </is>
      </c>
      <c r="F342" t="inlineStr">
        <is>
          <t>child</t>
        </is>
      </c>
      <c r="G342" t="inlineStr">
        <is>
          <t>1252.175306769037099449988953 from parent 109064.4692195831313620940378 × BOM 1600 / batch_quantity 139360. Stock not applied.</t>
        </is>
      </c>
      <c r="H342" t="n">
        <v>1</v>
      </c>
      <c r="I342" t="inlineStr">
        <is>
          <t>scale_bom</t>
        </is>
      </c>
      <c r="J342" t="inlineStr">
        <is>
          <t>parent_gross × bom_qty / batch_quantity</t>
        </is>
      </c>
      <c r="K342" t="inlineStr">
        <is>
          <t>109064.4692195831313620940378 × 1600 / 139360</t>
        </is>
      </c>
      <c r="L342" t="inlineStr">
        <is>
          <t>1252.175306769037099449988953</t>
        </is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4</v>
      </c>
      <c r="B343" t="n">
        <v>43</v>
      </c>
      <c r="C343" t="inlineStr">
        <is>
          <t>VEGFRO-28</t>
        </is>
      </c>
      <c r="D343" t="inlineStr">
        <is>
          <t>RED CHILLI PUREE (FROZEN)</t>
        </is>
      </c>
      <c r="E343" t="inlineStr">
        <is>
          <t>grams</t>
        </is>
      </c>
      <c r="F343" t="inlineStr">
        <is>
          <t>child</t>
        </is>
      </c>
      <c r="G343" t="inlineStr"/>
      <c r="H343" t="n">
        <v>2</v>
      </c>
      <c r="I343" t="inlineStr">
        <is>
          <t>gross</t>
        </is>
      </c>
      <c r="J343" t="inlineStr">
        <is>
          <t>net / recipe_yield</t>
        </is>
      </c>
      <c r="K343" t="inlineStr">
        <is>
          <t>1252.175306769037099449988953 / 1 (recipe yield 100%)</t>
        </is>
      </c>
      <c r="L343" t="inlineStr">
        <is>
          <t>1252.175306769037099449988953</t>
        </is>
      </c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4</v>
      </c>
      <c r="B344" t="n">
        <v>43</v>
      </c>
      <c r="C344" t="inlineStr">
        <is>
          <t>VEGFRO-28</t>
        </is>
      </c>
      <c r="D344" t="inlineStr">
        <is>
          <t>RED CHILLI PUREE (FROZEN)</t>
        </is>
      </c>
      <c r="E344" t="inlineStr">
        <is>
          <t>grams</t>
        </is>
      </c>
      <c r="F344" t="inlineStr">
        <is>
          <t>child</t>
        </is>
      </c>
      <c r="G344" t="inlineStr"/>
      <c r="H344" t="n">
        <v>3</v>
      </c>
      <c r="I344" t="inlineStr">
        <is>
          <t>stock_net</t>
        </is>
      </c>
      <c r="J344" t="inlineStr"/>
      <c r="K344" t="inlineStr"/>
      <c r="L344" t="inlineStr"/>
      <c r="M344" t="b">
        <v>1</v>
      </c>
      <c r="N344" t="inlineStr">
        <is>
          <t>consider_stock=false</t>
        </is>
      </c>
      <c r="O344" t="inlineStr"/>
      <c r="P344" t="inlineStr"/>
      <c r="Q344" t="inlineStr"/>
      <c r="R344" t="inlineStr">
        <is>
          <t>1252.175306769037099449988953</t>
        </is>
      </c>
      <c r="S344" t="inlineStr">
        <is>
          <t>1252.175306769037099449988953</t>
        </is>
      </c>
    </row>
    <row r="345">
      <c r="A345" t="n">
        <v>4</v>
      </c>
      <c r="B345" t="n">
        <v>152</v>
      </c>
      <c r="C345" t="inlineStr">
        <is>
          <t>SAUCE0-25</t>
        </is>
      </c>
      <c r="D345" t="inlineStr">
        <is>
          <t>VINEGAR RICE</t>
        </is>
      </c>
      <c r="E345" t="inlineStr">
        <is>
          <t>grams</t>
        </is>
      </c>
      <c r="F345" t="inlineStr">
        <is>
          <t>child</t>
        </is>
      </c>
      <c r="G345" t="inlineStr">
        <is>
          <t>1252.175306769037099449988953 from parent 109064.4692195831313620940378 × BOM 1600 / batch_quantity 139360. Stock not applied.</t>
        </is>
      </c>
      <c r="H345" t="n">
        <v>1</v>
      </c>
      <c r="I345" t="inlineStr">
        <is>
          <t>scale_bom</t>
        </is>
      </c>
      <c r="J345" t="inlineStr">
        <is>
          <t>parent_gross × bom_qty / batch_quantity</t>
        </is>
      </c>
      <c r="K345" t="inlineStr">
        <is>
          <t>109064.4692195831313620940378 × 1600 / 139360</t>
        </is>
      </c>
      <c r="L345" t="inlineStr">
        <is>
          <t>1252.175306769037099449988953</t>
        </is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4</v>
      </c>
      <c r="B346" t="n">
        <v>152</v>
      </c>
      <c r="C346" t="inlineStr">
        <is>
          <t>SAUCE0-25</t>
        </is>
      </c>
      <c r="D346" t="inlineStr">
        <is>
          <t>VINEGAR RICE</t>
        </is>
      </c>
      <c r="E346" t="inlineStr">
        <is>
          <t>grams</t>
        </is>
      </c>
      <c r="F346" t="inlineStr">
        <is>
          <t>child</t>
        </is>
      </c>
      <c r="G346" t="inlineStr"/>
      <c r="H346" t="n">
        <v>2</v>
      </c>
      <c r="I346" t="inlineStr">
        <is>
          <t>gross</t>
        </is>
      </c>
      <c r="J346" t="inlineStr">
        <is>
          <t>net / recipe_yield</t>
        </is>
      </c>
      <c r="K346" t="inlineStr">
        <is>
          <t>1252.175306769037099449988953 / 1 (recipe yield 100%)</t>
        </is>
      </c>
      <c r="L346" t="inlineStr">
        <is>
          <t>1252.175306769037099449988953</t>
        </is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4</v>
      </c>
      <c r="B347" t="n">
        <v>152</v>
      </c>
      <c r="C347" t="inlineStr">
        <is>
          <t>SAUCE0-25</t>
        </is>
      </c>
      <c r="D347" t="inlineStr">
        <is>
          <t>VINEGAR RICE</t>
        </is>
      </c>
      <c r="E347" t="inlineStr">
        <is>
          <t>grams</t>
        </is>
      </c>
      <c r="F347" t="inlineStr">
        <is>
          <t>child</t>
        </is>
      </c>
      <c r="G347" t="inlineStr"/>
      <c r="H347" t="n">
        <v>3</v>
      </c>
      <c r="I347" t="inlineStr">
        <is>
          <t>stock_net</t>
        </is>
      </c>
      <c r="J347" t="inlineStr"/>
      <c r="K347" t="inlineStr"/>
      <c r="L347" t="inlineStr"/>
      <c r="M347" t="b">
        <v>1</v>
      </c>
      <c r="N347" t="inlineStr">
        <is>
          <t>consider_stock=false</t>
        </is>
      </c>
      <c r="O347" t="inlineStr"/>
      <c r="P347" t="inlineStr"/>
      <c r="Q347" t="inlineStr"/>
      <c r="R347" t="inlineStr">
        <is>
          <t>1252.175306769037099449988953</t>
        </is>
      </c>
      <c r="S347" t="inlineStr">
        <is>
          <t>1252.175306769037099449988953</t>
        </is>
      </c>
    </row>
    <row r="348">
      <c r="A348" t="n">
        <v>4</v>
      </c>
      <c r="B348" t="n">
        <v>291</v>
      </c>
      <c r="C348" t="inlineStr">
        <is>
          <t>INGRAD-17</t>
        </is>
      </c>
      <c r="D348" t="inlineStr">
        <is>
          <t>CORN FLOUR</t>
        </is>
      </c>
      <c r="E348" t="inlineStr">
        <is>
          <t>grams</t>
        </is>
      </c>
      <c r="F348" t="inlineStr">
        <is>
          <t>child</t>
        </is>
      </c>
      <c r="G348" t="inlineStr">
        <is>
          <t>1252.175306769037099449988953 from parent 109064.4692195831313620940378 × BOM 1600 / batch_quantity 139360. Stock not applied.</t>
        </is>
      </c>
      <c r="H348" t="n">
        <v>1</v>
      </c>
      <c r="I348" t="inlineStr">
        <is>
          <t>scale_bom</t>
        </is>
      </c>
      <c r="J348" t="inlineStr">
        <is>
          <t>parent_gross × bom_qty / batch_quantity</t>
        </is>
      </c>
      <c r="K348" t="inlineStr">
        <is>
          <t>109064.4692195831313620940378 × 1600 / 139360</t>
        </is>
      </c>
      <c r="L348" t="inlineStr">
        <is>
          <t>1252.175306769037099449988953</t>
        </is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4</v>
      </c>
      <c r="B349" t="n">
        <v>291</v>
      </c>
      <c r="C349" t="inlineStr">
        <is>
          <t>INGRAD-17</t>
        </is>
      </c>
      <c r="D349" t="inlineStr">
        <is>
          <t>CORN FLOUR</t>
        </is>
      </c>
      <c r="E349" t="inlineStr">
        <is>
          <t>grams</t>
        </is>
      </c>
      <c r="F349" t="inlineStr">
        <is>
          <t>child</t>
        </is>
      </c>
      <c r="G349" t="inlineStr"/>
      <c r="H349" t="n">
        <v>2</v>
      </c>
      <c r="I349" t="inlineStr">
        <is>
          <t>gross</t>
        </is>
      </c>
      <c r="J349" t="inlineStr">
        <is>
          <t>net / recipe_yield</t>
        </is>
      </c>
      <c r="K349" t="inlineStr">
        <is>
          <t>1252.175306769037099449988953 / 1 (recipe yield 100%)</t>
        </is>
      </c>
      <c r="L349" t="inlineStr">
        <is>
          <t>1252.175306769037099449988953</t>
        </is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4</v>
      </c>
      <c r="B350" t="n">
        <v>291</v>
      </c>
      <c r="C350" t="inlineStr">
        <is>
          <t>INGRAD-17</t>
        </is>
      </c>
      <c r="D350" t="inlineStr">
        <is>
          <t>CORN FLOUR</t>
        </is>
      </c>
      <c r="E350" t="inlineStr">
        <is>
          <t>grams</t>
        </is>
      </c>
      <c r="F350" t="inlineStr">
        <is>
          <t>child</t>
        </is>
      </c>
      <c r="G350" t="inlineStr"/>
      <c r="H350" t="n">
        <v>3</v>
      </c>
      <c r="I350" t="inlineStr">
        <is>
          <t>stock_net</t>
        </is>
      </c>
      <c r="J350" t="inlineStr"/>
      <c r="K350" t="inlineStr"/>
      <c r="L350" t="inlineStr"/>
      <c r="M350" t="b">
        <v>1</v>
      </c>
      <c r="N350" t="inlineStr">
        <is>
          <t>consider_stock=false</t>
        </is>
      </c>
      <c r="O350" t="inlineStr"/>
      <c r="P350" t="inlineStr"/>
      <c r="Q350" t="inlineStr"/>
      <c r="R350" t="inlineStr">
        <is>
          <t>1252.175306769037099449988953</t>
        </is>
      </c>
      <c r="S350" t="inlineStr">
        <is>
          <t>1252.175306769037099449988953</t>
        </is>
      </c>
    </row>
    <row r="351">
      <c r="A351" t="n">
        <v>4</v>
      </c>
      <c r="B351" t="n">
        <v>1529</v>
      </c>
      <c r="C351" t="inlineStr">
        <is>
          <t>GFF578R-S</t>
        </is>
      </c>
      <c r="D351" t="inlineStr">
        <is>
          <t>Red Thai Curry Sauce (Simmers) - 578 - Spices</t>
        </is>
      </c>
      <c r="E351" t="inlineStr">
        <is>
          <t>grams</t>
        </is>
      </c>
      <c r="F351" t="inlineStr">
        <is>
          <t>child</t>
        </is>
      </c>
      <c r="G351" t="inlineStr">
        <is>
          <t>9516.532331444681955819916045 from parent 109064.4692195831313620940378 × BOM 12160 / batch_quantity 139360. Stock not applied.</t>
        </is>
      </c>
      <c r="H351" t="n">
        <v>1</v>
      </c>
      <c r="I351" t="inlineStr">
        <is>
          <t>scale_bom</t>
        </is>
      </c>
      <c r="J351" t="inlineStr">
        <is>
          <t>parent_gross × bom_qty / batch_quantity</t>
        </is>
      </c>
      <c r="K351" t="inlineStr">
        <is>
          <t>109064.4692195831313620940378 × 12160 / 139360</t>
        </is>
      </c>
      <c r="L351" t="inlineStr">
        <is>
          <t>9516.532331444681955819916045</t>
        </is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4</v>
      </c>
      <c r="B352" t="n">
        <v>1529</v>
      </c>
      <c r="C352" t="inlineStr">
        <is>
          <t>GFF578R-S</t>
        </is>
      </c>
      <c r="D352" t="inlineStr">
        <is>
          <t>Red Thai Curry Sauce (Simmers) - 578 - Spices</t>
        </is>
      </c>
      <c r="E352" t="inlineStr">
        <is>
          <t>grams</t>
        </is>
      </c>
      <c r="F352" t="inlineStr">
        <is>
          <t>child</t>
        </is>
      </c>
      <c r="G352" t="inlineStr"/>
      <c r="H352" t="n">
        <v>2</v>
      </c>
      <c r="I352" t="inlineStr">
        <is>
          <t>gross</t>
        </is>
      </c>
      <c r="J352" t="inlineStr">
        <is>
          <t>net / recipe_yield</t>
        </is>
      </c>
      <c r="K352" t="inlineStr">
        <is>
          <t>9516.532331444681955819916045 / 1 (recipe yield 100%)</t>
        </is>
      </c>
      <c r="L352" t="inlineStr">
        <is>
          <t>9516.532331444681955819916045</t>
        </is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4</v>
      </c>
      <c r="B353" t="n">
        <v>1529</v>
      </c>
      <c r="C353" t="inlineStr">
        <is>
          <t>GFF578R-S</t>
        </is>
      </c>
      <c r="D353" t="inlineStr">
        <is>
          <t>Red Thai Curry Sauce (Simmers) - 578 - Spices</t>
        </is>
      </c>
      <c r="E353" t="inlineStr">
        <is>
          <t>grams</t>
        </is>
      </c>
      <c r="F353" t="inlineStr">
        <is>
          <t>child</t>
        </is>
      </c>
      <c r="G353" t="inlineStr"/>
      <c r="H353" t="n">
        <v>3</v>
      </c>
      <c r="I353" t="inlineStr">
        <is>
          <t>stock_net</t>
        </is>
      </c>
      <c r="J353" t="inlineStr"/>
      <c r="K353" t="inlineStr"/>
      <c r="L353" t="inlineStr"/>
      <c r="M353" t="b">
        <v>1</v>
      </c>
      <c r="N353" t="inlineStr">
        <is>
          <t>consider_stock=false</t>
        </is>
      </c>
      <c r="O353" t="inlineStr"/>
      <c r="P353" t="inlineStr"/>
      <c r="Q353" t="inlineStr"/>
      <c r="R353" t="inlineStr">
        <is>
          <t>9516.532331444681955819916045</t>
        </is>
      </c>
      <c r="S353" t="inlineStr">
        <is>
          <t>9516.532331444681955819916045</t>
        </is>
      </c>
    </row>
    <row r="354">
      <c r="A354" t="n">
        <v>4</v>
      </c>
      <c r="B354" t="n">
        <v>621</v>
      </c>
      <c r="C354" t="inlineStr">
        <is>
          <t>GFF560R - Ma</t>
        </is>
      </c>
      <c r="D354" t="inlineStr">
        <is>
          <t>Coriander Marinated Chicken (Simmers) - 560 - Marination</t>
        </is>
      </c>
      <c r="E354" t="inlineStr">
        <is>
          <t>grams</t>
        </is>
      </c>
      <c r="F354" t="inlineStr">
        <is>
          <t>child</t>
        </is>
      </c>
      <c r="G354" t="inlineStr">
        <is>
          <t>170000 from parent 170000 × BOM 164500 / batch_quantity 164500. Stock not applied.</t>
        </is>
      </c>
      <c r="H354" t="n">
        <v>1</v>
      </c>
      <c r="I354" t="inlineStr">
        <is>
          <t>scale_bom</t>
        </is>
      </c>
      <c r="J354" t="inlineStr">
        <is>
          <t>parent_gross × bom_qty / batch_quantity</t>
        </is>
      </c>
      <c r="K354" t="inlineStr">
        <is>
          <t>170000 × 164500 / 164500</t>
        </is>
      </c>
      <c r="L354" t="inlineStr">
        <is>
          <t>170000</t>
        </is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4</v>
      </c>
      <c r="B355" t="n">
        <v>621</v>
      </c>
      <c r="C355" t="inlineStr">
        <is>
          <t>GFF560R - Ma</t>
        </is>
      </c>
      <c r="D355" t="inlineStr">
        <is>
          <t>Coriander Marinated Chicken (Simmers) - 560 - Marination</t>
        </is>
      </c>
      <c r="E355" t="inlineStr">
        <is>
          <t>grams</t>
        </is>
      </c>
      <c r="F355" t="inlineStr">
        <is>
          <t>child</t>
        </is>
      </c>
      <c r="G355" t="inlineStr"/>
      <c r="H355" t="n">
        <v>2</v>
      </c>
      <c r="I355" t="inlineStr">
        <is>
          <t>gross</t>
        </is>
      </c>
      <c r="J355" t="inlineStr">
        <is>
          <t>net / recipe_yield</t>
        </is>
      </c>
      <c r="K355" t="inlineStr">
        <is>
          <t>170000 / 0.699 (recipe yield 69.9%)</t>
        </is>
      </c>
      <c r="L355" t="inlineStr">
        <is>
          <t>243204.5779685264663805436338</t>
        </is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4</v>
      </c>
      <c r="B356" t="n">
        <v>621</v>
      </c>
      <c r="C356" t="inlineStr">
        <is>
          <t>GFF560R - Ma</t>
        </is>
      </c>
      <c r="D356" t="inlineStr">
        <is>
          <t>Coriander Marinated Chicken (Simmers) - 560 - Marination</t>
        </is>
      </c>
      <c r="E356" t="inlineStr">
        <is>
          <t>grams</t>
        </is>
      </c>
      <c r="F356" t="inlineStr">
        <is>
          <t>child</t>
        </is>
      </c>
      <c r="G356" t="inlineStr"/>
      <c r="H356" t="n">
        <v>3</v>
      </c>
      <c r="I356" t="inlineStr">
        <is>
          <t>stock_net</t>
        </is>
      </c>
      <c r="J356" t="inlineStr"/>
      <c r="K356" t="inlineStr"/>
      <c r="L356" t="inlineStr"/>
      <c r="M356" t="b">
        <v>1</v>
      </c>
      <c r="N356" t="inlineStr">
        <is>
          <t>consider_stock=false</t>
        </is>
      </c>
      <c r="O356" t="inlineStr"/>
      <c r="P356" t="inlineStr"/>
      <c r="Q356" t="inlineStr"/>
      <c r="R356" t="inlineStr">
        <is>
          <t>170000</t>
        </is>
      </c>
      <c r="S356" t="inlineStr">
        <is>
          <t>243204.5779685264663805436338</t>
        </is>
      </c>
    </row>
    <row r="357">
      <c r="A357" t="n">
        <v>4</v>
      </c>
      <c r="B357" t="n">
        <v>824</v>
      </c>
      <c r="C357" t="inlineStr">
        <is>
          <t>AFFINITY-S1</t>
        </is>
      </c>
      <c r="D357" t="inlineStr">
        <is>
          <t>Water</t>
        </is>
      </c>
      <c r="E357" t="inlineStr">
        <is>
          <t>grams</t>
        </is>
      </c>
      <c r="F357" t="inlineStr">
        <is>
          <t>child</t>
        </is>
      </c>
      <c r="G357" t="inlineStr">
        <is>
          <t>98437.59843759843759843759842 from parent 163800.1638001638001638001638 × BOM 90000 / batch_quantity 149760. Stock not applied.</t>
        </is>
      </c>
      <c r="H357" t="n">
        <v>1</v>
      </c>
      <c r="I357" t="inlineStr">
        <is>
          <t>scale_bom</t>
        </is>
      </c>
      <c r="J357" t="inlineStr">
        <is>
          <t>parent_gross × bom_qty / batch_quantity</t>
        </is>
      </c>
      <c r="K357" t="inlineStr">
        <is>
          <t>163800.1638001638001638001638 × 90000 / 149760</t>
        </is>
      </c>
      <c r="L357" t="inlineStr">
        <is>
          <t>98437.59843759843759843759842</t>
        </is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4</v>
      </c>
      <c r="B358" t="n">
        <v>824</v>
      </c>
      <c r="C358" t="inlineStr">
        <is>
          <t>AFFINITY-S1</t>
        </is>
      </c>
      <c r="D358" t="inlineStr">
        <is>
          <t>Water</t>
        </is>
      </c>
      <c r="E358" t="inlineStr">
        <is>
          <t>grams</t>
        </is>
      </c>
      <c r="F358" t="inlineStr">
        <is>
          <t>child</t>
        </is>
      </c>
      <c r="G358" t="inlineStr"/>
      <c r="H358" t="n">
        <v>2</v>
      </c>
      <c r="I358" t="inlineStr">
        <is>
          <t>gross</t>
        </is>
      </c>
      <c r="J358" t="inlineStr">
        <is>
          <t>net / recipe_yield</t>
        </is>
      </c>
      <c r="K358" t="inlineStr">
        <is>
          <t>98437.59843759843759843759842 / 1 (recipe yield 100%)</t>
        </is>
      </c>
      <c r="L358" t="inlineStr">
        <is>
          <t>98437.59843759843759843759842</t>
        </is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4</v>
      </c>
      <c r="B359" t="n">
        <v>824</v>
      </c>
      <c r="C359" t="inlineStr">
        <is>
          <t>AFFINITY-S1</t>
        </is>
      </c>
      <c r="D359" t="inlineStr">
        <is>
          <t>Water</t>
        </is>
      </c>
      <c r="E359" t="inlineStr">
        <is>
          <t>grams</t>
        </is>
      </c>
      <c r="F359" t="inlineStr">
        <is>
          <t>child</t>
        </is>
      </c>
      <c r="G359" t="inlineStr"/>
      <c r="H359" t="n">
        <v>3</v>
      </c>
      <c r="I359" t="inlineStr">
        <is>
          <t>stock_net</t>
        </is>
      </c>
      <c r="J359" t="inlineStr"/>
      <c r="K359" t="inlineStr"/>
      <c r="L359" t="inlineStr"/>
      <c r="M359" t="b">
        <v>1</v>
      </c>
      <c r="N359" t="inlineStr">
        <is>
          <t>consider_stock=false</t>
        </is>
      </c>
      <c r="O359" t="inlineStr"/>
      <c r="P359" t="inlineStr"/>
      <c r="Q359" t="inlineStr"/>
      <c r="R359" t="inlineStr">
        <is>
          <t>98437.59843759843759843759842</t>
        </is>
      </c>
      <c r="S359" t="inlineStr">
        <is>
          <t>98437.59843759843759843759842</t>
        </is>
      </c>
    </row>
    <row r="360">
      <c r="A360" t="n">
        <v>4</v>
      </c>
      <c r="B360" t="n">
        <v>274</v>
      </c>
      <c r="C360" t="inlineStr">
        <is>
          <t>INGRAD-07</t>
        </is>
      </c>
      <c r="D360" t="inlineStr">
        <is>
          <t>BASMATI RICE</t>
        </is>
      </c>
      <c r="E360" t="inlineStr">
        <is>
          <t>grams</t>
        </is>
      </c>
      <c r="F360" t="inlineStr">
        <is>
          <t>child</t>
        </is>
      </c>
      <c r="G360" t="inlineStr">
        <is>
          <t>49218.79921879921879921879922 from parent 163800.1638001638001638001638 × BOM 45000 / batch_quantity 149760. Stock not applied.</t>
        </is>
      </c>
      <c r="H360" t="n">
        <v>1</v>
      </c>
      <c r="I360" t="inlineStr">
        <is>
          <t>scale_bom</t>
        </is>
      </c>
      <c r="J360" t="inlineStr">
        <is>
          <t>parent_gross × bom_qty / batch_quantity</t>
        </is>
      </c>
      <c r="K360" t="inlineStr">
        <is>
          <t>163800.1638001638001638001638 × 45000 / 149760</t>
        </is>
      </c>
      <c r="L360" t="inlineStr">
        <is>
          <t>49218.79921879921879921879922</t>
        </is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4</v>
      </c>
      <c r="B361" t="n">
        <v>274</v>
      </c>
      <c r="C361" t="inlineStr">
        <is>
          <t>INGRAD-07</t>
        </is>
      </c>
      <c r="D361" t="inlineStr">
        <is>
          <t>BASMATI RICE</t>
        </is>
      </c>
      <c r="E361" t="inlineStr">
        <is>
          <t>grams</t>
        </is>
      </c>
      <c r="F361" t="inlineStr">
        <is>
          <t>child</t>
        </is>
      </c>
      <c r="G361" t="inlineStr"/>
      <c r="H361" t="n">
        <v>2</v>
      </c>
      <c r="I361" t="inlineStr">
        <is>
          <t>gross</t>
        </is>
      </c>
      <c r="J361" t="inlineStr">
        <is>
          <t>net / recipe_yield</t>
        </is>
      </c>
      <c r="K361" t="inlineStr">
        <is>
          <t>49218.79921879921879921879922 / 1 (recipe yield 100%)</t>
        </is>
      </c>
      <c r="L361" t="inlineStr">
        <is>
          <t>49218.79921879921879921879922</t>
        </is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4</v>
      </c>
      <c r="B362" t="n">
        <v>274</v>
      </c>
      <c r="C362" t="inlineStr">
        <is>
          <t>INGRAD-07</t>
        </is>
      </c>
      <c r="D362" t="inlineStr">
        <is>
          <t>BASMATI RICE</t>
        </is>
      </c>
      <c r="E362" t="inlineStr">
        <is>
          <t>grams</t>
        </is>
      </c>
      <c r="F362" t="inlineStr">
        <is>
          <t>child</t>
        </is>
      </c>
      <c r="G362" t="inlineStr"/>
      <c r="H362" t="n">
        <v>3</v>
      </c>
      <c r="I362" t="inlineStr">
        <is>
          <t>stock_net</t>
        </is>
      </c>
      <c r="J362" t="inlineStr"/>
      <c r="K362" t="inlineStr"/>
      <c r="L362" t="inlineStr"/>
      <c r="M362" t="b">
        <v>1</v>
      </c>
      <c r="N362" t="inlineStr">
        <is>
          <t>consider_stock=false</t>
        </is>
      </c>
      <c r="O362" t="inlineStr"/>
      <c r="P362" t="inlineStr"/>
      <c r="Q362" t="inlineStr"/>
      <c r="R362" t="inlineStr">
        <is>
          <t>49218.79921879921879921879922</t>
        </is>
      </c>
      <c r="S362" t="inlineStr">
        <is>
          <t>49218.79921879921879921879922</t>
        </is>
      </c>
    </row>
    <row r="363">
      <c r="A363" t="n">
        <v>4</v>
      </c>
      <c r="B363" t="n">
        <v>17</v>
      </c>
      <c r="C363" t="inlineStr">
        <is>
          <t>VEGFRO-06</t>
        </is>
      </c>
      <c r="D363" t="inlineStr">
        <is>
          <t>SPRING ONION CHOPPED 4MM (FROZEN)</t>
        </is>
      </c>
      <c r="E363" t="inlineStr">
        <is>
          <t>grams</t>
        </is>
      </c>
      <c r="F363" t="inlineStr">
        <is>
          <t>child</t>
        </is>
      </c>
      <c r="G363" t="inlineStr">
        <is>
          <t>4921.879921879921879921879922 from parent 163800.1638001638001638001638 × BOM 4500 / batch_quantity 149760. Stock not applied.</t>
        </is>
      </c>
      <c r="H363" t="n">
        <v>1</v>
      </c>
      <c r="I363" t="inlineStr">
        <is>
          <t>scale_bom</t>
        </is>
      </c>
      <c r="J363" t="inlineStr">
        <is>
          <t>parent_gross × bom_qty / batch_quantity</t>
        </is>
      </c>
      <c r="K363" t="inlineStr">
        <is>
          <t>163800.1638001638001638001638 × 4500 / 149760</t>
        </is>
      </c>
      <c r="L363" t="inlineStr">
        <is>
          <t>4921.879921879921879921879922</t>
        </is>
      </c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4</v>
      </c>
      <c r="B364" t="n">
        <v>17</v>
      </c>
      <c r="C364" t="inlineStr">
        <is>
          <t>VEGFRO-06</t>
        </is>
      </c>
      <c r="D364" t="inlineStr">
        <is>
          <t>SPRING ONION CHOPPED 4MM (FROZEN)</t>
        </is>
      </c>
      <c r="E364" t="inlineStr">
        <is>
          <t>grams</t>
        </is>
      </c>
      <c r="F364" t="inlineStr">
        <is>
          <t>child</t>
        </is>
      </c>
      <c r="G364" t="inlineStr"/>
      <c r="H364" t="n">
        <v>2</v>
      </c>
      <c r="I364" t="inlineStr">
        <is>
          <t>gross</t>
        </is>
      </c>
      <c r="J364" t="inlineStr">
        <is>
          <t>net / recipe_yield</t>
        </is>
      </c>
      <c r="K364" t="inlineStr">
        <is>
          <t>4921.879921879921879921879922 / 1 (recipe yield 100%)</t>
        </is>
      </c>
      <c r="L364" t="inlineStr">
        <is>
          <t>4921.879921879921879921879922</t>
        </is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4</v>
      </c>
      <c r="B365" t="n">
        <v>17</v>
      </c>
      <c r="C365" t="inlineStr">
        <is>
          <t>VEGFRO-06</t>
        </is>
      </c>
      <c r="D365" t="inlineStr">
        <is>
          <t>SPRING ONION CHOPPED 4MM (FROZEN)</t>
        </is>
      </c>
      <c r="E365" t="inlineStr">
        <is>
          <t>grams</t>
        </is>
      </c>
      <c r="F365" t="inlineStr">
        <is>
          <t>child</t>
        </is>
      </c>
      <c r="G365" t="inlineStr"/>
      <c r="H365" t="n">
        <v>3</v>
      </c>
      <c r="I365" t="inlineStr">
        <is>
          <t>stock_net</t>
        </is>
      </c>
      <c r="J365" t="inlineStr"/>
      <c r="K365" t="inlineStr"/>
      <c r="L365" t="inlineStr"/>
      <c r="M365" t="b">
        <v>1</v>
      </c>
      <c r="N365" t="inlineStr">
        <is>
          <t>consider_stock=false</t>
        </is>
      </c>
      <c r="O365" t="inlineStr"/>
      <c r="P365" t="inlineStr"/>
      <c r="Q365" t="inlineStr"/>
      <c r="R365" t="inlineStr">
        <is>
          <t>4921.879921879921879921879922</t>
        </is>
      </c>
      <c r="S365" t="inlineStr">
        <is>
          <t>4921.879921879921879921879922</t>
        </is>
      </c>
    </row>
    <row r="366">
      <c r="A366" t="n">
        <v>4</v>
      </c>
      <c r="B366" t="n">
        <v>213</v>
      </c>
      <c r="C366" t="inlineStr">
        <is>
          <t>INGRAD-38</t>
        </is>
      </c>
      <c r="D366" t="inlineStr">
        <is>
          <t>OLIVE OIL</t>
        </is>
      </c>
      <c r="E366" t="inlineStr">
        <is>
          <t>grams</t>
        </is>
      </c>
      <c r="F366" t="inlineStr">
        <is>
          <t>child</t>
        </is>
      </c>
      <c r="G366" t="inlineStr">
        <is>
          <t>2953.127953127953127953127953 from parent 163800.1638001638001638001638 × BOM 2700 / batch_quantity 149760. Stock not applied.</t>
        </is>
      </c>
      <c r="H366" t="n">
        <v>1</v>
      </c>
      <c r="I366" t="inlineStr">
        <is>
          <t>scale_bom</t>
        </is>
      </c>
      <c r="J366" t="inlineStr">
        <is>
          <t>parent_gross × bom_qty / batch_quantity</t>
        </is>
      </c>
      <c r="K366" t="inlineStr">
        <is>
          <t>163800.1638001638001638001638 × 2700 / 149760</t>
        </is>
      </c>
      <c r="L366" t="inlineStr">
        <is>
          <t>2953.127953127953127953127953</t>
        </is>
      </c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4</v>
      </c>
      <c r="B367" t="n">
        <v>213</v>
      </c>
      <c r="C367" t="inlineStr">
        <is>
          <t>INGRAD-38</t>
        </is>
      </c>
      <c r="D367" t="inlineStr">
        <is>
          <t>OLIVE OIL</t>
        </is>
      </c>
      <c r="E367" t="inlineStr">
        <is>
          <t>grams</t>
        </is>
      </c>
      <c r="F367" t="inlineStr">
        <is>
          <t>child</t>
        </is>
      </c>
      <c r="G367" t="inlineStr"/>
      <c r="H367" t="n">
        <v>2</v>
      </c>
      <c r="I367" t="inlineStr">
        <is>
          <t>gross</t>
        </is>
      </c>
      <c r="J367" t="inlineStr">
        <is>
          <t>net / recipe_yield</t>
        </is>
      </c>
      <c r="K367" t="inlineStr">
        <is>
          <t>2953.127953127953127953127953 / 1 (recipe yield 100%)</t>
        </is>
      </c>
      <c r="L367" t="inlineStr">
        <is>
          <t>2953.127953127953127953127953</t>
        </is>
      </c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4</v>
      </c>
      <c r="B368" t="n">
        <v>213</v>
      </c>
      <c r="C368" t="inlineStr">
        <is>
          <t>INGRAD-38</t>
        </is>
      </c>
      <c r="D368" t="inlineStr">
        <is>
          <t>OLIVE OIL</t>
        </is>
      </c>
      <c r="E368" t="inlineStr">
        <is>
          <t>grams</t>
        </is>
      </c>
      <c r="F368" t="inlineStr">
        <is>
          <t>child</t>
        </is>
      </c>
      <c r="G368" t="inlineStr"/>
      <c r="H368" t="n">
        <v>3</v>
      </c>
      <c r="I368" t="inlineStr">
        <is>
          <t>stock_net</t>
        </is>
      </c>
      <c r="J368" t="inlineStr"/>
      <c r="K368" t="inlineStr"/>
      <c r="L368" t="inlineStr"/>
      <c r="M368" t="b">
        <v>1</v>
      </c>
      <c r="N368" t="inlineStr">
        <is>
          <t>consider_stock=false</t>
        </is>
      </c>
      <c r="O368" t="inlineStr"/>
      <c r="P368" t="inlineStr"/>
      <c r="Q368" t="inlineStr"/>
      <c r="R368" t="inlineStr">
        <is>
          <t>2953.127953127953127953127953</t>
        </is>
      </c>
      <c r="S368" t="inlineStr">
        <is>
          <t>2953.127953127953127953127953</t>
        </is>
      </c>
    </row>
    <row r="369">
      <c r="A369" t="n">
        <v>4</v>
      </c>
      <c r="B369" t="n">
        <v>10</v>
      </c>
      <c r="C369" t="inlineStr">
        <is>
          <t>VEGFRO-15</t>
        </is>
      </c>
      <c r="D369" t="inlineStr">
        <is>
          <t>GINGER PUREE (FROZEN)</t>
        </is>
      </c>
      <c r="E369" t="inlineStr">
        <is>
          <t>grams</t>
        </is>
      </c>
      <c r="F369" t="inlineStr">
        <is>
          <t>child</t>
        </is>
      </c>
      <c r="G369" t="inlineStr">
        <is>
          <t>1968.751968751968751968751968 from parent 163800.1638001638001638001638 × BOM 1800 / batch_quantity 149760. Stock not applied.</t>
        </is>
      </c>
      <c r="H369" t="n">
        <v>1</v>
      </c>
      <c r="I369" t="inlineStr">
        <is>
          <t>scale_bom</t>
        </is>
      </c>
      <c r="J369" t="inlineStr">
        <is>
          <t>parent_gross × bom_qty / batch_quantity</t>
        </is>
      </c>
      <c r="K369" t="inlineStr">
        <is>
          <t>163800.1638001638001638001638 × 1800 / 149760</t>
        </is>
      </c>
      <c r="L369" t="inlineStr">
        <is>
          <t>1968.751968751968751968751968</t>
        </is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4</v>
      </c>
      <c r="B370" t="n">
        <v>10</v>
      </c>
      <c r="C370" t="inlineStr">
        <is>
          <t>VEGFRO-15</t>
        </is>
      </c>
      <c r="D370" t="inlineStr">
        <is>
          <t>GINGER PUREE (FROZEN)</t>
        </is>
      </c>
      <c r="E370" t="inlineStr">
        <is>
          <t>grams</t>
        </is>
      </c>
      <c r="F370" t="inlineStr">
        <is>
          <t>child</t>
        </is>
      </c>
      <c r="G370" t="inlineStr"/>
      <c r="H370" t="n">
        <v>2</v>
      </c>
      <c r="I370" t="inlineStr">
        <is>
          <t>gross</t>
        </is>
      </c>
      <c r="J370" t="inlineStr">
        <is>
          <t>net / recipe_yield</t>
        </is>
      </c>
      <c r="K370" t="inlineStr">
        <is>
          <t>1968.751968751968751968751968 / 1 (recipe yield 100%)</t>
        </is>
      </c>
      <c r="L370" t="inlineStr">
        <is>
          <t>1968.751968751968751968751968</t>
        </is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4</v>
      </c>
      <c r="B371" t="n">
        <v>10</v>
      </c>
      <c r="C371" t="inlineStr">
        <is>
          <t>VEGFRO-15</t>
        </is>
      </c>
      <c r="D371" t="inlineStr">
        <is>
          <t>GINGER PUREE (FROZEN)</t>
        </is>
      </c>
      <c r="E371" t="inlineStr">
        <is>
          <t>grams</t>
        </is>
      </c>
      <c r="F371" t="inlineStr">
        <is>
          <t>child</t>
        </is>
      </c>
      <c r="G371" t="inlineStr"/>
      <c r="H371" t="n">
        <v>3</v>
      </c>
      <c r="I371" t="inlineStr">
        <is>
          <t>stock_net</t>
        </is>
      </c>
      <c r="J371" t="inlineStr"/>
      <c r="K371" t="inlineStr"/>
      <c r="L371" t="inlineStr"/>
      <c r="M371" t="b">
        <v>1</v>
      </c>
      <c r="N371" t="inlineStr">
        <is>
          <t>consider_stock=false</t>
        </is>
      </c>
      <c r="O371" t="inlineStr"/>
      <c r="P371" t="inlineStr"/>
      <c r="Q371" t="inlineStr"/>
      <c r="R371" t="inlineStr">
        <is>
          <t>1968.751968751968751968751968</t>
        </is>
      </c>
      <c r="S371" t="inlineStr">
        <is>
          <t>1968.751968751968751968751968</t>
        </is>
      </c>
    </row>
    <row r="372">
      <c r="A372" t="n">
        <v>4</v>
      </c>
      <c r="B372" t="n">
        <v>29</v>
      </c>
      <c r="C372" t="inlineStr">
        <is>
          <t>VEGFRO-11</t>
        </is>
      </c>
      <c r="D372" t="inlineStr">
        <is>
          <t>GARLIC PUREE (FROZEN)</t>
        </is>
      </c>
      <c r="E372" t="inlineStr">
        <is>
          <t>grams</t>
        </is>
      </c>
      <c r="F372" t="inlineStr">
        <is>
          <t>child</t>
        </is>
      </c>
      <c r="G372" t="inlineStr">
        <is>
          <t>1968.751968751968751968751968 from parent 163800.1638001638001638001638 × BOM 1800 / batch_quantity 149760. Stock not applied.</t>
        </is>
      </c>
      <c r="H372" t="n">
        <v>1</v>
      </c>
      <c r="I372" t="inlineStr">
        <is>
          <t>scale_bom</t>
        </is>
      </c>
      <c r="J372" t="inlineStr">
        <is>
          <t>parent_gross × bom_qty / batch_quantity</t>
        </is>
      </c>
      <c r="K372" t="inlineStr">
        <is>
          <t>163800.1638001638001638001638 × 1800 / 149760</t>
        </is>
      </c>
      <c r="L372" t="inlineStr">
        <is>
          <t>1968.751968751968751968751968</t>
        </is>
      </c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4</v>
      </c>
      <c r="B373" t="n">
        <v>29</v>
      </c>
      <c r="C373" t="inlineStr">
        <is>
          <t>VEGFRO-11</t>
        </is>
      </c>
      <c r="D373" t="inlineStr">
        <is>
          <t>GARLIC PUREE (FROZEN)</t>
        </is>
      </c>
      <c r="E373" t="inlineStr">
        <is>
          <t>grams</t>
        </is>
      </c>
      <c r="F373" t="inlineStr">
        <is>
          <t>child</t>
        </is>
      </c>
      <c r="G373" t="inlineStr"/>
      <c r="H373" t="n">
        <v>2</v>
      </c>
      <c r="I373" t="inlineStr">
        <is>
          <t>gross</t>
        </is>
      </c>
      <c r="J373" t="inlineStr">
        <is>
          <t>net / recipe_yield</t>
        </is>
      </c>
      <c r="K373" t="inlineStr">
        <is>
          <t>1968.751968751968751968751968 / 1 (recipe yield 100%)</t>
        </is>
      </c>
      <c r="L373" t="inlineStr">
        <is>
          <t>1968.751968751968751968751968</t>
        </is>
      </c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4</v>
      </c>
      <c r="B374" t="n">
        <v>29</v>
      </c>
      <c r="C374" t="inlineStr">
        <is>
          <t>VEGFRO-11</t>
        </is>
      </c>
      <c r="D374" t="inlineStr">
        <is>
          <t>GARLIC PUREE (FROZEN)</t>
        </is>
      </c>
      <c r="E374" t="inlineStr">
        <is>
          <t>grams</t>
        </is>
      </c>
      <c r="F374" t="inlineStr">
        <is>
          <t>child</t>
        </is>
      </c>
      <c r="G374" t="inlineStr"/>
      <c r="H374" t="n">
        <v>3</v>
      </c>
      <c r="I374" t="inlineStr">
        <is>
          <t>stock_net</t>
        </is>
      </c>
      <c r="J374" t="inlineStr"/>
      <c r="K374" t="inlineStr"/>
      <c r="L374" t="inlineStr"/>
      <c r="M374" t="b">
        <v>1</v>
      </c>
      <c r="N374" t="inlineStr">
        <is>
          <t>consider_stock=false</t>
        </is>
      </c>
      <c r="O374" t="inlineStr"/>
      <c r="P374" t="inlineStr"/>
      <c r="Q374" t="inlineStr"/>
      <c r="R374" t="inlineStr">
        <is>
          <t>1968.751968751968751968751968</t>
        </is>
      </c>
      <c r="S374" t="inlineStr">
        <is>
          <t>1968.751968751968751968751968</t>
        </is>
      </c>
    </row>
    <row r="375">
      <c r="A375" t="n">
        <v>4</v>
      </c>
      <c r="B375" t="n">
        <v>1530</v>
      </c>
      <c r="C375" t="inlineStr">
        <is>
          <t>GFF579R-S</t>
        </is>
      </c>
      <c r="D375" t="inlineStr">
        <is>
          <t>Thai Style Rice (Simmers) - 579 - Spices</t>
        </is>
      </c>
      <c r="E375" t="inlineStr">
        <is>
          <t>grams</t>
        </is>
      </c>
      <c r="F375" t="inlineStr">
        <is>
          <t>child</t>
        </is>
      </c>
      <c r="G375" t="inlineStr">
        <is>
          <t>4331.254331254331254331254331 from parent 163800.1638001638001638001638 × BOM 3960 / batch_quantity 149760. Stock not applied.</t>
        </is>
      </c>
      <c r="H375" t="n">
        <v>1</v>
      </c>
      <c r="I375" t="inlineStr">
        <is>
          <t>scale_bom</t>
        </is>
      </c>
      <c r="J375" t="inlineStr">
        <is>
          <t>parent_gross × bom_qty / batch_quantity</t>
        </is>
      </c>
      <c r="K375" t="inlineStr">
        <is>
          <t>163800.1638001638001638001638 × 3960 / 149760</t>
        </is>
      </c>
      <c r="L375" t="inlineStr">
        <is>
          <t>4331.254331254331254331254331</t>
        </is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4</v>
      </c>
      <c r="B376" t="n">
        <v>1530</v>
      </c>
      <c r="C376" t="inlineStr">
        <is>
          <t>GFF579R-S</t>
        </is>
      </c>
      <c r="D376" t="inlineStr">
        <is>
          <t>Thai Style Rice (Simmers) - 579 - Spices</t>
        </is>
      </c>
      <c r="E376" t="inlineStr">
        <is>
          <t>grams</t>
        </is>
      </c>
      <c r="F376" t="inlineStr">
        <is>
          <t>child</t>
        </is>
      </c>
      <c r="G376" t="inlineStr"/>
      <c r="H376" t="n">
        <v>2</v>
      </c>
      <c r="I376" t="inlineStr">
        <is>
          <t>gross</t>
        </is>
      </c>
      <c r="J376" t="inlineStr">
        <is>
          <t>net / recipe_yield</t>
        </is>
      </c>
      <c r="K376" t="inlineStr">
        <is>
          <t>4331.254331254331254331254331 / 1 (recipe yield 100%)</t>
        </is>
      </c>
      <c r="L376" t="inlineStr">
        <is>
          <t>4331.254331254331254331254331</t>
        </is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4</v>
      </c>
      <c r="B377" t="n">
        <v>1530</v>
      </c>
      <c r="C377" t="inlineStr">
        <is>
          <t>GFF579R-S</t>
        </is>
      </c>
      <c r="D377" t="inlineStr">
        <is>
          <t>Thai Style Rice (Simmers) - 579 - Spices</t>
        </is>
      </c>
      <c r="E377" t="inlineStr">
        <is>
          <t>grams</t>
        </is>
      </c>
      <c r="F377" t="inlineStr">
        <is>
          <t>child</t>
        </is>
      </c>
      <c r="G377" t="inlineStr"/>
      <c r="H377" t="n">
        <v>3</v>
      </c>
      <c r="I377" t="inlineStr">
        <is>
          <t>stock_net</t>
        </is>
      </c>
      <c r="J377" t="inlineStr"/>
      <c r="K377" t="inlineStr"/>
      <c r="L377" t="inlineStr"/>
      <c r="M377" t="b">
        <v>1</v>
      </c>
      <c r="N377" t="inlineStr">
        <is>
          <t>consider_stock=false</t>
        </is>
      </c>
      <c r="O377" t="inlineStr"/>
      <c r="P377" t="inlineStr"/>
      <c r="Q377" t="inlineStr"/>
      <c r="R377" t="inlineStr">
        <is>
          <t>4331.254331254331254331254331</t>
        </is>
      </c>
      <c r="S377" t="inlineStr">
        <is>
          <t>4331.254331254331254331254331</t>
        </is>
      </c>
    </row>
    <row r="378">
      <c r="A378" t="n">
        <v>4</v>
      </c>
      <c r="B378" t="n">
        <v>824</v>
      </c>
      <c r="C378" t="inlineStr">
        <is>
          <t>AFFINITY-S1</t>
        </is>
      </c>
      <c r="D378" t="inlineStr">
        <is>
          <t>Water</t>
        </is>
      </c>
      <c r="E378" t="inlineStr">
        <is>
          <t>grams</t>
        </is>
      </c>
      <c r="F378" t="inlineStr">
        <is>
          <t>child</t>
        </is>
      </c>
      <c r="G378" t="inlineStr">
        <is>
          <t>48834.83696399244687854956917 from parent 157537.5666505089675230247213 × BOM 43200 / batch_quantity 139360. Stock not applied.</t>
        </is>
      </c>
      <c r="H378" t="n">
        <v>1</v>
      </c>
      <c r="I378" t="inlineStr">
        <is>
          <t>scale_bom</t>
        </is>
      </c>
      <c r="J378" t="inlineStr">
        <is>
          <t>parent_gross × bom_qty / batch_quantity</t>
        </is>
      </c>
      <c r="K378" t="inlineStr">
        <is>
          <t>157537.5666505089675230247213 × 43200 / 139360</t>
        </is>
      </c>
      <c r="L378" t="inlineStr">
        <is>
          <t>48834.83696399244687854956917</t>
        </is>
      </c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4</v>
      </c>
      <c r="B379" t="n">
        <v>824</v>
      </c>
      <c r="C379" t="inlineStr">
        <is>
          <t>AFFINITY-S1</t>
        </is>
      </c>
      <c r="D379" t="inlineStr">
        <is>
          <t>Water</t>
        </is>
      </c>
      <c r="E379" t="inlineStr">
        <is>
          <t>grams</t>
        </is>
      </c>
      <c r="F379" t="inlineStr">
        <is>
          <t>child</t>
        </is>
      </c>
      <c r="G379" t="inlineStr"/>
      <c r="H379" t="n">
        <v>2</v>
      </c>
      <c r="I379" t="inlineStr">
        <is>
          <t>gross</t>
        </is>
      </c>
      <c r="J379" t="inlineStr">
        <is>
          <t>net / recipe_yield</t>
        </is>
      </c>
      <c r="K379" t="inlineStr">
        <is>
          <t>48834.83696399244687854956917 / 1 (recipe yield 100%)</t>
        </is>
      </c>
      <c r="L379" t="inlineStr">
        <is>
          <t>48834.83696399244687854956917</t>
        </is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4</v>
      </c>
      <c r="B380" t="n">
        <v>824</v>
      </c>
      <c r="C380" t="inlineStr">
        <is>
          <t>AFFINITY-S1</t>
        </is>
      </c>
      <c r="D380" t="inlineStr">
        <is>
          <t>Water</t>
        </is>
      </c>
      <c r="E380" t="inlineStr">
        <is>
          <t>grams</t>
        </is>
      </c>
      <c r="F380" t="inlineStr">
        <is>
          <t>child</t>
        </is>
      </c>
      <c r="G380" t="inlineStr"/>
      <c r="H380" t="n">
        <v>3</v>
      </c>
      <c r="I380" t="inlineStr">
        <is>
          <t>stock_net</t>
        </is>
      </c>
      <c r="J380" t="inlineStr"/>
      <c r="K380" t="inlineStr"/>
      <c r="L380" t="inlineStr"/>
      <c r="M380" t="b">
        <v>1</v>
      </c>
      <c r="N380" t="inlineStr">
        <is>
          <t>consider_stock=false</t>
        </is>
      </c>
      <c r="O380" t="inlineStr"/>
      <c r="P380" t="inlineStr"/>
      <c r="Q380" t="inlineStr"/>
      <c r="R380" t="inlineStr">
        <is>
          <t>48834.83696399244687854956917</t>
        </is>
      </c>
      <c r="S380" t="inlineStr">
        <is>
          <t>48834.83696399244687854956917</t>
        </is>
      </c>
    </row>
    <row r="381">
      <c r="A381" t="n">
        <v>4</v>
      </c>
      <c r="B381" t="n">
        <v>166</v>
      </c>
      <c r="C381" t="inlineStr">
        <is>
          <t>DAIRY0-01</t>
        </is>
      </c>
      <c r="D381" t="inlineStr">
        <is>
          <t>COCONUT MILK</t>
        </is>
      </c>
      <c r="E381" t="inlineStr">
        <is>
          <t>grams</t>
        </is>
      </c>
      <c r="F381" t="inlineStr">
        <is>
          <t>child</t>
        </is>
      </c>
      <c r="G381" t="inlineStr">
        <is>
          <t>45217.4416333263397023607122 from parent 157537.5666505089675230247213 × BOM 40000 / batch_quantity 139360. Stock not applied.</t>
        </is>
      </c>
      <c r="H381" t="n">
        <v>1</v>
      </c>
      <c r="I381" t="inlineStr">
        <is>
          <t>scale_bom</t>
        </is>
      </c>
      <c r="J381" t="inlineStr">
        <is>
          <t>parent_gross × bom_qty / batch_quantity</t>
        </is>
      </c>
      <c r="K381" t="inlineStr">
        <is>
          <t>157537.5666505089675230247213 × 40000 / 139360</t>
        </is>
      </c>
      <c r="L381" t="inlineStr">
        <is>
          <t>45217.4416333263397023607122</t>
        </is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4</v>
      </c>
      <c r="B382" t="n">
        <v>166</v>
      </c>
      <c r="C382" t="inlineStr">
        <is>
          <t>DAIRY0-01</t>
        </is>
      </c>
      <c r="D382" t="inlineStr">
        <is>
          <t>COCONUT MILK</t>
        </is>
      </c>
      <c r="E382" t="inlineStr">
        <is>
          <t>grams</t>
        </is>
      </c>
      <c r="F382" t="inlineStr">
        <is>
          <t>child</t>
        </is>
      </c>
      <c r="G382" t="inlineStr"/>
      <c r="H382" t="n">
        <v>2</v>
      </c>
      <c r="I382" t="inlineStr">
        <is>
          <t>gross</t>
        </is>
      </c>
      <c r="J382" t="inlineStr">
        <is>
          <t>net / recipe_yield</t>
        </is>
      </c>
      <c r="K382" t="inlineStr">
        <is>
          <t>45217.4416333263397023607122 / 1 (recipe yield 100%)</t>
        </is>
      </c>
      <c r="L382" t="inlineStr">
        <is>
          <t>45217.4416333263397023607122</t>
        </is>
      </c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4</v>
      </c>
      <c r="B383" t="n">
        <v>166</v>
      </c>
      <c r="C383" t="inlineStr">
        <is>
          <t>DAIRY0-01</t>
        </is>
      </c>
      <c r="D383" t="inlineStr">
        <is>
          <t>COCONUT MILK</t>
        </is>
      </c>
      <c r="E383" t="inlineStr">
        <is>
          <t>grams</t>
        </is>
      </c>
      <c r="F383" t="inlineStr">
        <is>
          <t>child</t>
        </is>
      </c>
      <c r="G383" t="inlineStr"/>
      <c r="H383" t="n">
        <v>3</v>
      </c>
      <c r="I383" t="inlineStr">
        <is>
          <t>stock_net</t>
        </is>
      </c>
      <c r="J383" t="inlineStr"/>
      <c r="K383" t="inlineStr"/>
      <c r="L383" t="inlineStr"/>
      <c r="M383" t="b">
        <v>1</v>
      </c>
      <c r="N383" t="inlineStr">
        <is>
          <t>consider_stock=false</t>
        </is>
      </c>
      <c r="O383" t="inlineStr"/>
      <c r="P383" t="inlineStr"/>
      <c r="Q383" t="inlineStr"/>
      <c r="R383" t="inlineStr">
        <is>
          <t>45217.4416333263397023607122</t>
        </is>
      </c>
      <c r="S383" t="inlineStr">
        <is>
          <t>45217.4416333263397023607122</t>
        </is>
      </c>
    </row>
    <row r="384">
      <c r="A384" t="n">
        <v>4</v>
      </c>
      <c r="B384" t="n">
        <v>15</v>
      </c>
      <c r="C384" t="inlineStr">
        <is>
          <t>VEGFRO-05</t>
        </is>
      </c>
      <c r="D384" t="inlineStr">
        <is>
          <t>RED PEPPER DICED 10MM (FROZEN)</t>
        </is>
      </c>
      <c r="E384" t="inlineStr">
        <is>
          <t>grams</t>
        </is>
      </c>
      <c r="F384" t="inlineStr">
        <is>
          <t>child</t>
        </is>
      </c>
      <c r="G384" t="inlineStr">
        <is>
          <t>18086.97665333053588094428488 from parent 157537.5666505089675230247213 × BOM 16000 / batch_quantity 139360. Stock not applied.</t>
        </is>
      </c>
      <c r="H384" t="n">
        <v>1</v>
      </c>
      <c r="I384" t="inlineStr">
        <is>
          <t>scale_bom</t>
        </is>
      </c>
      <c r="J384" t="inlineStr">
        <is>
          <t>parent_gross × bom_qty / batch_quantity</t>
        </is>
      </c>
      <c r="K384" t="inlineStr">
        <is>
          <t>157537.5666505089675230247213 × 16000 / 139360</t>
        </is>
      </c>
      <c r="L384" t="inlineStr">
        <is>
          <t>18086.97665333053588094428488</t>
        </is>
      </c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4</v>
      </c>
      <c r="B385" t="n">
        <v>15</v>
      </c>
      <c r="C385" t="inlineStr">
        <is>
          <t>VEGFRO-05</t>
        </is>
      </c>
      <c r="D385" t="inlineStr">
        <is>
          <t>RED PEPPER DICED 10MM (FROZEN)</t>
        </is>
      </c>
      <c r="E385" t="inlineStr">
        <is>
          <t>grams</t>
        </is>
      </c>
      <c r="F385" t="inlineStr">
        <is>
          <t>child</t>
        </is>
      </c>
      <c r="G385" t="inlineStr"/>
      <c r="H385" t="n">
        <v>2</v>
      </c>
      <c r="I385" t="inlineStr">
        <is>
          <t>gross</t>
        </is>
      </c>
      <c r="J385" t="inlineStr">
        <is>
          <t>net / recipe_yield</t>
        </is>
      </c>
      <c r="K385" t="inlineStr">
        <is>
          <t>18086.97665333053588094428488 / 1 (recipe yield 100%)</t>
        </is>
      </c>
      <c r="L385" t="inlineStr">
        <is>
          <t>18086.97665333053588094428488</t>
        </is>
      </c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4</v>
      </c>
      <c r="B386" t="n">
        <v>15</v>
      </c>
      <c r="C386" t="inlineStr">
        <is>
          <t>VEGFRO-05</t>
        </is>
      </c>
      <c r="D386" t="inlineStr">
        <is>
          <t>RED PEPPER DICED 10MM (FROZEN)</t>
        </is>
      </c>
      <c r="E386" t="inlineStr">
        <is>
          <t>grams</t>
        </is>
      </c>
      <c r="F386" t="inlineStr">
        <is>
          <t>child</t>
        </is>
      </c>
      <c r="G386" t="inlineStr"/>
      <c r="H386" t="n">
        <v>3</v>
      </c>
      <c r="I386" t="inlineStr">
        <is>
          <t>stock_net</t>
        </is>
      </c>
      <c r="J386" t="inlineStr"/>
      <c r="K386" t="inlineStr"/>
      <c r="L386" t="inlineStr"/>
      <c r="M386" t="b">
        <v>1</v>
      </c>
      <c r="N386" t="inlineStr">
        <is>
          <t>consider_stock=false</t>
        </is>
      </c>
      <c r="O386" t="inlineStr"/>
      <c r="P386" t="inlineStr"/>
      <c r="Q386" t="inlineStr"/>
      <c r="R386" t="inlineStr">
        <is>
          <t>18086.97665333053588094428488</t>
        </is>
      </c>
      <c r="S386" t="inlineStr">
        <is>
          <t>18086.97665333053588094428488</t>
        </is>
      </c>
    </row>
    <row r="387">
      <c r="A387" t="n">
        <v>4</v>
      </c>
      <c r="B387" t="n">
        <v>134</v>
      </c>
      <c r="C387" t="inlineStr">
        <is>
          <t>SAUCE0-07</t>
        </is>
      </c>
      <c r="D387" t="inlineStr">
        <is>
          <t>ONION PUREE</t>
        </is>
      </c>
      <c r="E387" t="inlineStr">
        <is>
          <t>grams</t>
        </is>
      </c>
      <c r="F387" t="inlineStr">
        <is>
          <t>child</t>
        </is>
      </c>
      <c r="G387" t="inlineStr">
        <is>
          <t>9043.488326665267940472142437 from parent 157537.5666505089675230247213 × BOM 8000 / batch_quantity 139360. Stock not applied.</t>
        </is>
      </c>
      <c r="H387" t="n">
        <v>1</v>
      </c>
      <c r="I387" t="inlineStr">
        <is>
          <t>scale_bom</t>
        </is>
      </c>
      <c r="J387" t="inlineStr">
        <is>
          <t>parent_gross × bom_qty / batch_quantity</t>
        </is>
      </c>
      <c r="K387" t="inlineStr">
        <is>
          <t>157537.5666505089675230247213 × 8000 / 139360</t>
        </is>
      </c>
      <c r="L387" t="inlineStr">
        <is>
          <t>9043.488326665267940472142437</t>
        </is>
      </c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4</v>
      </c>
      <c r="B388" t="n">
        <v>134</v>
      </c>
      <c r="C388" t="inlineStr">
        <is>
          <t>SAUCE0-07</t>
        </is>
      </c>
      <c r="D388" t="inlineStr">
        <is>
          <t>ONION PUREE</t>
        </is>
      </c>
      <c r="E388" t="inlineStr">
        <is>
          <t>grams</t>
        </is>
      </c>
      <c r="F388" t="inlineStr">
        <is>
          <t>child</t>
        </is>
      </c>
      <c r="G388" t="inlineStr"/>
      <c r="H388" t="n">
        <v>2</v>
      </c>
      <c r="I388" t="inlineStr">
        <is>
          <t>gross</t>
        </is>
      </c>
      <c r="J388" t="inlineStr">
        <is>
          <t>net / recipe_yield</t>
        </is>
      </c>
      <c r="K388" t="inlineStr">
        <is>
          <t>9043.488326665267940472142437 / 1 (recipe yield 100%)</t>
        </is>
      </c>
      <c r="L388" t="inlineStr">
        <is>
          <t>9043.488326665267940472142437</t>
        </is>
      </c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4</v>
      </c>
      <c r="B389" t="n">
        <v>134</v>
      </c>
      <c r="C389" t="inlineStr">
        <is>
          <t>SAUCE0-07</t>
        </is>
      </c>
      <c r="D389" t="inlineStr">
        <is>
          <t>ONION PUREE</t>
        </is>
      </c>
      <c r="E389" t="inlineStr">
        <is>
          <t>grams</t>
        </is>
      </c>
      <c r="F389" t="inlineStr">
        <is>
          <t>child</t>
        </is>
      </c>
      <c r="G389" t="inlineStr"/>
      <c r="H389" t="n">
        <v>3</v>
      </c>
      <c r="I389" t="inlineStr">
        <is>
          <t>stock_net</t>
        </is>
      </c>
      <c r="J389" t="inlineStr"/>
      <c r="K389" t="inlineStr"/>
      <c r="L389" t="inlineStr"/>
      <c r="M389" t="b">
        <v>1</v>
      </c>
      <c r="N389" t="inlineStr">
        <is>
          <t>consider_stock=false</t>
        </is>
      </c>
      <c r="O389" t="inlineStr"/>
      <c r="P389" t="inlineStr"/>
      <c r="Q389" t="inlineStr"/>
      <c r="R389" t="inlineStr">
        <is>
          <t>9043.488326665267940472142437</t>
        </is>
      </c>
      <c r="S389" t="inlineStr">
        <is>
          <t>9043.488326665267940472142437</t>
        </is>
      </c>
    </row>
    <row r="390">
      <c r="A390" t="n">
        <v>4</v>
      </c>
      <c r="B390" t="n">
        <v>17</v>
      </c>
      <c r="C390" t="inlineStr">
        <is>
          <t>VEGFRO-06</t>
        </is>
      </c>
      <c r="D390" t="inlineStr">
        <is>
          <t>SPRING ONION CHOPPED 4MM (FROZEN)</t>
        </is>
      </c>
      <c r="E390" t="inlineStr">
        <is>
          <t>grams</t>
        </is>
      </c>
      <c r="F390" t="inlineStr">
        <is>
          <t>child</t>
        </is>
      </c>
      <c r="G390" t="inlineStr">
        <is>
          <t>4521.74416333263397023607122 from parent 157537.5666505089675230247213 × BOM 4000 / batch_quantity 139360. Stock not applied.</t>
        </is>
      </c>
      <c r="H390" t="n">
        <v>1</v>
      </c>
      <c r="I390" t="inlineStr">
        <is>
          <t>scale_bom</t>
        </is>
      </c>
      <c r="J390" t="inlineStr">
        <is>
          <t>parent_gross × bom_qty / batch_quantity</t>
        </is>
      </c>
      <c r="K390" t="inlineStr">
        <is>
          <t>157537.5666505089675230247213 × 4000 / 139360</t>
        </is>
      </c>
      <c r="L390" t="inlineStr">
        <is>
          <t>4521.74416333263397023607122</t>
        </is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4</v>
      </c>
      <c r="B391" t="n">
        <v>17</v>
      </c>
      <c r="C391" t="inlineStr">
        <is>
          <t>VEGFRO-06</t>
        </is>
      </c>
      <c r="D391" t="inlineStr">
        <is>
          <t>SPRING ONION CHOPPED 4MM (FROZEN)</t>
        </is>
      </c>
      <c r="E391" t="inlineStr">
        <is>
          <t>grams</t>
        </is>
      </c>
      <c r="F391" t="inlineStr">
        <is>
          <t>child</t>
        </is>
      </c>
      <c r="G391" t="inlineStr"/>
      <c r="H391" t="n">
        <v>2</v>
      </c>
      <c r="I391" t="inlineStr">
        <is>
          <t>gross</t>
        </is>
      </c>
      <c r="J391" t="inlineStr">
        <is>
          <t>net / recipe_yield</t>
        </is>
      </c>
      <c r="K391" t="inlineStr">
        <is>
          <t>4521.74416333263397023607122 / 1 (recipe yield 100%)</t>
        </is>
      </c>
      <c r="L391" t="inlineStr">
        <is>
          <t>4521.74416333263397023607122</t>
        </is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4</v>
      </c>
      <c r="B392" t="n">
        <v>17</v>
      </c>
      <c r="C392" t="inlineStr">
        <is>
          <t>VEGFRO-06</t>
        </is>
      </c>
      <c r="D392" t="inlineStr">
        <is>
          <t>SPRING ONION CHOPPED 4MM (FROZEN)</t>
        </is>
      </c>
      <c r="E392" t="inlineStr">
        <is>
          <t>grams</t>
        </is>
      </c>
      <c r="F392" t="inlineStr">
        <is>
          <t>child</t>
        </is>
      </c>
      <c r="G392" t="inlineStr"/>
      <c r="H392" t="n">
        <v>3</v>
      </c>
      <c r="I392" t="inlineStr">
        <is>
          <t>stock_net</t>
        </is>
      </c>
      <c r="J392" t="inlineStr"/>
      <c r="K392" t="inlineStr"/>
      <c r="L392" t="inlineStr"/>
      <c r="M392" t="b">
        <v>1</v>
      </c>
      <c r="N392" t="inlineStr">
        <is>
          <t>consider_stock=false</t>
        </is>
      </c>
      <c r="O392" t="inlineStr"/>
      <c r="P392" t="inlineStr"/>
      <c r="Q392" t="inlineStr"/>
      <c r="R392" t="inlineStr">
        <is>
          <t>4521.74416333263397023607122</t>
        </is>
      </c>
      <c r="S392" t="inlineStr">
        <is>
          <t>4521.74416333263397023607122</t>
        </is>
      </c>
    </row>
    <row r="393">
      <c r="A393" t="n">
        <v>4</v>
      </c>
      <c r="B393" t="n">
        <v>48</v>
      </c>
      <c r="C393" t="inlineStr">
        <is>
          <t>SPICE0-03</t>
        </is>
      </c>
      <c r="D393" t="inlineStr">
        <is>
          <t>SUGAR</t>
        </is>
      </c>
      <c r="E393" t="inlineStr">
        <is>
          <t>grams</t>
        </is>
      </c>
      <c r="F393" t="inlineStr">
        <is>
          <t>child</t>
        </is>
      </c>
      <c r="G393" t="inlineStr">
        <is>
          <t>3617.395330666107176188856976 from parent 157537.5666505089675230247213 × BOM 3200 / batch_quantity 139360. Stock not applied.</t>
        </is>
      </c>
      <c r="H393" t="n">
        <v>1</v>
      </c>
      <c r="I393" t="inlineStr">
        <is>
          <t>scale_bom</t>
        </is>
      </c>
      <c r="J393" t="inlineStr">
        <is>
          <t>parent_gross × bom_qty / batch_quantity</t>
        </is>
      </c>
      <c r="K393" t="inlineStr">
        <is>
          <t>157537.5666505089675230247213 × 3200 / 139360</t>
        </is>
      </c>
      <c r="L393" t="inlineStr">
        <is>
          <t>3617.395330666107176188856976</t>
        </is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4</v>
      </c>
      <c r="B394" t="n">
        <v>48</v>
      </c>
      <c r="C394" t="inlineStr">
        <is>
          <t>SPICE0-03</t>
        </is>
      </c>
      <c r="D394" t="inlineStr">
        <is>
          <t>SUGAR</t>
        </is>
      </c>
      <c r="E394" t="inlineStr">
        <is>
          <t>grams</t>
        </is>
      </c>
      <c r="F394" t="inlineStr">
        <is>
          <t>child</t>
        </is>
      </c>
      <c r="G394" t="inlineStr"/>
      <c r="H394" t="n">
        <v>2</v>
      </c>
      <c r="I394" t="inlineStr">
        <is>
          <t>gross</t>
        </is>
      </c>
      <c r="J394" t="inlineStr">
        <is>
          <t>net / recipe_yield</t>
        </is>
      </c>
      <c r="K394" t="inlineStr">
        <is>
          <t>3617.395330666107176188856976 / 1 (recipe yield 100%)</t>
        </is>
      </c>
      <c r="L394" t="inlineStr">
        <is>
          <t>3617.395330666107176188856976</t>
        </is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4</v>
      </c>
      <c r="B395" t="n">
        <v>48</v>
      </c>
      <c r="C395" t="inlineStr">
        <is>
          <t>SPICE0-03</t>
        </is>
      </c>
      <c r="D395" t="inlineStr">
        <is>
          <t>SUGAR</t>
        </is>
      </c>
      <c r="E395" t="inlineStr">
        <is>
          <t>grams</t>
        </is>
      </c>
      <c r="F395" t="inlineStr">
        <is>
          <t>child</t>
        </is>
      </c>
      <c r="G395" t="inlineStr"/>
      <c r="H395" t="n">
        <v>3</v>
      </c>
      <c r="I395" t="inlineStr">
        <is>
          <t>stock_net</t>
        </is>
      </c>
      <c r="J395" t="inlineStr"/>
      <c r="K395" t="inlineStr"/>
      <c r="L395" t="inlineStr"/>
      <c r="M395" t="b">
        <v>1</v>
      </c>
      <c r="N395" t="inlineStr">
        <is>
          <t>consider_stock=false</t>
        </is>
      </c>
      <c r="O395" t="inlineStr"/>
      <c r="P395" t="inlineStr"/>
      <c r="Q395" t="inlineStr"/>
      <c r="R395" t="inlineStr">
        <is>
          <t>3617.395330666107176188856976</t>
        </is>
      </c>
      <c r="S395" t="inlineStr">
        <is>
          <t>3617.395330666107176188856976</t>
        </is>
      </c>
    </row>
    <row r="396">
      <c r="A396" t="n">
        <v>4</v>
      </c>
      <c r="B396" t="n">
        <v>213</v>
      </c>
      <c r="C396" t="inlineStr">
        <is>
          <t>INGRAD-38</t>
        </is>
      </c>
      <c r="D396" t="inlineStr">
        <is>
          <t>OLIVE OIL</t>
        </is>
      </c>
      <c r="E396" t="inlineStr">
        <is>
          <t>grams</t>
        </is>
      </c>
      <c r="F396" t="inlineStr">
        <is>
          <t>child</t>
        </is>
      </c>
      <c r="G396" t="inlineStr">
        <is>
          <t>2713.046497999580382141642732 from parent 157537.5666505089675230247213 × BOM 2400 / batch_quantity 139360. Stock not applied.</t>
        </is>
      </c>
      <c r="H396" t="n">
        <v>1</v>
      </c>
      <c r="I396" t="inlineStr">
        <is>
          <t>scale_bom</t>
        </is>
      </c>
      <c r="J396" t="inlineStr">
        <is>
          <t>parent_gross × bom_qty / batch_quantity</t>
        </is>
      </c>
      <c r="K396" t="inlineStr">
        <is>
          <t>157537.5666505089675230247213 × 2400 / 139360</t>
        </is>
      </c>
      <c r="L396" t="inlineStr">
        <is>
          <t>2713.046497999580382141642732</t>
        </is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4</v>
      </c>
      <c r="B397" t="n">
        <v>213</v>
      </c>
      <c r="C397" t="inlineStr">
        <is>
          <t>INGRAD-38</t>
        </is>
      </c>
      <c r="D397" t="inlineStr">
        <is>
          <t>OLIVE OIL</t>
        </is>
      </c>
      <c r="E397" t="inlineStr">
        <is>
          <t>grams</t>
        </is>
      </c>
      <c r="F397" t="inlineStr">
        <is>
          <t>child</t>
        </is>
      </c>
      <c r="G397" t="inlineStr"/>
      <c r="H397" t="n">
        <v>2</v>
      </c>
      <c r="I397" t="inlineStr">
        <is>
          <t>gross</t>
        </is>
      </c>
      <c r="J397" t="inlineStr">
        <is>
          <t>net / recipe_yield</t>
        </is>
      </c>
      <c r="K397" t="inlineStr">
        <is>
          <t>2713.046497999580382141642732 / 1 (recipe yield 100%)</t>
        </is>
      </c>
      <c r="L397" t="inlineStr">
        <is>
          <t>2713.046497999580382141642732</t>
        </is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4</v>
      </c>
      <c r="B398" t="n">
        <v>213</v>
      </c>
      <c r="C398" t="inlineStr">
        <is>
          <t>INGRAD-38</t>
        </is>
      </c>
      <c r="D398" t="inlineStr">
        <is>
          <t>OLIVE OIL</t>
        </is>
      </c>
      <c r="E398" t="inlineStr">
        <is>
          <t>grams</t>
        </is>
      </c>
      <c r="F398" t="inlineStr">
        <is>
          <t>child</t>
        </is>
      </c>
      <c r="G398" t="inlineStr"/>
      <c r="H398" t="n">
        <v>3</v>
      </c>
      <c r="I398" t="inlineStr">
        <is>
          <t>stock_net</t>
        </is>
      </c>
      <c r="J398" t="inlineStr"/>
      <c r="K398" t="inlineStr"/>
      <c r="L398" t="inlineStr"/>
      <c r="M398" t="b">
        <v>1</v>
      </c>
      <c r="N398" t="inlineStr">
        <is>
          <t>consider_stock=false</t>
        </is>
      </c>
      <c r="O398" t="inlineStr"/>
      <c r="P398" t="inlineStr"/>
      <c r="Q398" t="inlineStr"/>
      <c r="R398" t="inlineStr">
        <is>
          <t>2713.046497999580382141642732</t>
        </is>
      </c>
      <c r="S398" t="inlineStr">
        <is>
          <t>2713.046497999580382141642732</t>
        </is>
      </c>
    </row>
    <row r="399">
      <c r="A399" t="n">
        <v>4</v>
      </c>
      <c r="B399" t="n">
        <v>129</v>
      </c>
      <c r="C399" t="inlineStr">
        <is>
          <t>SAUCE0-03</t>
        </is>
      </c>
      <c r="D399" t="inlineStr">
        <is>
          <t>TOMATO PASTE</t>
        </is>
      </c>
      <c r="E399" t="inlineStr">
        <is>
          <t>grams</t>
        </is>
      </c>
      <c r="F399" t="inlineStr">
        <is>
          <t>child</t>
        </is>
      </c>
      <c r="G399" t="inlineStr">
        <is>
          <t>2713.046497999580382141642732 from parent 157537.5666505089675230247213 × BOM 2400 / batch_quantity 139360. Stock not applied.</t>
        </is>
      </c>
      <c r="H399" t="n">
        <v>1</v>
      </c>
      <c r="I399" t="inlineStr">
        <is>
          <t>scale_bom</t>
        </is>
      </c>
      <c r="J399" t="inlineStr">
        <is>
          <t>parent_gross × bom_qty / batch_quantity</t>
        </is>
      </c>
      <c r="K399" t="inlineStr">
        <is>
          <t>157537.5666505089675230247213 × 2400 / 139360</t>
        </is>
      </c>
      <c r="L399" t="inlineStr">
        <is>
          <t>2713.046497999580382141642732</t>
        </is>
      </c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4</v>
      </c>
      <c r="B400" t="n">
        <v>129</v>
      </c>
      <c r="C400" t="inlineStr">
        <is>
          <t>SAUCE0-03</t>
        </is>
      </c>
      <c r="D400" t="inlineStr">
        <is>
          <t>TOMATO PASTE</t>
        </is>
      </c>
      <c r="E400" t="inlineStr">
        <is>
          <t>grams</t>
        </is>
      </c>
      <c r="F400" t="inlineStr">
        <is>
          <t>child</t>
        </is>
      </c>
      <c r="G400" t="inlineStr"/>
      <c r="H400" t="n">
        <v>2</v>
      </c>
      <c r="I400" t="inlineStr">
        <is>
          <t>gross</t>
        </is>
      </c>
      <c r="J400" t="inlineStr">
        <is>
          <t>net / recipe_yield</t>
        </is>
      </c>
      <c r="K400" t="inlineStr">
        <is>
          <t>2713.046497999580382141642732 / 1 (recipe yield 100%)</t>
        </is>
      </c>
      <c r="L400" t="inlineStr">
        <is>
          <t>2713.046497999580382141642732</t>
        </is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4</v>
      </c>
      <c r="B401" t="n">
        <v>129</v>
      </c>
      <c r="C401" t="inlineStr">
        <is>
          <t>SAUCE0-03</t>
        </is>
      </c>
      <c r="D401" t="inlineStr">
        <is>
          <t>TOMATO PASTE</t>
        </is>
      </c>
      <c r="E401" t="inlineStr">
        <is>
          <t>grams</t>
        </is>
      </c>
      <c r="F401" t="inlineStr">
        <is>
          <t>child</t>
        </is>
      </c>
      <c r="G401" t="inlineStr"/>
      <c r="H401" t="n">
        <v>3</v>
      </c>
      <c r="I401" t="inlineStr">
        <is>
          <t>stock_net</t>
        </is>
      </c>
      <c r="J401" t="inlineStr"/>
      <c r="K401" t="inlineStr"/>
      <c r="L401" t="inlineStr"/>
      <c r="M401" t="b">
        <v>1</v>
      </c>
      <c r="N401" t="inlineStr">
        <is>
          <t>consider_stock=false</t>
        </is>
      </c>
      <c r="O401" t="inlineStr"/>
      <c r="P401" t="inlineStr"/>
      <c r="Q401" t="inlineStr"/>
      <c r="R401" t="inlineStr">
        <is>
          <t>2713.046497999580382141642732</t>
        </is>
      </c>
      <c r="S401" t="inlineStr">
        <is>
          <t>2713.046497999580382141642732</t>
        </is>
      </c>
    </row>
    <row r="402">
      <c r="A402" t="n">
        <v>4</v>
      </c>
      <c r="B402" t="n">
        <v>10</v>
      </c>
      <c r="C402" t="inlineStr">
        <is>
          <t>VEGFRO-15</t>
        </is>
      </c>
      <c r="D402" t="inlineStr">
        <is>
          <t>GINGER PUREE (FROZEN)</t>
        </is>
      </c>
      <c r="E402" t="inlineStr">
        <is>
          <t>grams</t>
        </is>
      </c>
      <c r="F402" t="inlineStr">
        <is>
          <t>child</t>
        </is>
      </c>
      <c r="G402" t="inlineStr">
        <is>
          <t>1808.697665333053588094428488 from parent 157537.5666505089675230247213 × BOM 1600 / batch_quantity 139360. Stock not applied.</t>
        </is>
      </c>
      <c r="H402" t="n">
        <v>1</v>
      </c>
      <c r="I402" t="inlineStr">
        <is>
          <t>scale_bom</t>
        </is>
      </c>
      <c r="J402" t="inlineStr">
        <is>
          <t>parent_gross × bom_qty / batch_quantity</t>
        </is>
      </c>
      <c r="K402" t="inlineStr">
        <is>
          <t>157537.5666505089675230247213 × 1600 / 139360</t>
        </is>
      </c>
      <c r="L402" t="inlineStr">
        <is>
          <t>1808.697665333053588094428488</t>
        </is>
      </c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</v>
      </c>
      <c r="B403" t="n">
        <v>10</v>
      </c>
      <c r="C403" t="inlineStr">
        <is>
          <t>VEGFRO-15</t>
        </is>
      </c>
      <c r="D403" t="inlineStr">
        <is>
          <t>GINGER PUREE (FROZEN)</t>
        </is>
      </c>
      <c r="E403" t="inlineStr">
        <is>
          <t>grams</t>
        </is>
      </c>
      <c r="F403" t="inlineStr">
        <is>
          <t>child</t>
        </is>
      </c>
      <c r="G403" t="inlineStr"/>
      <c r="H403" t="n">
        <v>2</v>
      </c>
      <c r="I403" t="inlineStr">
        <is>
          <t>gross</t>
        </is>
      </c>
      <c r="J403" t="inlineStr">
        <is>
          <t>net / recipe_yield</t>
        </is>
      </c>
      <c r="K403" t="inlineStr">
        <is>
          <t>1808.697665333053588094428488 / 1 (recipe yield 100%)</t>
        </is>
      </c>
      <c r="L403" t="inlineStr">
        <is>
          <t>1808.697665333053588094428488</t>
        </is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</v>
      </c>
      <c r="B404" t="n">
        <v>10</v>
      </c>
      <c r="C404" t="inlineStr">
        <is>
          <t>VEGFRO-15</t>
        </is>
      </c>
      <c r="D404" t="inlineStr">
        <is>
          <t>GINGER PUREE (FROZEN)</t>
        </is>
      </c>
      <c r="E404" t="inlineStr">
        <is>
          <t>grams</t>
        </is>
      </c>
      <c r="F404" t="inlineStr">
        <is>
          <t>child</t>
        </is>
      </c>
      <c r="G404" t="inlineStr"/>
      <c r="H404" t="n">
        <v>3</v>
      </c>
      <c r="I404" t="inlineStr">
        <is>
          <t>stock_net</t>
        </is>
      </c>
      <c r="J404" t="inlineStr"/>
      <c r="K404" t="inlineStr"/>
      <c r="L404" t="inlineStr"/>
      <c r="M404" t="b">
        <v>1</v>
      </c>
      <c r="N404" t="inlineStr">
        <is>
          <t>consider_stock=false</t>
        </is>
      </c>
      <c r="O404" t="inlineStr"/>
      <c r="P404" t="inlineStr"/>
      <c r="Q404" t="inlineStr"/>
      <c r="R404" t="inlineStr">
        <is>
          <t>1808.697665333053588094428488</t>
        </is>
      </c>
      <c r="S404" t="inlineStr">
        <is>
          <t>1808.697665333053588094428488</t>
        </is>
      </c>
    </row>
    <row r="405">
      <c r="A405" t="n">
        <v>4</v>
      </c>
      <c r="B405" t="n">
        <v>29</v>
      </c>
      <c r="C405" t="inlineStr">
        <is>
          <t>VEGFRO-11</t>
        </is>
      </c>
      <c r="D405" t="inlineStr">
        <is>
          <t>GARLIC PUREE (FROZEN)</t>
        </is>
      </c>
      <c r="E405" t="inlineStr">
        <is>
          <t>grams</t>
        </is>
      </c>
      <c r="F405" t="inlineStr">
        <is>
          <t>child</t>
        </is>
      </c>
      <c r="G405" t="inlineStr">
        <is>
          <t>1808.697665333053588094428488 from parent 157537.5666505089675230247213 × BOM 1600 / batch_quantity 139360. Stock not applied.</t>
        </is>
      </c>
      <c r="H405" t="n">
        <v>1</v>
      </c>
      <c r="I405" t="inlineStr">
        <is>
          <t>scale_bom</t>
        </is>
      </c>
      <c r="J405" t="inlineStr">
        <is>
          <t>parent_gross × bom_qty / batch_quantity</t>
        </is>
      </c>
      <c r="K405" t="inlineStr">
        <is>
          <t>157537.5666505089675230247213 × 1600 / 139360</t>
        </is>
      </c>
      <c r="L405" t="inlineStr">
        <is>
          <t>1808.697665333053588094428488</t>
        </is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</v>
      </c>
      <c r="B406" t="n">
        <v>29</v>
      </c>
      <c r="C406" t="inlineStr">
        <is>
          <t>VEGFRO-11</t>
        </is>
      </c>
      <c r="D406" t="inlineStr">
        <is>
          <t>GARLIC PUREE (FROZEN)</t>
        </is>
      </c>
      <c r="E406" t="inlineStr">
        <is>
          <t>grams</t>
        </is>
      </c>
      <c r="F406" t="inlineStr">
        <is>
          <t>child</t>
        </is>
      </c>
      <c r="G406" t="inlineStr"/>
      <c r="H406" t="n">
        <v>2</v>
      </c>
      <c r="I406" t="inlineStr">
        <is>
          <t>gross</t>
        </is>
      </c>
      <c r="J406" t="inlineStr">
        <is>
          <t>net / recipe_yield</t>
        </is>
      </c>
      <c r="K406" t="inlineStr">
        <is>
          <t>1808.697665333053588094428488 / 1 (recipe yield 100%)</t>
        </is>
      </c>
      <c r="L406" t="inlineStr">
        <is>
          <t>1808.697665333053588094428488</t>
        </is>
      </c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</v>
      </c>
      <c r="B407" t="n">
        <v>29</v>
      </c>
      <c r="C407" t="inlineStr">
        <is>
          <t>VEGFRO-11</t>
        </is>
      </c>
      <c r="D407" t="inlineStr">
        <is>
          <t>GARLIC PUREE (FROZEN)</t>
        </is>
      </c>
      <c r="E407" t="inlineStr">
        <is>
          <t>grams</t>
        </is>
      </c>
      <c r="F407" t="inlineStr">
        <is>
          <t>child</t>
        </is>
      </c>
      <c r="G407" t="inlineStr"/>
      <c r="H407" t="n">
        <v>3</v>
      </c>
      <c r="I407" t="inlineStr">
        <is>
          <t>stock_net</t>
        </is>
      </c>
      <c r="J407" t="inlineStr"/>
      <c r="K407" t="inlineStr"/>
      <c r="L407" t="inlineStr"/>
      <c r="M407" t="b">
        <v>1</v>
      </c>
      <c r="N407" t="inlineStr">
        <is>
          <t>consider_stock=false</t>
        </is>
      </c>
      <c r="O407" t="inlineStr"/>
      <c r="P407" t="inlineStr"/>
      <c r="Q407" t="inlineStr"/>
      <c r="R407" t="inlineStr">
        <is>
          <t>1808.697665333053588094428488</t>
        </is>
      </c>
      <c r="S407" t="inlineStr">
        <is>
          <t>1808.697665333053588094428488</t>
        </is>
      </c>
    </row>
    <row r="408">
      <c r="A408" t="n">
        <v>4</v>
      </c>
      <c r="B408" t="n">
        <v>43</v>
      </c>
      <c r="C408" t="inlineStr">
        <is>
          <t>VEGFRO-28</t>
        </is>
      </c>
      <c r="D408" t="inlineStr">
        <is>
          <t>RED CHILLI PUREE (FROZEN)</t>
        </is>
      </c>
      <c r="E408" t="inlineStr">
        <is>
          <t>grams</t>
        </is>
      </c>
      <c r="F408" t="inlineStr">
        <is>
          <t>child</t>
        </is>
      </c>
      <c r="G408" t="inlineStr">
        <is>
          <t>1808.697665333053588094428488 from parent 157537.5666505089675230247213 × BOM 1600 / batch_quantity 139360. Stock not applied.</t>
        </is>
      </c>
      <c r="H408" t="n">
        <v>1</v>
      </c>
      <c r="I408" t="inlineStr">
        <is>
          <t>scale_bom</t>
        </is>
      </c>
      <c r="J408" t="inlineStr">
        <is>
          <t>parent_gross × bom_qty / batch_quantity</t>
        </is>
      </c>
      <c r="K408" t="inlineStr">
        <is>
          <t>157537.5666505089675230247213 × 1600 / 139360</t>
        </is>
      </c>
      <c r="L408" t="inlineStr">
        <is>
          <t>1808.697665333053588094428488</t>
        </is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</v>
      </c>
      <c r="B409" t="n">
        <v>43</v>
      </c>
      <c r="C409" t="inlineStr">
        <is>
          <t>VEGFRO-28</t>
        </is>
      </c>
      <c r="D409" t="inlineStr">
        <is>
          <t>RED CHILLI PUREE (FROZEN)</t>
        </is>
      </c>
      <c r="E409" t="inlineStr">
        <is>
          <t>grams</t>
        </is>
      </c>
      <c r="F409" t="inlineStr">
        <is>
          <t>child</t>
        </is>
      </c>
      <c r="G409" t="inlineStr"/>
      <c r="H409" t="n">
        <v>2</v>
      </c>
      <c r="I409" t="inlineStr">
        <is>
          <t>gross</t>
        </is>
      </c>
      <c r="J409" t="inlineStr">
        <is>
          <t>net / recipe_yield</t>
        </is>
      </c>
      <c r="K409" t="inlineStr">
        <is>
          <t>1808.697665333053588094428488 / 1 (recipe yield 100%)</t>
        </is>
      </c>
      <c r="L409" t="inlineStr">
        <is>
          <t>1808.697665333053588094428488</t>
        </is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</v>
      </c>
      <c r="B410" t="n">
        <v>43</v>
      </c>
      <c r="C410" t="inlineStr">
        <is>
          <t>VEGFRO-28</t>
        </is>
      </c>
      <c r="D410" t="inlineStr">
        <is>
          <t>RED CHILLI PUREE (FROZEN)</t>
        </is>
      </c>
      <c r="E410" t="inlineStr">
        <is>
          <t>grams</t>
        </is>
      </c>
      <c r="F410" t="inlineStr">
        <is>
          <t>child</t>
        </is>
      </c>
      <c r="G410" t="inlineStr"/>
      <c r="H410" t="n">
        <v>3</v>
      </c>
      <c r="I410" t="inlineStr">
        <is>
          <t>stock_net</t>
        </is>
      </c>
      <c r="J410" t="inlineStr"/>
      <c r="K410" t="inlineStr"/>
      <c r="L410" t="inlineStr"/>
      <c r="M410" t="b">
        <v>1</v>
      </c>
      <c r="N410" t="inlineStr">
        <is>
          <t>consider_stock=false</t>
        </is>
      </c>
      <c r="O410" t="inlineStr"/>
      <c r="P410" t="inlineStr"/>
      <c r="Q410" t="inlineStr"/>
      <c r="R410" t="inlineStr">
        <is>
          <t>1808.697665333053588094428488</t>
        </is>
      </c>
      <c r="S410" t="inlineStr">
        <is>
          <t>1808.697665333053588094428488</t>
        </is>
      </c>
    </row>
    <row r="411">
      <c r="A411" t="n">
        <v>4</v>
      </c>
      <c r="B411" t="n">
        <v>152</v>
      </c>
      <c r="C411" t="inlineStr">
        <is>
          <t>SAUCE0-25</t>
        </is>
      </c>
      <c r="D411" t="inlineStr">
        <is>
          <t>VINEGAR RICE</t>
        </is>
      </c>
      <c r="E411" t="inlineStr">
        <is>
          <t>grams</t>
        </is>
      </c>
      <c r="F411" t="inlineStr">
        <is>
          <t>child</t>
        </is>
      </c>
      <c r="G411" t="inlineStr">
        <is>
          <t>1808.697665333053588094428488 from parent 157537.5666505089675230247213 × BOM 1600 / batch_quantity 139360. Stock not applied.</t>
        </is>
      </c>
      <c r="H411" t="n">
        <v>1</v>
      </c>
      <c r="I411" t="inlineStr">
        <is>
          <t>scale_bom</t>
        </is>
      </c>
      <c r="J411" t="inlineStr">
        <is>
          <t>parent_gross × bom_qty / batch_quantity</t>
        </is>
      </c>
      <c r="K411" t="inlineStr">
        <is>
          <t>157537.5666505089675230247213 × 1600 / 139360</t>
        </is>
      </c>
      <c r="L411" t="inlineStr">
        <is>
          <t>1808.697665333053588094428488</t>
        </is>
      </c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</v>
      </c>
      <c r="B412" t="n">
        <v>152</v>
      </c>
      <c r="C412" t="inlineStr">
        <is>
          <t>SAUCE0-25</t>
        </is>
      </c>
      <c r="D412" t="inlineStr">
        <is>
          <t>VINEGAR RICE</t>
        </is>
      </c>
      <c r="E412" t="inlineStr">
        <is>
          <t>grams</t>
        </is>
      </c>
      <c r="F412" t="inlineStr">
        <is>
          <t>child</t>
        </is>
      </c>
      <c r="G412" t="inlineStr"/>
      <c r="H412" t="n">
        <v>2</v>
      </c>
      <c r="I412" t="inlineStr">
        <is>
          <t>gross</t>
        </is>
      </c>
      <c r="J412" t="inlineStr">
        <is>
          <t>net / recipe_yield</t>
        </is>
      </c>
      <c r="K412" t="inlineStr">
        <is>
          <t>1808.697665333053588094428488 / 1 (recipe yield 100%)</t>
        </is>
      </c>
      <c r="L412" t="inlineStr">
        <is>
          <t>1808.697665333053588094428488</t>
        </is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</v>
      </c>
      <c r="B413" t="n">
        <v>152</v>
      </c>
      <c r="C413" t="inlineStr">
        <is>
          <t>SAUCE0-25</t>
        </is>
      </c>
      <c r="D413" t="inlineStr">
        <is>
          <t>VINEGAR RICE</t>
        </is>
      </c>
      <c r="E413" t="inlineStr">
        <is>
          <t>grams</t>
        </is>
      </c>
      <c r="F413" t="inlineStr">
        <is>
          <t>child</t>
        </is>
      </c>
      <c r="G413" t="inlineStr"/>
      <c r="H413" t="n">
        <v>3</v>
      </c>
      <c r="I413" t="inlineStr">
        <is>
          <t>stock_net</t>
        </is>
      </c>
      <c r="J413" t="inlineStr"/>
      <c r="K413" t="inlineStr"/>
      <c r="L413" t="inlineStr"/>
      <c r="M413" t="b">
        <v>1</v>
      </c>
      <c r="N413" t="inlineStr">
        <is>
          <t>consider_stock=false</t>
        </is>
      </c>
      <c r="O413" t="inlineStr"/>
      <c r="P413" t="inlineStr"/>
      <c r="Q413" t="inlineStr"/>
      <c r="R413" t="inlineStr">
        <is>
          <t>1808.697665333053588094428488</t>
        </is>
      </c>
      <c r="S413" t="inlineStr">
        <is>
          <t>1808.697665333053588094428488</t>
        </is>
      </c>
    </row>
    <row r="414">
      <c r="A414" t="n">
        <v>4</v>
      </c>
      <c r="B414" t="n">
        <v>291</v>
      </c>
      <c r="C414" t="inlineStr">
        <is>
          <t>INGRAD-17</t>
        </is>
      </c>
      <c r="D414" t="inlineStr">
        <is>
          <t>CORN FLOUR</t>
        </is>
      </c>
      <c r="E414" t="inlineStr">
        <is>
          <t>grams</t>
        </is>
      </c>
      <c r="F414" t="inlineStr">
        <is>
          <t>child</t>
        </is>
      </c>
      <c r="G414" t="inlineStr">
        <is>
          <t>1808.697665333053588094428488 from parent 157537.5666505089675230247213 × BOM 1600 / batch_quantity 139360. Stock not applied.</t>
        </is>
      </c>
      <c r="H414" t="n">
        <v>1</v>
      </c>
      <c r="I414" t="inlineStr">
        <is>
          <t>scale_bom</t>
        </is>
      </c>
      <c r="J414" t="inlineStr">
        <is>
          <t>parent_gross × bom_qty / batch_quantity</t>
        </is>
      </c>
      <c r="K414" t="inlineStr">
        <is>
          <t>157537.5666505089675230247213 × 1600 / 139360</t>
        </is>
      </c>
      <c r="L414" t="inlineStr">
        <is>
          <t>1808.697665333053588094428488</t>
        </is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</v>
      </c>
      <c r="B415" t="n">
        <v>291</v>
      </c>
      <c r="C415" t="inlineStr">
        <is>
          <t>INGRAD-17</t>
        </is>
      </c>
      <c r="D415" t="inlineStr">
        <is>
          <t>CORN FLOUR</t>
        </is>
      </c>
      <c r="E415" t="inlineStr">
        <is>
          <t>grams</t>
        </is>
      </c>
      <c r="F415" t="inlineStr">
        <is>
          <t>child</t>
        </is>
      </c>
      <c r="G415" t="inlineStr"/>
      <c r="H415" t="n">
        <v>2</v>
      </c>
      <c r="I415" t="inlineStr">
        <is>
          <t>gross</t>
        </is>
      </c>
      <c r="J415" t="inlineStr">
        <is>
          <t>net / recipe_yield</t>
        </is>
      </c>
      <c r="K415" t="inlineStr">
        <is>
          <t>1808.697665333053588094428488 / 1 (recipe yield 100%)</t>
        </is>
      </c>
      <c r="L415" t="inlineStr">
        <is>
          <t>1808.697665333053588094428488</t>
        </is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</v>
      </c>
      <c r="B416" t="n">
        <v>291</v>
      </c>
      <c r="C416" t="inlineStr">
        <is>
          <t>INGRAD-17</t>
        </is>
      </c>
      <c r="D416" t="inlineStr">
        <is>
          <t>CORN FLOUR</t>
        </is>
      </c>
      <c r="E416" t="inlineStr">
        <is>
          <t>grams</t>
        </is>
      </c>
      <c r="F416" t="inlineStr">
        <is>
          <t>child</t>
        </is>
      </c>
      <c r="G416" t="inlineStr"/>
      <c r="H416" t="n">
        <v>3</v>
      </c>
      <c r="I416" t="inlineStr">
        <is>
          <t>stock_net</t>
        </is>
      </c>
      <c r="J416" t="inlineStr"/>
      <c r="K416" t="inlineStr"/>
      <c r="L416" t="inlineStr"/>
      <c r="M416" t="b">
        <v>1</v>
      </c>
      <c r="N416" t="inlineStr">
        <is>
          <t>consider_stock=false</t>
        </is>
      </c>
      <c r="O416" t="inlineStr"/>
      <c r="P416" t="inlineStr"/>
      <c r="Q416" t="inlineStr"/>
      <c r="R416" t="inlineStr">
        <is>
          <t>1808.697665333053588094428488</t>
        </is>
      </c>
      <c r="S416" t="inlineStr">
        <is>
          <t>1808.697665333053588094428488</t>
        </is>
      </c>
    </row>
    <row r="417">
      <c r="A417" t="n">
        <v>4</v>
      </c>
      <c r="B417" t="n">
        <v>1529</v>
      </c>
      <c r="C417" t="inlineStr">
        <is>
          <t>GFF578R-S</t>
        </is>
      </c>
      <c r="D417" t="inlineStr">
        <is>
          <t>Red Thai Curry Sauce (Simmers) - 578 - Spices</t>
        </is>
      </c>
      <c r="E417" t="inlineStr">
        <is>
          <t>grams</t>
        </is>
      </c>
      <c r="F417" t="inlineStr">
        <is>
          <t>child</t>
        </is>
      </c>
      <c r="G417" t="inlineStr">
        <is>
          <t>13746.10225653120726951765651 from parent 157537.5666505089675230247213 × BOM 12160 / batch_quantity 139360. Stock not applied.</t>
        </is>
      </c>
      <c r="H417" t="n">
        <v>1</v>
      </c>
      <c r="I417" t="inlineStr">
        <is>
          <t>scale_bom</t>
        </is>
      </c>
      <c r="J417" t="inlineStr">
        <is>
          <t>parent_gross × bom_qty / batch_quantity</t>
        </is>
      </c>
      <c r="K417" t="inlineStr">
        <is>
          <t>157537.5666505089675230247213 × 12160 / 139360</t>
        </is>
      </c>
      <c r="L417" t="inlineStr">
        <is>
          <t>13746.10225653120726951765651</t>
        </is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</v>
      </c>
      <c r="B418" t="n">
        <v>1529</v>
      </c>
      <c r="C418" t="inlineStr">
        <is>
          <t>GFF578R-S</t>
        </is>
      </c>
      <c r="D418" t="inlineStr">
        <is>
          <t>Red Thai Curry Sauce (Simmers) - 578 - Spices</t>
        </is>
      </c>
      <c r="E418" t="inlineStr">
        <is>
          <t>grams</t>
        </is>
      </c>
      <c r="F418" t="inlineStr">
        <is>
          <t>child</t>
        </is>
      </c>
      <c r="G418" t="inlineStr"/>
      <c r="H418" t="n">
        <v>2</v>
      </c>
      <c r="I418" t="inlineStr">
        <is>
          <t>gross</t>
        </is>
      </c>
      <c r="J418" t="inlineStr">
        <is>
          <t>net / recipe_yield</t>
        </is>
      </c>
      <c r="K418" t="inlineStr">
        <is>
          <t>13746.10225653120726951765651 / 1 (recipe yield 100%)</t>
        </is>
      </c>
      <c r="L418" t="inlineStr">
        <is>
          <t>13746.10225653120726951765651</t>
        </is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</v>
      </c>
      <c r="B419" t="n">
        <v>1529</v>
      </c>
      <c r="C419" t="inlineStr">
        <is>
          <t>GFF578R-S</t>
        </is>
      </c>
      <c r="D419" t="inlineStr">
        <is>
          <t>Red Thai Curry Sauce (Simmers) - 578 - Spices</t>
        </is>
      </c>
      <c r="E419" t="inlineStr">
        <is>
          <t>grams</t>
        </is>
      </c>
      <c r="F419" t="inlineStr">
        <is>
          <t>child</t>
        </is>
      </c>
      <c r="G419" t="inlineStr"/>
      <c r="H419" t="n">
        <v>3</v>
      </c>
      <c r="I419" t="inlineStr">
        <is>
          <t>stock_net</t>
        </is>
      </c>
      <c r="J419" t="inlineStr"/>
      <c r="K419" t="inlineStr"/>
      <c r="L419" t="inlineStr"/>
      <c r="M419" t="b">
        <v>1</v>
      </c>
      <c r="N419" t="inlineStr">
        <is>
          <t>consider_stock=false</t>
        </is>
      </c>
      <c r="O419" t="inlineStr"/>
      <c r="P419" t="inlineStr"/>
      <c r="Q419" t="inlineStr"/>
      <c r="R419" t="inlineStr">
        <is>
          <t>13746.10225653120726951765651</t>
        </is>
      </c>
      <c r="S419" t="inlineStr">
        <is>
          <t>13746.10225653120726951765651</t>
        </is>
      </c>
    </row>
    <row r="420">
      <c r="A420" t="n">
        <v>4</v>
      </c>
      <c r="B420" t="n">
        <v>31</v>
      </c>
      <c r="C420" t="inlineStr">
        <is>
          <t>VEGFRO-13</t>
        </is>
      </c>
      <c r="D420" t="inlineStr">
        <is>
          <t>RED PEPPER DICED 20MM (FROZEN)</t>
        </is>
      </c>
      <c r="E420" t="inlineStr">
        <is>
          <t>grams</t>
        </is>
      </c>
      <c r="F420" t="inlineStr">
        <is>
          <t>child</t>
        </is>
      </c>
      <c r="G420" t="inlineStr">
        <is>
          <t>61764.70588235294117647058825 from parent 123529.4117647058823529411765 × BOM 50000 / batch_quantity 100000. Stock not applied.</t>
        </is>
      </c>
      <c r="H420" t="n">
        <v>1</v>
      </c>
      <c r="I420" t="inlineStr">
        <is>
          <t>scale_bom</t>
        </is>
      </c>
      <c r="J420" t="inlineStr">
        <is>
          <t>parent_gross × bom_qty / batch_quantity</t>
        </is>
      </c>
      <c r="K420" t="inlineStr">
        <is>
          <t>123529.4117647058823529411765 × 50000 / 100000</t>
        </is>
      </c>
      <c r="L420" t="inlineStr">
        <is>
          <t>61764.70588235294117647058825</t>
        </is>
      </c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</v>
      </c>
      <c r="B421" t="n">
        <v>31</v>
      </c>
      <c r="C421" t="inlineStr">
        <is>
          <t>VEGFRO-13</t>
        </is>
      </c>
      <c r="D421" t="inlineStr">
        <is>
          <t>RED PEPPER DICED 20MM (FROZEN)</t>
        </is>
      </c>
      <c r="E421" t="inlineStr">
        <is>
          <t>grams</t>
        </is>
      </c>
      <c r="F421" t="inlineStr">
        <is>
          <t>child</t>
        </is>
      </c>
      <c r="G421" t="inlineStr"/>
      <c r="H421" t="n">
        <v>2</v>
      </c>
      <c r="I421" t="inlineStr">
        <is>
          <t>gross</t>
        </is>
      </c>
      <c r="J421" t="inlineStr">
        <is>
          <t>net / recipe_yield</t>
        </is>
      </c>
      <c r="K421" t="inlineStr">
        <is>
          <t>61764.70588235294117647058825 / 1 (recipe yield 100%)</t>
        </is>
      </c>
      <c r="L421" t="inlineStr">
        <is>
          <t>61764.70588235294117647058825</t>
        </is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</v>
      </c>
      <c r="B422" t="n">
        <v>31</v>
      </c>
      <c r="C422" t="inlineStr">
        <is>
          <t>VEGFRO-13</t>
        </is>
      </c>
      <c r="D422" t="inlineStr">
        <is>
          <t>RED PEPPER DICED 20MM (FROZEN)</t>
        </is>
      </c>
      <c r="E422" t="inlineStr">
        <is>
          <t>grams</t>
        </is>
      </c>
      <c r="F422" t="inlineStr">
        <is>
          <t>child</t>
        </is>
      </c>
      <c r="G422" t="inlineStr"/>
      <c r="H422" t="n">
        <v>3</v>
      </c>
      <c r="I422" t="inlineStr">
        <is>
          <t>stock_net</t>
        </is>
      </c>
      <c r="J422" t="inlineStr"/>
      <c r="K422" t="inlineStr"/>
      <c r="L422" t="inlineStr"/>
      <c r="M422" t="b">
        <v>1</v>
      </c>
      <c r="N422" t="inlineStr">
        <is>
          <t>consider_stock=false</t>
        </is>
      </c>
      <c r="O422" t="inlineStr"/>
      <c r="P422" t="inlineStr"/>
      <c r="Q422" t="inlineStr"/>
      <c r="R422" t="inlineStr">
        <is>
          <t>61764.70588235294117647058825</t>
        </is>
      </c>
      <c r="S422" t="inlineStr">
        <is>
          <t>61764.70588235294117647058825</t>
        </is>
      </c>
    </row>
    <row r="423">
      <c r="A423" t="n">
        <v>4</v>
      </c>
      <c r="B423" t="n">
        <v>1567</v>
      </c>
      <c r="C423" t="inlineStr">
        <is>
          <t>VEGFRO-66</t>
        </is>
      </c>
      <c r="D423" t="inlineStr">
        <is>
          <t>Carrot Baton 6 x 6 x 45mm</t>
        </is>
      </c>
      <c r="E423" t="inlineStr">
        <is>
          <t>grams</t>
        </is>
      </c>
      <c r="F423" t="inlineStr">
        <is>
          <t>child</t>
        </is>
      </c>
      <c r="G423" t="inlineStr">
        <is>
          <t>61764.70588235294117647058825 from parent 123529.4117647058823529411765 × BOM 50000 / batch_quantity 100000. Stock not applied.</t>
        </is>
      </c>
      <c r="H423" t="n">
        <v>1</v>
      </c>
      <c r="I423" t="inlineStr">
        <is>
          <t>scale_bom</t>
        </is>
      </c>
      <c r="J423" t="inlineStr">
        <is>
          <t>parent_gross × bom_qty / batch_quantity</t>
        </is>
      </c>
      <c r="K423" t="inlineStr">
        <is>
          <t>123529.4117647058823529411765 × 50000 / 100000</t>
        </is>
      </c>
      <c r="L423" t="inlineStr">
        <is>
          <t>61764.70588235294117647058825</t>
        </is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</v>
      </c>
      <c r="B424" t="n">
        <v>1567</v>
      </c>
      <c r="C424" t="inlineStr">
        <is>
          <t>VEGFRO-66</t>
        </is>
      </c>
      <c r="D424" t="inlineStr">
        <is>
          <t>Carrot Baton 6 x 6 x 45mm</t>
        </is>
      </c>
      <c r="E424" t="inlineStr">
        <is>
          <t>grams</t>
        </is>
      </c>
      <c r="F424" t="inlineStr">
        <is>
          <t>child</t>
        </is>
      </c>
      <c r="G424" t="inlineStr"/>
      <c r="H424" t="n">
        <v>2</v>
      </c>
      <c r="I424" t="inlineStr">
        <is>
          <t>gross</t>
        </is>
      </c>
      <c r="J424" t="inlineStr">
        <is>
          <t>net / recipe_yield</t>
        </is>
      </c>
      <c r="K424" t="inlineStr">
        <is>
          <t>61764.70588235294117647058825 / 1 (recipe yield 100%)</t>
        </is>
      </c>
      <c r="L424" t="inlineStr">
        <is>
          <t>61764.70588235294117647058825</t>
        </is>
      </c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</v>
      </c>
      <c r="B425" t="n">
        <v>1567</v>
      </c>
      <c r="C425" t="inlineStr">
        <is>
          <t>VEGFRO-66</t>
        </is>
      </c>
      <c r="D425" t="inlineStr">
        <is>
          <t>Carrot Baton 6 x 6 x 45mm</t>
        </is>
      </c>
      <c r="E425" t="inlineStr">
        <is>
          <t>grams</t>
        </is>
      </c>
      <c r="F425" t="inlineStr">
        <is>
          <t>child</t>
        </is>
      </c>
      <c r="G425" t="inlineStr"/>
      <c r="H425" t="n">
        <v>3</v>
      </c>
      <c r="I425" t="inlineStr">
        <is>
          <t>stock_net</t>
        </is>
      </c>
      <c r="J425" t="inlineStr"/>
      <c r="K425" t="inlineStr"/>
      <c r="L425" t="inlineStr"/>
      <c r="M425" t="b">
        <v>1</v>
      </c>
      <c r="N425" t="inlineStr">
        <is>
          <t>consider_stock=false</t>
        </is>
      </c>
      <c r="O425" t="inlineStr"/>
      <c r="P425" t="inlineStr"/>
      <c r="Q425" t="inlineStr"/>
      <c r="R425" t="inlineStr">
        <is>
          <t>61764.70588235294117647058825</t>
        </is>
      </c>
      <c r="S425" t="inlineStr">
        <is>
          <t>61764.70588235294117647058825</t>
        </is>
      </c>
    </row>
    <row r="426">
      <c r="A426" t="n">
        <v>5</v>
      </c>
      <c r="B426" t="n">
        <v>463</v>
      </c>
      <c r="C426" t="inlineStr">
        <is>
          <t>PROTEIN-37</t>
        </is>
      </c>
      <c r="D426" t="inlineStr">
        <is>
          <t>EU CHICKEN BREAST DICED 12-15g</t>
        </is>
      </c>
      <c r="E426" t="inlineStr">
        <is>
          <t>grams</t>
        </is>
      </c>
      <c r="F426" t="inlineStr">
        <is>
          <t>child</t>
        </is>
      </c>
      <c r="G426" t="inlineStr">
        <is>
          <t>717465.1096717166644186093231 from parent 809061.4886731391585760517799 × BOM 150000 / batch_quantity 169150. Stock not applied.</t>
        </is>
      </c>
      <c r="H426" t="n">
        <v>1</v>
      </c>
      <c r="I426" t="inlineStr">
        <is>
          <t>scale_bom</t>
        </is>
      </c>
      <c r="J426" t="inlineStr">
        <is>
          <t>parent_gross × bom_qty / batch_quantity</t>
        </is>
      </c>
      <c r="K426" t="inlineStr">
        <is>
          <t>809061.4886731391585760517799 × 150000 / 169150</t>
        </is>
      </c>
      <c r="L426" t="inlineStr">
        <is>
          <t>717465.1096717166644186093231</t>
        </is>
      </c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5</v>
      </c>
      <c r="B427" t="n">
        <v>463</v>
      </c>
      <c r="C427" t="inlineStr">
        <is>
          <t>PROTEIN-37</t>
        </is>
      </c>
      <c r="D427" t="inlineStr">
        <is>
          <t>EU CHICKEN BREAST DICED 12-15g</t>
        </is>
      </c>
      <c r="E427" t="inlineStr">
        <is>
          <t>grams</t>
        </is>
      </c>
      <c r="F427" t="inlineStr">
        <is>
          <t>child</t>
        </is>
      </c>
      <c r="G427" t="inlineStr"/>
      <c r="H427" t="n">
        <v>2</v>
      </c>
      <c r="I427" t="inlineStr">
        <is>
          <t>gross</t>
        </is>
      </c>
      <c r="J427" t="inlineStr">
        <is>
          <t>net / recipe_yield</t>
        </is>
      </c>
      <c r="K427" t="inlineStr">
        <is>
          <t>717465.1096717166644186093231 / 1 (recipe yield 100%)</t>
        </is>
      </c>
      <c r="L427" t="inlineStr">
        <is>
          <t>717465.1096717166644186093231</t>
        </is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5</v>
      </c>
      <c r="B428" t="n">
        <v>463</v>
      </c>
      <c r="C428" t="inlineStr">
        <is>
          <t>PROTEIN-37</t>
        </is>
      </c>
      <c r="D428" t="inlineStr">
        <is>
          <t>EU CHICKEN BREAST DICED 12-15g</t>
        </is>
      </c>
      <c r="E428" t="inlineStr">
        <is>
          <t>grams</t>
        </is>
      </c>
      <c r="F428" t="inlineStr">
        <is>
          <t>child</t>
        </is>
      </c>
      <c r="G428" t="inlineStr"/>
      <c r="H428" t="n">
        <v>3</v>
      </c>
      <c r="I428" t="inlineStr">
        <is>
          <t>stock_net</t>
        </is>
      </c>
      <c r="J428" t="inlineStr"/>
      <c r="K428" t="inlineStr"/>
      <c r="L428" t="inlineStr"/>
      <c r="M428" t="b">
        <v>1</v>
      </c>
      <c r="N428" t="inlineStr">
        <is>
          <t>consider_stock=false</t>
        </is>
      </c>
      <c r="O428" t="inlineStr"/>
      <c r="P428" t="inlineStr"/>
      <c r="Q428" t="inlineStr"/>
      <c r="R428" t="inlineStr">
        <is>
          <t>717465.1096717166644186093231</t>
        </is>
      </c>
      <c r="S428" t="inlineStr">
        <is>
          <t>717465.1096717166644186093231</t>
        </is>
      </c>
    </row>
    <row r="429">
      <c r="A429" t="n">
        <v>5</v>
      </c>
      <c r="B429" t="n">
        <v>213</v>
      </c>
      <c r="C429" t="inlineStr">
        <is>
          <t>INGRAD-38</t>
        </is>
      </c>
      <c r="D429" t="inlineStr">
        <is>
          <t>OLIVE OIL</t>
        </is>
      </c>
      <c r="E429" t="inlineStr">
        <is>
          <t>grams</t>
        </is>
      </c>
      <c r="F429" t="inlineStr">
        <is>
          <t>child</t>
        </is>
      </c>
      <c r="G429" t="inlineStr">
        <is>
          <t>28698.60438686866657674437292 from parent 809061.4886731391585760517799 × BOM 6000 / batch_quantity 169150. Stock not applied.</t>
        </is>
      </c>
      <c r="H429" t="n">
        <v>1</v>
      </c>
      <c r="I429" t="inlineStr">
        <is>
          <t>scale_bom</t>
        </is>
      </c>
      <c r="J429" t="inlineStr">
        <is>
          <t>parent_gross × bom_qty / batch_quantity</t>
        </is>
      </c>
      <c r="K429" t="inlineStr">
        <is>
          <t>809061.4886731391585760517799 × 6000 / 169150</t>
        </is>
      </c>
      <c r="L429" t="inlineStr">
        <is>
          <t>28698.60438686866657674437292</t>
        </is>
      </c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5</v>
      </c>
      <c r="B430" t="n">
        <v>213</v>
      </c>
      <c r="C430" t="inlineStr">
        <is>
          <t>INGRAD-38</t>
        </is>
      </c>
      <c r="D430" t="inlineStr">
        <is>
          <t>OLIVE OIL</t>
        </is>
      </c>
      <c r="E430" t="inlineStr">
        <is>
          <t>grams</t>
        </is>
      </c>
      <c r="F430" t="inlineStr">
        <is>
          <t>child</t>
        </is>
      </c>
      <c r="G430" t="inlineStr"/>
      <c r="H430" t="n">
        <v>2</v>
      </c>
      <c r="I430" t="inlineStr">
        <is>
          <t>gross</t>
        </is>
      </c>
      <c r="J430" t="inlineStr">
        <is>
          <t>net / recipe_yield</t>
        </is>
      </c>
      <c r="K430" t="inlineStr">
        <is>
          <t>28698.60438686866657674437292 / 1 (recipe yield 100%)</t>
        </is>
      </c>
      <c r="L430" t="inlineStr">
        <is>
          <t>28698.60438686866657674437292</t>
        </is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5</v>
      </c>
      <c r="B431" t="n">
        <v>213</v>
      </c>
      <c r="C431" t="inlineStr">
        <is>
          <t>INGRAD-38</t>
        </is>
      </c>
      <c r="D431" t="inlineStr">
        <is>
          <t>OLIVE OIL</t>
        </is>
      </c>
      <c r="E431" t="inlineStr">
        <is>
          <t>grams</t>
        </is>
      </c>
      <c r="F431" t="inlineStr">
        <is>
          <t>child</t>
        </is>
      </c>
      <c r="G431" t="inlineStr"/>
      <c r="H431" t="n">
        <v>3</v>
      </c>
      <c r="I431" t="inlineStr">
        <is>
          <t>stock_net</t>
        </is>
      </c>
      <c r="J431" t="inlineStr"/>
      <c r="K431" t="inlineStr"/>
      <c r="L431" t="inlineStr"/>
      <c r="M431" t="b">
        <v>1</v>
      </c>
      <c r="N431" t="inlineStr">
        <is>
          <t>consider_stock=false</t>
        </is>
      </c>
      <c r="O431" t="inlineStr"/>
      <c r="P431" t="inlineStr"/>
      <c r="Q431" t="inlineStr"/>
      <c r="R431" t="inlineStr">
        <is>
          <t>28698.60438686866657674437292</t>
        </is>
      </c>
      <c r="S431" t="inlineStr">
        <is>
          <t>28698.60438686866657674437292</t>
        </is>
      </c>
    </row>
    <row r="432">
      <c r="A432" t="n">
        <v>5</v>
      </c>
      <c r="B432" t="n">
        <v>128</v>
      </c>
      <c r="C432" t="inlineStr">
        <is>
          <t>SAUCE0-02</t>
        </is>
      </c>
      <c r="D432" t="inlineStr">
        <is>
          <t>LEMON JUICE</t>
        </is>
      </c>
      <c r="E432" t="inlineStr">
        <is>
          <t>grams</t>
        </is>
      </c>
      <c r="F432" t="inlineStr">
        <is>
          <t>child</t>
        </is>
      </c>
      <c r="G432" t="inlineStr">
        <is>
          <t>21523.95329015149993255827969 from parent 809061.4886731391585760517799 × BOM 4500 / batch_quantity 169150. Stock not applied.</t>
        </is>
      </c>
      <c r="H432" t="n">
        <v>1</v>
      </c>
      <c r="I432" t="inlineStr">
        <is>
          <t>scale_bom</t>
        </is>
      </c>
      <c r="J432" t="inlineStr">
        <is>
          <t>parent_gross × bom_qty / batch_quantity</t>
        </is>
      </c>
      <c r="K432" t="inlineStr">
        <is>
          <t>809061.4886731391585760517799 × 4500 / 169150</t>
        </is>
      </c>
      <c r="L432" t="inlineStr">
        <is>
          <t>21523.95329015149993255827969</t>
        </is>
      </c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5</v>
      </c>
      <c r="B433" t="n">
        <v>128</v>
      </c>
      <c r="C433" t="inlineStr">
        <is>
          <t>SAUCE0-02</t>
        </is>
      </c>
      <c r="D433" t="inlineStr">
        <is>
          <t>LEMON JUICE</t>
        </is>
      </c>
      <c r="E433" t="inlineStr">
        <is>
          <t>grams</t>
        </is>
      </c>
      <c r="F433" t="inlineStr">
        <is>
          <t>child</t>
        </is>
      </c>
      <c r="G433" t="inlineStr"/>
      <c r="H433" t="n">
        <v>2</v>
      </c>
      <c r="I433" t="inlineStr">
        <is>
          <t>gross</t>
        </is>
      </c>
      <c r="J433" t="inlineStr">
        <is>
          <t>net / recipe_yield</t>
        </is>
      </c>
      <c r="K433" t="inlineStr">
        <is>
          <t>21523.95329015149993255827969 / 1 (recipe yield 100%)</t>
        </is>
      </c>
      <c r="L433" t="inlineStr">
        <is>
          <t>21523.95329015149993255827969</t>
        </is>
      </c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5</v>
      </c>
      <c r="B434" t="n">
        <v>128</v>
      </c>
      <c r="C434" t="inlineStr">
        <is>
          <t>SAUCE0-02</t>
        </is>
      </c>
      <c r="D434" t="inlineStr">
        <is>
          <t>LEMON JUICE</t>
        </is>
      </c>
      <c r="E434" t="inlineStr">
        <is>
          <t>grams</t>
        </is>
      </c>
      <c r="F434" t="inlineStr">
        <is>
          <t>child</t>
        </is>
      </c>
      <c r="G434" t="inlineStr"/>
      <c r="H434" t="n">
        <v>3</v>
      </c>
      <c r="I434" t="inlineStr">
        <is>
          <t>stock_net</t>
        </is>
      </c>
      <c r="J434" t="inlineStr"/>
      <c r="K434" t="inlineStr"/>
      <c r="L434" t="inlineStr"/>
      <c r="M434" t="b">
        <v>1</v>
      </c>
      <c r="N434" t="inlineStr">
        <is>
          <t>consider_stock=false</t>
        </is>
      </c>
      <c r="O434" t="inlineStr"/>
      <c r="P434" t="inlineStr"/>
      <c r="Q434" t="inlineStr"/>
      <c r="R434" t="inlineStr">
        <is>
          <t>21523.95329015149993255827969</t>
        </is>
      </c>
      <c r="S434" t="inlineStr">
        <is>
          <t>21523.95329015149993255827969</t>
        </is>
      </c>
    </row>
    <row r="435">
      <c r="A435" t="n">
        <v>5</v>
      </c>
      <c r="B435" t="n">
        <v>66</v>
      </c>
      <c r="C435" t="inlineStr">
        <is>
          <t>VEGFRO-41</t>
        </is>
      </c>
      <c r="D435" t="inlineStr">
        <is>
          <t>BASIL CHOPPED (FROZEN)</t>
        </is>
      </c>
      <c r="E435" t="inlineStr">
        <is>
          <t>grams</t>
        </is>
      </c>
      <c r="F435" t="inlineStr">
        <is>
          <t>child</t>
        </is>
      </c>
      <c r="G435" t="inlineStr">
        <is>
          <t>16740.85255900672216976755087 from parent 809061.4886731391585760517799 × BOM 3500 / batch_quantity 169150. Stock not applied.</t>
        </is>
      </c>
      <c r="H435" t="n">
        <v>1</v>
      </c>
      <c r="I435" t="inlineStr">
        <is>
          <t>scale_bom</t>
        </is>
      </c>
      <c r="J435" t="inlineStr">
        <is>
          <t>parent_gross × bom_qty / batch_quantity</t>
        </is>
      </c>
      <c r="K435" t="inlineStr">
        <is>
          <t>809061.4886731391585760517799 × 3500 / 169150</t>
        </is>
      </c>
      <c r="L435" t="inlineStr">
        <is>
          <t>16740.85255900672216976755087</t>
        </is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5</v>
      </c>
      <c r="B436" t="n">
        <v>66</v>
      </c>
      <c r="C436" t="inlineStr">
        <is>
          <t>VEGFRO-41</t>
        </is>
      </c>
      <c r="D436" t="inlineStr">
        <is>
          <t>BASIL CHOPPED (FROZEN)</t>
        </is>
      </c>
      <c r="E436" t="inlineStr">
        <is>
          <t>grams</t>
        </is>
      </c>
      <c r="F436" t="inlineStr">
        <is>
          <t>child</t>
        </is>
      </c>
      <c r="G436" t="inlineStr"/>
      <c r="H436" t="n">
        <v>2</v>
      </c>
      <c r="I436" t="inlineStr">
        <is>
          <t>gross</t>
        </is>
      </c>
      <c r="J436" t="inlineStr">
        <is>
          <t>net / recipe_yield</t>
        </is>
      </c>
      <c r="K436" t="inlineStr">
        <is>
          <t>16740.85255900672216976755087 / 1 (recipe yield 100%)</t>
        </is>
      </c>
      <c r="L436" t="inlineStr">
        <is>
          <t>16740.85255900672216976755087</t>
        </is>
      </c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5</v>
      </c>
      <c r="B437" t="n">
        <v>66</v>
      </c>
      <c r="C437" t="inlineStr">
        <is>
          <t>VEGFRO-41</t>
        </is>
      </c>
      <c r="D437" t="inlineStr">
        <is>
          <t>BASIL CHOPPED (FROZEN)</t>
        </is>
      </c>
      <c r="E437" t="inlineStr">
        <is>
          <t>grams</t>
        </is>
      </c>
      <c r="F437" t="inlineStr">
        <is>
          <t>child</t>
        </is>
      </c>
      <c r="G437" t="inlineStr"/>
      <c r="H437" t="n">
        <v>3</v>
      </c>
      <c r="I437" t="inlineStr">
        <is>
          <t>stock_net</t>
        </is>
      </c>
      <c r="J437" t="inlineStr"/>
      <c r="K437" t="inlineStr"/>
      <c r="L437" t="inlineStr"/>
      <c r="M437" t="b">
        <v>1</v>
      </c>
      <c r="N437" t="inlineStr">
        <is>
          <t>consider_stock=false</t>
        </is>
      </c>
      <c r="O437" t="inlineStr"/>
      <c r="P437" t="inlineStr"/>
      <c r="Q437" t="inlineStr"/>
      <c r="R437" t="inlineStr">
        <is>
          <t>16740.85255900672216976755087</t>
        </is>
      </c>
      <c r="S437" t="inlineStr">
        <is>
          <t>16740.85255900672216976755087</t>
        </is>
      </c>
    </row>
    <row r="438">
      <c r="A438" t="n">
        <v>5</v>
      </c>
      <c r="B438" t="n">
        <v>56</v>
      </c>
      <c r="C438" t="inlineStr">
        <is>
          <t>VEGFRO-35</t>
        </is>
      </c>
      <c r="D438" t="inlineStr">
        <is>
          <t>PARSLEY CHOPPED (FROZEN)</t>
        </is>
      </c>
      <c r="E438" t="inlineStr">
        <is>
          <t>grams</t>
        </is>
      </c>
      <c r="F438" t="inlineStr">
        <is>
          <t>child</t>
        </is>
      </c>
      <c r="G438" t="inlineStr">
        <is>
          <t>11957.75182786194440697682205 from parent 809061.4886731391585760517799 × BOM 2500 / batch_quantity 169150. Stock not applied.</t>
        </is>
      </c>
      <c r="H438" t="n">
        <v>1</v>
      </c>
      <c r="I438" t="inlineStr">
        <is>
          <t>scale_bom</t>
        </is>
      </c>
      <c r="J438" t="inlineStr">
        <is>
          <t>parent_gross × bom_qty / batch_quantity</t>
        </is>
      </c>
      <c r="K438" t="inlineStr">
        <is>
          <t>809061.4886731391585760517799 × 2500 / 169150</t>
        </is>
      </c>
      <c r="L438" t="inlineStr">
        <is>
          <t>11957.75182786194440697682205</t>
        </is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5</v>
      </c>
      <c r="B439" t="n">
        <v>56</v>
      </c>
      <c r="C439" t="inlineStr">
        <is>
          <t>VEGFRO-35</t>
        </is>
      </c>
      <c r="D439" t="inlineStr">
        <is>
          <t>PARSLEY CHOPPED (FROZEN)</t>
        </is>
      </c>
      <c r="E439" t="inlineStr">
        <is>
          <t>grams</t>
        </is>
      </c>
      <c r="F439" t="inlineStr">
        <is>
          <t>child</t>
        </is>
      </c>
      <c r="G439" t="inlineStr"/>
      <c r="H439" t="n">
        <v>2</v>
      </c>
      <c r="I439" t="inlineStr">
        <is>
          <t>gross</t>
        </is>
      </c>
      <c r="J439" t="inlineStr">
        <is>
          <t>net / recipe_yield</t>
        </is>
      </c>
      <c r="K439" t="inlineStr">
        <is>
          <t>11957.75182786194440697682205 / 1 (recipe yield 100%)</t>
        </is>
      </c>
      <c r="L439" t="inlineStr">
        <is>
          <t>11957.75182786194440697682205</t>
        </is>
      </c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5</v>
      </c>
      <c r="B440" t="n">
        <v>56</v>
      </c>
      <c r="C440" t="inlineStr">
        <is>
          <t>VEGFRO-35</t>
        </is>
      </c>
      <c r="D440" t="inlineStr">
        <is>
          <t>PARSLEY CHOPPED (FROZEN)</t>
        </is>
      </c>
      <c r="E440" t="inlineStr">
        <is>
          <t>grams</t>
        </is>
      </c>
      <c r="F440" t="inlineStr">
        <is>
          <t>child</t>
        </is>
      </c>
      <c r="G440" t="inlineStr"/>
      <c r="H440" t="n">
        <v>3</v>
      </c>
      <c r="I440" t="inlineStr">
        <is>
          <t>stock_net</t>
        </is>
      </c>
      <c r="J440" t="inlineStr"/>
      <c r="K440" t="inlineStr"/>
      <c r="L440" t="inlineStr"/>
      <c r="M440" t="b">
        <v>1</v>
      </c>
      <c r="N440" t="inlineStr">
        <is>
          <t>consider_stock=false</t>
        </is>
      </c>
      <c r="O440" t="inlineStr"/>
      <c r="P440" t="inlineStr"/>
      <c r="Q440" t="inlineStr"/>
      <c r="R440" t="inlineStr">
        <is>
          <t>11957.75182786194440697682205</t>
        </is>
      </c>
      <c r="S440" t="inlineStr">
        <is>
          <t>11957.75182786194440697682205</t>
        </is>
      </c>
    </row>
    <row r="441">
      <c r="A441" t="n">
        <v>5</v>
      </c>
      <c r="B441" t="n">
        <v>303</v>
      </c>
      <c r="C441" t="inlineStr">
        <is>
          <t>INGRAD-23</t>
        </is>
      </c>
      <c r="D441" t="inlineStr">
        <is>
          <t>ALMOND GROUND</t>
        </is>
      </c>
      <c r="E441" t="inlineStr">
        <is>
          <t>grams</t>
        </is>
      </c>
      <c r="F441" t="inlineStr">
        <is>
          <t>child</t>
        </is>
      </c>
      <c r="G441" t="inlineStr">
        <is>
          <t>7174.651096717166644186093231 from parent 809061.4886731391585760517799 × BOM 1500 / batch_quantity 169150. Stock not applied.</t>
        </is>
      </c>
      <c r="H441" t="n">
        <v>1</v>
      </c>
      <c r="I441" t="inlineStr">
        <is>
          <t>scale_bom</t>
        </is>
      </c>
      <c r="J441" t="inlineStr">
        <is>
          <t>parent_gross × bom_qty / batch_quantity</t>
        </is>
      </c>
      <c r="K441" t="inlineStr">
        <is>
          <t>809061.4886731391585760517799 × 1500 / 169150</t>
        </is>
      </c>
      <c r="L441" t="inlineStr">
        <is>
          <t>7174.651096717166644186093231</t>
        </is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5</v>
      </c>
      <c r="B442" t="n">
        <v>303</v>
      </c>
      <c r="C442" t="inlineStr">
        <is>
          <t>INGRAD-23</t>
        </is>
      </c>
      <c r="D442" t="inlineStr">
        <is>
          <t>ALMOND GROUND</t>
        </is>
      </c>
      <c r="E442" t="inlineStr">
        <is>
          <t>grams</t>
        </is>
      </c>
      <c r="F442" t="inlineStr">
        <is>
          <t>child</t>
        </is>
      </c>
      <c r="G442" t="inlineStr"/>
      <c r="H442" t="n">
        <v>2</v>
      </c>
      <c r="I442" t="inlineStr">
        <is>
          <t>gross</t>
        </is>
      </c>
      <c r="J442" t="inlineStr">
        <is>
          <t>net / recipe_yield</t>
        </is>
      </c>
      <c r="K442" t="inlineStr">
        <is>
          <t>7174.651096717166644186093231 / 1 (recipe yield 100%)</t>
        </is>
      </c>
      <c r="L442" t="inlineStr">
        <is>
          <t>7174.651096717166644186093231</t>
        </is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5</v>
      </c>
      <c r="B443" t="n">
        <v>303</v>
      </c>
      <c r="C443" t="inlineStr">
        <is>
          <t>INGRAD-23</t>
        </is>
      </c>
      <c r="D443" t="inlineStr">
        <is>
          <t>ALMOND GROUND</t>
        </is>
      </c>
      <c r="E443" t="inlineStr">
        <is>
          <t>grams</t>
        </is>
      </c>
      <c r="F443" t="inlineStr">
        <is>
          <t>child</t>
        </is>
      </c>
      <c r="G443" t="inlineStr"/>
      <c r="H443" t="n">
        <v>3</v>
      </c>
      <c r="I443" t="inlineStr">
        <is>
          <t>stock_net</t>
        </is>
      </c>
      <c r="J443" t="inlineStr"/>
      <c r="K443" t="inlineStr"/>
      <c r="L443" t="inlineStr"/>
      <c r="M443" t="b">
        <v>1</v>
      </c>
      <c r="N443" t="inlineStr">
        <is>
          <t>consider_stock=false</t>
        </is>
      </c>
      <c r="O443" t="inlineStr"/>
      <c r="P443" t="inlineStr"/>
      <c r="Q443" t="inlineStr"/>
      <c r="R443" t="inlineStr">
        <is>
          <t>7174.651096717166644186093231</t>
        </is>
      </c>
      <c r="S443" t="inlineStr">
        <is>
          <t>7174.651096717166644186093231</t>
        </is>
      </c>
    </row>
    <row r="444">
      <c r="A444" t="n">
        <v>5</v>
      </c>
      <c r="B444" t="n">
        <v>291</v>
      </c>
      <c r="C444" t="inlineStr">
        <is>
          <t>INGRAD-17</t>
        </is>
      </c>
      <c r="D444" t="inlineStr">
        <is>
          <t>CORN FLOUR</t>
        </is>
      </c>
      <c r="E444" t="inlineStr">
        <is>
          <t>grams</t>
        </is>
      </c>
      <c r="F444" t="inlineStr">
        <is>
          <t>child</t>
        </is>
      </c>
      <c r="G444" t="inlineStr">
        <is>
          <t>1913.240292457911105116291528 from parent 809061.4886731391585760517799 × BOM 400 / batch_quantity 169150. Stock not applied.</t>
        </is>
      </c>
      <c r="H444" t="n">
        <v>1</v>
      </c>
      <c r="I444" t="inlineStr">
        <is>
          <t>scale_bom</t>
        </is>
      </c>
      <c r="J444" t="inlineStr">
        <is>
          <t>parent_gross × bom_qty / batch_quantity</t>
        </is>
      </c>
      <c r="K444" t="inlineStr">
        <is>
          <t>809061.4886731391585760517799 × 400 / 169150</t>
        </is>
      </c>
      <c r="L444" t="inlineStr">
        <is>
          <t>1913.240292457911105116291528</t>
        </is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5</v>
      </c>
      <c r="B445" t="n">
        <v>291</v>
      </c>
      <c r="C445" t="inlineStr">
        <is>
          <t>INGRAD-17</t>
        </is>
      </c>
      <c r="D445" t="inlineStr">
        <is>
          <t>CORN FLOUR</t>
        </is>
      </c>
      <c r="E445" t="inlineStr">
        <is>
          <t>grams</t>
        </is>
      </c>
      <c r="F445" t="inlineStr">
        <is>
          <t>child</t>
        </is>
      </c>
      <c r="G445" t="inlineStr"/>
      <c r="H445" t="n">
        <v>2</v>
      </c>
      <c r="I445" t="inlineStr">
        <is>
          <t>gross</t>
        </is>
      </c>
      <c r="J445" t="inlineStr">
        <is>
          <t>net / recipe_yield</t>
        </is>
      </c>
      <c r="K445" t="inlineStr">
        <is>
          <t>1913.240292457911105116291528 / 1 (recipe yield 100%)</t>
        </is>
      </c>
      <c r="L445" t="inlineStr">
        <is>
          <t>1913.240292457911105116291528</t>
        </is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5</v>
      </c>
      <c r="B446" t="n">
        <v>291</v>
      </c>
      <c r="C446" t="inlineStr">
        <is>
          <t>INGRAD-17</t>
        </is>
      </c>
      <c r="D446" t="inlineStr">
        <is>
          <t>CORN FLOUR</t>
        </is>
      </c>
      <c r="E446" t="inlineStr">
        <is>
          <t>grams</t>
        </is>
      </c>
      <c r="F446" t="inlineStr">
        <is>
          <t>child</t>
        </is>
      </c>
      <c r="G446" t="inlineStr"/>
      <c r="H446" t="n">
        <v>3</v>
      </c>
      <c r="I446" t="inlineStr">
        <is>
          <t>stock_net</t>
        </is>
      </c>
      <c r="J446" t="inlineStr"/>
      <c r="K446" t="inlineStr"/>
      <c r="L446" t="inlineStr"/>
      <c r="M446" t="b">
        <v>1</v>
      </c>
      <c r="N446" t="inlineStr">
        <is>
          <t>consider_stock=false</t>
        </is>
      </c>
      <c r="O446" t="inlineStr"/>
      <c r="P446" t="inlineStr"/>
      <c r="Q446" t="inlineStr"/>
      <c r="R446" t="inlineStr">
        <is>
          <t>1913.240292457911105116291528</t>
        </is>
      </c>
      <c r="S446" t="inlineStr">
        <is>
          <t>1913.240292457911105116291528</t>
        </is>
      </c>
    </row>
    <row r="447">
      <c r="A447" t="n">
        <v>5</v>
      </c>
      <c r="B447" t="n">
        <v>1527</v>
      </c>
      <c r="C447" t="inlineStr">
        <is>
          <t>GFF574R-S</t>
        </is>
      </c>
      <c r="D447" t="inlineStr">
        <is>
          <t>Pesto Marinated Chicken (Simmers) - 574 - Spices</t>
        </is>
      </c>
      <c r="E447" t="inlineStr">
        <is>
          <t>grams</t>
        </is>
      </c>
      <c r="F447" t="inlineStr">
        <is>
          <t>child</t>
        </is>
      </c>
      <c r="G447" t="inlineStr">
        <is>
          <t>3587.325548358583322093046615 from parent 809061.4886731391585760517799 × BOM 750 / batch_quantity 169150. Stock not applied.</t>
        </is>
      </c>
      <c r="H447" t="n">
        <v>1</v>
      </c>
      <c r="I447" t="inlineStr">
        <is>
          <t>scale_bom</t>
        </is>
      </c>
      <c r="J447" t="inlineStr">
        <is>
          <t>parent_gross × bom_qty / batch_quantity</t>
        </is>
      </c>
      <c r="K447" t="inlineStr">
        <is>
          <t>809061.4886731391585760517799 × 750 / 169150</t>
        </is>
      </c>
      <c r="L447" t="inlineStr">
        <is>
          <t>3587.325548358583322093046615</t>
        </is>
      </c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5</v>
      </c>
      <c r="B448" t="n">
        <v>1527</v>
      </c>
      <c r="C448" t="inlineStr">
        <is>
          <t>GFF574R-S</t>
        </is>
      </c>
      <c r="D448" t="inlineStr">
        <is>
          <t>Pesto Marinated Chicken (Simmers) - 574 - Spices</t>
        </is>
      </c>
      <c r="E448" t="inlineStr">
        <is>
          <t>grams</t>
        </is>
      </c>
      <c r="F448" t="inlineStr">
        <is>
          <t>child</t>
        </is>
      </c>
      <c r="G448" t="inlineStr"/>
      <c r="H448" t="n">
        <v>2</v>
      </c>
      <c r="I448" t="inlineStr">
        <is>
          <t>gross</t>
        </is>
      </c>
      <c r="J448" t="inlineStr">
        <is>
          <t>net / recipe_yield</t>
        </is>
      </c>
      <c r="K448" t="inlineStr">
        <is>
          <t>3587.325548358583322093046615 / 1 (recipe yield 100%)</t>
        </is>
      </c>
      <c r="L448" t="inlineStr">
        <is>
          <t>3587.325548358583322093046615</t>
        </is>
      </c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5</v>
      </c>
      <c r="B449" t="n">
        <v>1527</v>
      </c>
      <c r="C449" t="inlineStr">
        <is>
          <t>GFF574R-S</t>
        </is>
      </c>
      <c r="D449" t="inlineStr">
        <is>
          <t>Pesto Marinated Chicken (Simmers) - 574 - Spices</t>
        </is>
      </c>
      <c r="E449" t="inlineStr">
        <is>
          <t>grams</t>
        </is>
      </c>
      <c r="F449" t="inlineStr">
        <is>
          <t>child</t>
        </is>
      </c>
      <c r="G449" t="inlineStr"/>
      <c r="H449" t="n">
        <v>3</v>
      </c>
      <c r="I449" t="inlineStr">
        <is>
          <t>stock_net</t>
        </is>
      </c>
      <c r="J449" t="inlineStr"/>
      <c r="K449" t="inlineStr"/>
      <c r="L449" t="inlineStr"/>
      <c r="M449" t="b">
        <v>1</v>
      </c>
      <c r="N449" t="inlineStr">
        <is>
          <t>consider_stock=false</t>
        </is>
      </c>
      <c r="O449" t="inlineStr"/>
      <c r="P449" t="inlineStr"/>
      <c r="Q449" t="inlineStr"/>
      <c r="R449" t="inlineStr">
        <is>
          <t>3587.325548358583322093046615</t>
        </is>
      </c>
      <c r="S449" t="inlineStr">
        <is>
          <t>3587.325548358583322093046615</t>
        </is>
      </c>
    </row>
    <row r="450">
      <c r="A450" t="n">
        <v>5</v>
      </c>
      <c r="B450" t="n">
        <v>48</v>
      </c>
      <c r="C450" t="inlineStr">
        <is>
          <t>SPICE0-03</t>
        </is>
      </c>
      <c r="D450" t="inlineStr">
        <is>
          <t>SUGAR</t>
        </is>
      </c>
      <c r="E450" t="inlineStr">
        <is>
          <t>grams</t>
        </is>
      </c>
      <c r="F450" t="inlineStr">
        <is>
          <t>child</t>
        </is>
      </c>
      <c r="G450" t="inlineStr">
        <is>
          <t>6667.258385848410713117455839 from parent 15001.33136815892410451427564 × BOM 1600 / batch_quantity 3600. Stock not applied.</t>
        </is>
      </c>
      <c r="H450" t="n">
        <v>1</v>
      </c>
      <c r="I450" t="inlineStr">
        <is>
          <t>scale_bom</t>
        </is>
      </c>
      <c r="J450" t="inlineStr">
        <is>
          <t>parent_gross × bom_qty / batch_quantity</t>
        </is>
      </c>
      <c r="K450" t="inlineStr">
        <is>
          <t>15001.33136815892410451427564 × 1600 / 3600</t>
        </is>
      </c>
      <c r="L450" t="inlineStr">
        <is>
          <t>6667.258385848410713117455839</t>
        </is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5</v>
      </c>
      <c r="B451" t="n">
        <v>48</v>
      </c>
      <c r="C451" t="inlineStr">
        <is>
          <t>SPICE0-03</t>
        </is>
      </c>
      <c r="D451" t="inlineStr">
        <is>
          <t>SUGAR</t>
        </is>
      </c>
      <c r="E451" t="inlineStr">
        <is>
          <t>grams</t>
        </is>
      </c>
      <c r="F451" t="inlineStr">
        <is>
          <t>child</t>
        </is>
      </c>
      <c r="G451" t="inlineStr"/>
      <c r="H451" t="n">
        <v>2</v>
      </c>
      <c r="I451" t="inlineStr">
        <is>
          <t>gross</t>
        </is>
      </c>
      <c r="J451" t="inlineStr">
        <is>
          <t>net / recipe_yield</t>
        </is>
      </c>
      <c r="K451" t="inlineStr">
        <is>
          <t>6667.258385848410713117455839 / 1 (recipe yield 100%)</t>
        </is>
      </c>
      <c r="L451" t="inlineStr">
        <is>
          <t>6667.258385848410713117455839</t>
        </is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5</v>
      </c>
      <c r="B452" t="n">
        <v>48</v>
      </c>
      <c r="C452" t="inlineStr">
        <is>
          <t>SPICE0-03</t>
        </is>
      </c>
      <c r="D452" t="inlineStr">
        <is>
          <t>SUGAR</t>
        </is>
      </c>
      <c r="E452" t="inlineStr">
        <is>
          <t>grams</t>
        </is>
      </c>
      <c r="F452" t="inlineStr">
        <is>
          <t>child</t>
        </is>
      </c>
      <c r="G452" t="inlineStr"/>
      <c r="H452" t="n">
        <v>3</v>
      </c>
      <c r="I452" t="inlineStr">
        <is>
          <t>stock_net</t>
        </is>
      </c>
      <c r="J452" t="inlineStr"/>
      <c r="K452" t="inlineStr"/>
      <c r="L452" t="inlineStr"/>
      <c r="M452" t="b">
        <v>1</v>
      </c>
      <c r="N452" t="inlineStr">
        <is>
          <t>consider_stock=false</t>
        </is>
      </c>
      <c r="O452" t="inlineStr"/>
      <c r="P452" t="inlineStr"/>
      <c r="Q452" t="inlineStr"/>
      <c r="R452" t="inlineStr">
        <is>
          <t>6667.258385848410713117455839</t>
        </is>
      </c>
      <c r="S452" t="inlineStr">
        <is>
          <t>6667.258385848410713117455839</t>
        </is>
      </c>
    </row>
    <row r="453">
      <c r="A453" t="n">
        <v>5</v>
      </c>
      <c r="B453" t="n">
        <v>110</v>
      </c>
      <c r="C453" t="inlineStr">
        <is>
          <t>SPICE0-47</t>
        </is>
      </c>
      <c r="D453" t="inlineStr">
        <is>
          <t>DRY MIXED HERBS</t>
        </is>
      </c>
      <c r="E453" t="inlineStr">
        <is>
          <t>grams</t>
        </is>
      </c>
      <c r="F453" t="inlineStr">
        <is>
          <t>child</t>
        </is>
      </c>
      <c r="G453" t="inlineStr">
        <is>
          <t>3333.629192924205356558727919 from parent 15001.33136815892410451427564 × BOM 800 / batch_quantity 3600. Stock not applied.</t>
        </is>
      </c>
      <c r="H453" t="n">
        <v>1</v>
      </c>
      <c r="I453" t="inlineStr">
        <is>
          <t>scale_bom</t>
        </is>
      </c>
      <c r="J453" t="inlineStr">
        <is>
          <t>parent_gross × bom_qty / batch_quantity</t>
        </is>
      </c>
      <c r="K453" t="inlineStr">
        <is>
          <t>15001.33136815892410451427564 × 800 / 3600</t>
        </is>
      </c>
      <c r="L453" t="inlineStr">
        <is>
          <t>3333.629192924205356558727919</t>
        </is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5</v>
      </c>
      <c r="B454" t="n">
        <v>110</v>
      </c>
      <c r="C454" t="inlineStr">
        <is>
          <t>SPICE0-47</t>
        </is>
      </c>
      <c r="D454" t="inlineStr">
        <is>
          <t>DRY MIXED HERBS</t>
        </is>
      </c>
      <c r="E454" t="inlineStr">
        <is>
          <t>grams</t>
        </is>
      </c>
      <c r="F454" t="inlineStr">
        <is>
          <t>child</t>
        </is>
      </c>
      <c r="G454" t="inlineStr"/>
      <c r="H454" t="n">
        <v>2</v>
      </c>
      <c r="I454" t="inlineStr">
        <is>
          <t>gross</t>
        </is>
      </c>
      <c r="J454" t="inlineStr">
        <is>
          <t>net / recipe_yield</t>
        </is>
      </c>
      <c r="K454" t="inlineStr">
        <is>
          <t>3333.629192924205356558727919 / 1 (recipe yield 100%)</t>
        </is>
      </c>
      <c r="L454" t="inlineStr">
        <is>
          <t>3333.629192924205356558727919</t>
        </is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5</v>
      </c>
      <c r="B455" t="n">
        <v>110</v>
      </c>
      <c r="C455" t="inlineStr">
        <is>
          <t>SPICE0-47</t>
        </is>
      </c>
      <c r="D455" t="inlineStr">
        <is>
          <t>DRY MIXED HERBS</t>
        </is>
      </c>
      <c r="E455" t="inlineStr">
        <is>
          <t>grams</t>
        </is>
      </c>
      <c r="F455" t="inlineStr">
        <is>
          <t>child</t>
        </is>
      </c>
      <c r="G455" t="inlineStr"/>
      <c r="H455" t="n">
        <v>3</v>
      </c>
      <c r="I455" t="inlineStr">
        <is>
          <t>stock_net</t>
        </is>
      </c>
      <c r="J455" t="inlineStr"/>
      <c r="K455" t="inlineStr"/>
      <c r="L455" t="inlineStr"/>
      <c r="M455" t="b">
        <v>1</v>
      </c>
      <c r="N455" t="inlineStr">
        <is>
          <t>consider_stock=false</t>
        </is>
      </c>
      <c r="O455" t="inlineStr"/>
      <c r="P455" t="inlineStr"/>
      <c r="Q455" t="inlineStr"/>
      <c r="R455" t="inlineStr">
        <is>
          <t>3333.629192924205356558727919</t>
        </is>
      </c>
      <c r="S455" t="inlineStr">
        <is>
          <t>3333.629192924205356558727919</t>
        </is>
      </c>
    </row>
    <row r="456">
      <c r="A456" t="n">
        <v>5</v>
      </c>
      <c r="B456" t="n">
        <v>47</v>
      </c>
      <c r="C456" t="inlineStr">
        <is>
          <t>SPICE0-02</t>
        </is>
      </c>
      <c r="D456" t="inlineStr">
        <is>
          <t>SALT</t>
        </is>
      </c>
      <c r="E456" t="inlineStr">
        <is>
          <t>grams</t>
        </is>
      </c>
      <c r="F456" t="inlineStr">
        <is>
          <t>child</t>
        </is>
      </c>
      <c r="G456" t="inlineStr">
        <is>
          <t>2083.51824557762834784920495 from parent 15001.33136815892410451427564 × BOM 500 / batch_quantity 3600. Stock not applied.</t>
        </is>
      </c>
      <c r="H456" t="n">
        <v>1</v>
      </c>
      <c r="I456" t="inlineStr">
        <is>
          <t>scale_bom</t>
        </is>
      </c>
      <c r="J456" t="inlineStr">
        <is>
          <t>parent_gross × bom_qty / batch_quantity</t>
        </is>
      </c>
      <c r="K456" t="inlineStr">
        <is>
          <t>15001.33136815892410451427564 × 500 / 3600</t>
        </is>
      </c>
      <c r="L456" t="inlineStr">
        <is>
          <t>2083.51824557762834784920495</t>
        </is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5</v>
      </c>
      <c r="B457" t="n">
        <v>47</v>
      </c>
      <c r="C457" t="inlineStr">
        <is>
          <t>SPICE0-02</t>
        </is>
      </c>
      <c r="D457" t="inlineStr">
        <is>
          <t>SALT</t>
        </is>
      </c>
      <c r="E457" t="inlineStr">
        <is>
          <t>grams</t>
        </is>
      </c>
      <c r="F457" t="inlineStr">
        <is>
          <t>child</t>
        </is>
      </c>
      <c r="G457" t="inlineStr"/>
      <c r="H457" t="n">
        <v>2</v>
      </c>
      <c r="I457" t="inlineStr">
        <is>
          <t>gross</t>
        </is>
      </c>
      <c r="J457" t="inlineStr">
        <is>
          <t>net / recipe_yield</t>
        </is>
      </c>
      <c r="K457" t="inlineStr">
        <is>
          <t>2083.51824557762834784920495 / 1 (recipe yield 100%)</t>
        </is>
      </c>
      <c r="L457" t="inlineStr">
        <is>
          <t>2083.51824557762834784920495</t>
        </is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5</v>
      </c>
      <c r="B458" t="n">
        <v>47</v>
      </c>
      <c r="C458" t="inlineStr">
        <is>
          <t>SPICE0-02</t>
        </is>
      </c>
      <c r="D458" t="inlineStr">
        <is>
          <t>SALT</t>
        </is>
      </c>
      <c r="E458" t="inlineStr">
        <is>
          <t>grams</t>
        </is>
      </c>
      <c r="F458" t="inlineStr">
        <is>
          <t>child</t>
        </is>
      </c>
      <c r="G458" t="inlineStr"/>
      <c r="H458" t="n">
        <v>3</v>
      </c>
      <c r="I458" t="inlineStr">
        <is>
          <t>stock_net</t>
        </is>
      </c>
      <c r="J458" t="inlineStr"/>
      <c r="K458" t="inlineStr"/>
      <c r="L458" t="inlineStr"/>
      <c r="M458" t="b">
        <v>1</v>
      </c>
      <c r="N458" t="inlineStr">
        <is>
          <t>consider_stock=false</t>
        </is>
      </c>
      <c r="O458" t="inlineStr"/>
      <c r="P458" t="inlineStr"/>
      <c r="Q458" t="inlineStr"/>
      <c r="R458" t="inlineStr">
        <is>
          <t>2083.51824557762834784920495</t>
        </is>
      </c>
      <c r="S458" t="inlineStr">
        <is>
          <t>2083.51824557762834784920495</t>
        </is>
      </c>
    </row>
    <row r="459">
      <c r="A459" t="n">
        <v>5</v>
      </c>
      <c r="B459" t="n">
        <v>112</v>
      </c>
      <c r="C459" t="inlineStr">
        <is>
          <t>SPICE0-49</t>
        </is>
      </c>
      <c r="D459" t="inlineStr">
        <is>
          <t>Veg Buillion</t>
        </is>
      </c>
      <c r="E459" t="inlineStr">
        <is>
          <t>grams</t>
        </is>
      </c>
      <c r="F459" t="inlineStr">
        <is>
          <t>child</t>
        </is>
      </c>
      <c r="G459" t="inlineStr">
        <is>
          <t>2083.51824557762834784920495 from parent 15001.33136815892410451427564 × BOM 500 / batch_quantity 3600. Stock not applied.</t>
        </is>
      </c>
      <c r="H459" t="n">
        <v>1</v>
      </c>
      <c r="I459" t="inlineStr">
        <is>
          <t>scale_bom</t>
        </is>
      </c>
      <c r="J459" t="inlineStr">
        <is>
          <t>parent_gross × bom_qty / batch_quantity</t>
        </is>
      </c>
      <c r="K459" t="inlineStr">
        <is>
          <t>15001.33136815892410451427564 × 500 / 3600</t>
        </is>
      </c>
      <c r="L459" t="inlineStr">
        <is>
          <t>2083.51824557762834784920495</t>
        </is>
      </c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5</v>
      </c>
      <c r="B460" t="n">
        <v>112</v>
      </c>
      <c r="C460" t="inlineStr">
        <is>
          <t>SPICE0-49</t>
        </is>
      </c>
      <c r="D460" t="inlineStr">
        <is>
          <t>Veg Buillion</t>
        </is>
      </c>
      <c r="E460" t="inlineStr">
        <is>
          <t>grams</t>
        </is>
      </c>
      <c r="F460" t="inlineStr">
        <is>
          <t>child</t>
        </is>
      </c>
      <c r="G460" t="inlineStr"/>
      <c r="H460" t="n">
        <v>2</v>
      </c>
      <c r="I460" t="inlineStr">
        <is>
          <t>gross</t>
        </is>
      </c>
      <c r="J460" t="inlineStr">
        <is>
          <t>net / recipe_yield</t>
        </is>
      </c>
      <c r="K460" t="inlineStr">
        <is>
          <t>2083.51824557762834784920495 / 1 (recipe yield 100%)</t>
        </is>
      </c>
      <c r="L460" t="inlineStr">
        <is>
          <t>2083.51824557762834784920495</t>
        </is>
      </c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5</v>
      </c>
      <c r="B461" t="n">
        <v>112</v>
      </c>
      <c r="C461" t="inlineStr">
        <is>
          <t>SPICE0-49</t>
        </is>
      </c>
      <c r="D461" t="inlineStr">
        <is>
          <t>Veg Buillion</t>
        </is>
      </c>
      <c r="E461" t="inlineStr">
        <is>
          <t>grams</t>
        </is>
      </c>
      <c r="F461" t="inlineStr">
        <is>
          <t>child</t>
        </is>
      </c>
      <c r="G461" t="inlineStr"/>
      <c r="H461" t="n">
        <v>3</v>
      </c>
      <c r="I461" t="inlineStr">
        <is>
          <t>stock_net</t>
        </is>
      </c>
      <c r="J461" t="inlineStr"/>
      <c r="K461" t="inlineStr"/>
      <c r="L461" t="inlineStr"/>
      <c r="M461" t="b">
        <v>1</v>
      </c>
      <c r="N461" t="inlineStr">
        <is>
          <t>consider_stock=false</t>
        </is>
      </c>
      <c r="O461" t="inlineStr"/>
      <c r="P461" t="inlineStr"/>
      <c r="Q461" t="inlineStr"/>
      <c r="R461" t="inlineStr">
        <is>
          <t>2083.51824557762834784920495</t>
        </is>
      </c>
      <c r="S461" t="inlineStr">
        <is>
          <t>2083.51824557762834784920495</t>
        </is>
      </c>
    </row>
    <row r="462">
      <c r="A462" t="n">
        <v>5</v>
      </c>
      <c r="B462" t="n">
        <v>83</v>
      </c>
      <c r="C462" t="inlineStr">
        <is>
          <t>SPICE0-24</t>
        </is>
      </c>
      <c r="D462" t="inlineStr">
        <is>
          <t>BLACK PEPPER COARSE HT</t>
        </is>
      </c>
      <c r="E462" t="inlineStr">
        <is>
          <t>grams</t>
        </is>
      </c>
      <c r="F462" t="inlineStr">
        <is>
          <t>child</t>
        </is>
      </c>
      <c r="G462" t="inlineStr">
        <is>
          <t>833.40729823105133913968198 from parent 15001.33136815892410451427564 × BOM 200 / batch_quantity 3600. Stock not applied.</t>
        </is>
      </c>
      <c r="H462" t="n">
        <v>1</v>
      </c>
      <c r="I462" t="inlineStr">
        <is>
          <t>scale_bom</t>
        </is>
      </c>
      <c r="J462" t="inlineStr">
        <is>
          <t>parent_gross × bom_qty / batch_quantity</t>
        </is>
      </c>
      <c r="K462" t="inlineStr">
        <is>
          <t>15001.33136815892410451427564 × 200 / 3600</t>
        </is>
      </c>
      <c r="L462" t="inlineStr">
        <is>
          <t>833.40729823105133913968198</t>
        </is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5</v>
      </c>
      <c r="B463" t="n">
        <v>83</v>
      </c>
      <c r="C463" t="inlineStr">
        <is>
          <t>SPICE0-24</t>
        </is>
      </c>
      <c r="D463" t="inlineStr">
        <is>
          <t>BLACK PEPPER COARSE HT</t>
        </is>
      </c>
      <c r="E463" t="inlineStr">
        <is>
          <t>grams</t>
        </is>
      </c>
      <c r="F463" t="inlineStr">
        <is>
          <t>child</t>
        </is>
      </c>
      <c r="G463" t="inlineStr"/>
      <c r="H463" t="n">
        <v>2</v>
      </c>
      <c r="I463" t="inlineStr">
        <is>
          <t>gross</t>
        </is>
      </c>
      <c r="J463" t="inlineStr">
        <is>
          <t>net / recipe_yield</t>
        </is>
      </c>
      <c r="K463" t="inlineStr">
        <is>
          <t>833.40729823105133913968198 / 1 (recipe yield 100%)</t>
        </is>
      </c>
      <c r="L463" t="inlineStr">
        <is>
          <t>833.40729823105133913968198</t>
        </is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5</v>
      </c>
      <c r="B464" t="n">
        <v>83</v>
      </c>
      <c r="C464" t="inlineStr">
        <is>
          <t>SPICE0-24</t>
        </is>
      </c>
      <c r="D464" t="inlineStr">
        <is>
          <t>BLACK PEPPER COARSE HT</t>
        </is>
      </c>
      <c r="E464" t="inlineStr">
        <is>
          <t>grams</t>
        </is>
      </c>
      <c r="F464" t="inlineStr">
        <is>
          <t>child</t>
        </is>
      </c>
      <c r="G464" t="inlineStr"/>
      <c r="H464" t="n">
        <v>3</v>
      </c>
      <c r="I464" t="inlineStr">
        <is>
          <t>stock_net</t>
        </is>
      </c>
      <c r="J464" t="inlineStr"/>
      <c r="K464" t="inlineStr"/>
      <c r="L464" t="inlineStr"/>
      <c r="M464" t="b">
        <v>1</v>
      </c>
      <c r="N464" t="inlineStr">
        <is>
          <t>consider_stock=false</t>
        </is>
      </c>
      <c r="O464" t="inlineStr"/>
      <c r="P464" t="inlineStr"/>
      <c r="Q464" t="inlineStr"/>
      <c r="R464" t="inlineStr">
        <is>
          <t>833.40729823105133913968198</t>
        </is>
      </c>
      <c r="S464" t="inlineStr">
        <is>
          <t>833.40729823105133913968198</t>
        </is>
      </c>
    </row>
    <row r="465">
      <c r="A465" t="n">
        <v>5</v>
      </c>
      <c r="B465" t="n">
        <v>463</v>
      </c>
      <c r="C465" t="inlineStr">
        <is>
          <t>PROTEIN-37</t>
        </is>
      </c>
      <c r="D465" t="inlineStr">
        <is>
          <t>EU CHICKEN BREAST DICED 12-15g</t>
        </is>
      </c>
      <c r="E465" t="inlineStr">
        <is>
          <t>grams</t>
        </is>
      </c>
      <c r="F465" t="inlineStr">
        <is>
          <t>child</t>
        </is>
      </c>
      <c r="G465" t="inlineStr">
        <is>
          <t>182627.4824618915145792823731 from parent 205942.9243895263312739040894 × BOM 150000 / batch_quantity 169150. Stock not applied.</t>
        </is>
      </c>
      <c r="H465" t="n">
        <v>1</v>
      </c>
      <c r="I465" t="inlineStr">
        <is>
          <t>scale_bom</t>
        </is>
      </c>
      <c r="J465" t="inlineStr">
        <is>
          <t>parent_gross × bom_qty / batch_quantity</t>
        </is>
      </c>
      <c r="K465" t="inlineStr">
        <is>
          <t>205942.9243895263312739040894 × 150000 / 169150</t>
        </is>
      </c>
      <c r="L465" t="inlineStr">
        <is>
          <t>182627.4824618915145792823731</t>
        </is>
      </c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5</v>
      </c>
      <c r="B466" t="n">
        <v>463</v>
      </c>
      <c r="C466" t="inlineStr">
        <is>
          <t>PROTEIN-37</t>
        </is>
      </c>
      <c r="D466" t="inlineStr">
        <is>
          <t>EU CHICKEN BREAST DICED 12-15g</t>
        </is>
      </c>
      <c r="E466" t="inlineStr">
        <is>
          <t>grams</t>
        </is>
      </c>
      <c r="F466" t="inlineStr">
        <is>
          <t>child</t>
        </is>
      </c>
      <c r="G466" t="inlineStr"/>
      <c r="H466" t="n">
        <v>2</v>
      </c>
      <c r="I466" t="inlineStr">
        <is>
          <t>gross</t>
        </is>
      </c>
      <c r="J466" t="inlineStr">
        <is>
          <t>net / recipe_yield</t>
        </is>
      </c>
      <c r="K466" t="inlineStr">
        <is>
          <t>182627.4824618915145792823731 / 1 (recipe yield 100%)</t>
        </is>
      </c>
      <c r="L466" t="inlineStr">
        <is>
          <t>182627.4824618915145792823731</t>
        </is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5</v>
      </c>
      <c r="B467" t="n">
        <v>463</v>
      </c>
      <c r="C467" t="inlineStr">
        <is>
          <t>PROTEIN-37</t>
        </is>
      </c>
      <c r="D467" t="inlineStr">
        <is>
          <t>EU CHICKEN BREAST DICED 12-15g</t>
        </is>
      </c>
      <c r="E467" t="inlineStr">
        <is>
          <t>grams</t>
        </is>
      </c>
      <c r="F467" t="inlineStr">
        <is>
          <t>child</t>
        </is>
      </c>
      <c r="G467" t="inlineStr"/>
      <c r="H467" t="n">
        <v>3</v>
      </c>
      <c r="I467" t="inlineStr">
        <is>
          <t>stock_net</t>
        </is>
      </c>
      <c r="J467" t="inlineStr"/>
      <c r="K467" t="inlineStr"/>
      <c r="L467" t="inlineStr"/>
      <c r="M467" t="b">
        <v>1</v>
      </c>
      <c r="N467" t="inlineStr">
        <is>
          <t>consider_stock=false</t>
        </is>
      </c>
      <c r="O467" t="inlineStr"/>
      <c r="P467" t="inlineStr"/>
      <c r="Q467" t="inlineStr"/>
      <c r="R467" t="inlineStr">
        <is>
          <t>182627.4824618915145792823731</t>
        </is>
      </c>
      <c r="S467" t="inlineStr">
        <is>
          <t>182627.4824618915145792823731</t>
        </is>
      </c>
    </row>
    <row r="468">
      <c r="A468" t="n">
        <v>5</v>
      </c>
      <c r="B468" t="n">
        <v>213</v>
      </c>
      <c r="C468" t="inlineStr">
        <is>
          <t>INGRAD-38</t>
        </is>
      </c>
      <c r="D468" t="inlineStr">
        <is>
          <t>OLIVE OIL</t>
        </is>
      </c>
      <c r="E468" t="inlineStr">
        <is>
          <t>grams</t>
        </is>
      </c>
      <c r="F468" t="inlineStr">
        <is>
          <t>child</t>
        </is>
      </c>
      <c r="G468" t="inlineStr">
        <is>
          <t>7305.099298475660583171294922 from parent 205942.9243895263312739040894 × BOM 6000 / batch_quantity 169150. Stock not applied.</t>
        </is>
      </c>
      <c r="H468" t="n">
        <v>1</v>
      </c>
      <c r="I468" t="inlineStr">
        <is>
          <t>scale_bom</t>
        </is>
      </c>
      <c r="J468" t="inlineStr">
        <is>
          <t>parent_gross × bom_qty / batch_quantity</t>
        </is>
      </c>
      <c r="K468" t="inlineStr">
        <is>
          <t>205942.9243895263312739040894 × 6000 / 169150</t>
        </is>
      </c>
      <c r="L468" t="inlineStr">
        <is>
          <t>7305.099298475660583171294922</t>
        </is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5</v>
      </c>
      <c r="B469" t="n">
        <v>213</v>
      </c>
      <c r="C469" t="inlineStr">
        <is>
          <t>INGRAD-38</t>
        </is>
      </c>
      <c r="D469" t="inlineStr">
        <is>
          <t>OLIVE OIL</t>
        </is>
      </c>
      <c r="E469" t="inlineStr">
        <is>
          <t>grams</t>
        </is>
      </c>
      <c r="F469" t="inlineStr">
        <is>
          <t>child</t>
        </is>
      </c>
      <c r="G469" t="inlineStr"/>
      <c r="H469" t="n">
        <v>2</v>
      </c>
      <c r="I469" t="inlineStr">
        <is>
          <t>gross</t>
        </is>
      </c>
      <c r="J469" t="inlineStr">
        <is>
          <t>net / recipe_yield</t>
        </is>
      </c>
      <c r="K469" t="inlineStr">
        <is>
          <t>7305.099298475660583171294922 / 1 (recipe yield 100%)</t>
        </is>
      </c>
      <c r="L469" t="inlineStr">
        <is>
          <t>7305.099298475660583171294922</t>
        </is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5</v>
      </c>
      <c r="B470" t="n">
        <v>213</v>
      </c>
      <c r="C470" t="inlineStr">
        <is>
          <t>INGRAD-38</t>
        </is>
      </c>
      <c r="D470" t="inlineStr">
        <is>
          <t>OLIVE OIL</t>
        </is>
      </c>
      <c r="E470" t="inlineStr">
        <is>
          <t>grams</t>
        </is>
      </c>
      <c r="F470" t="inlineStr">
        <is>
          <t>child</t>
        </is>
      </c>
      <c r="G470" t="inlineStr"/>
      <c r="H470" t="n">
        <v>3</v>
      </c>
      <c r="I470" t="inlineStr">
        <is>
          <t>stock_net</t>
        </is>
      </c>
      <c r="J470" t="inlineStr"/>
      <c r="K470" t="inlineStr"/>
      <c r="L470" t="inlineStr"/>
      <c r="M470" t="b">
        <v>1</v>
      </c>
      <c r="N470" t="inlineStr">
        <is>
          <t>consider_stock=false</t>
        </is>
      </c>
      <c r="O470" t="inlineStr"/>
      <c r="P470" t="inlineStr"/>
      <c r="Q470" t="inlineStr"/>
      <c r="R470" t="inlineStr">
        <is>
          <t>7305.099298475660583171294922</t>
        </is>
      </c>
      <c r="S470" t="inlineStr">
        <is>
          <t>7305.099298475660583171294922</t>
        </is>
      </c>
    </row>
    <row r="471">
      <c r="A471" t="n">
        <v>5</v>
      </c>
      <c r="B471" t="n">
        <v>128</v>
      </c>
      <c r="C471" t="inlineStr">
        <is>
          <t>SAUCE0-02</t>
        </is>
      </c>
      <c r="D471" t="inlineStr">
        <is>
          <t>LEMON JUICE</t>
        </is>
      </c>
      <c r="E471" t="inlineStr">
        <is>
          <t>grams</t>
        </is>
      </c>
      <c r="F471" t="inlineStr">
        <is>
          <t>child</t>
        </is>
      </c>
      <c r="G471" t="inlineStr">
        <is>
          <t>5478.824473856745437378471193 from parent 205942.9243895263312739040894 × BOM 4500 / batch_quantity 169150. Stock not applied.</t>
        </is>
      </c>
      <c r="H471" t="n">
        <v>1</v>
      </c>
      <c r="I471" t="inlineStr">
        <is>
          <t>scale_bom</t>
        </is>
      </c>
      <c r="J471" t="inlineStr">
        <is>
          <t>parent_gross × bom_qty / batch_quantity</t>
        </is>
      </c>
      <c r="K471" t="inlineStr">
        <is>
          <t>205942.9243895263312739040894 × 4500 / 169150</t>
        </is>
      </c>
      <c r="L471" t="inlineStr">
        <is>
          <t>5478.824473856745437378471193</t>
        </is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5</v>
      </c>
      <c r="B472" t="n">
        <v>128</v>
      </c>
      <c r="C472" t="inlineStr">
        <is>
          <t>SAUCE0-02</t>
        </is>
      </c>
      <c r="D472" t="inlineStr">
        <is>
          <t>LEMON JUICE</t>
        </is>
      </c>
      <c r="E472" t="inlineStr">
        <is>
          <t>grams</t>
        </is>
      </c>
      <c r="F472" t="inlineStr">
        <is>
          <t>child</t>
        </is>
      </c>
      <c r="G472" t="inlineStr"/>
      <c r="H472" t="n">
        <v>2</v>
      </c>
      <c r="I472" t="inlineStr">
        <is>
          <t>gross</t>
        </is>
      </c>
      <c r="J472" t="inlineStr">
        <is>
          <t>net / recipe_yield</t>
        </is>
      </c>
      <c r="K472" t="inlineStr">
        <is>
          <t>5478.824473856745437378471193 / 1 (recipe yield 100%)</t>
        </is>
      </c>
      <c r="L472" t="inlineStr">
        <is>
          <t>5478.824473856745437378471193</t>
        </is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5</v>
      </c>
      <c r="B473" t="n">
        <v>128</v>
      </c>
      <c r="C473" t="inlineStr">
        <is>
          <t>SAUCE0-02</t>
        </is>
      </c>
      <c r="D473" t="inlineStr">
        <is>
          <t>LEMON JUICE</t>
        </is>
      </c>
      <c r="E473" t="inlineStr">
        <is>
          <t>grams</t>
        </is>
      </c>
      <c r="F473" t="inlineStr">
        <is>
          <t>child</t>
        </is>
      </c>
      <c r="G473" t="inlineStr"/>
      <c r="H473" t="n">
        <v>3</v>
      </c>
      <c r="I473" t="inlineStr">
        <is>
          <t>stock_net</t>
        </is>
      </c>
      <c r="J473" t="inlineStr"/>
      <c r="K473" t="inlineStr"/>
      <c r="L473" t="inlineStr"/>
      <c r="M473" t="b">
        <v>1</v>
      </c>
      <c r="N473" t="inlineStr">
        <is>
          <t>consider_stock=false</t>
        </is>
      </c>
      <c r="O473" t="inlineStr"/>
      <c r="P473" t="inlineStr"/>
      <c r="Q473" t="inlineStr"/>
      <c r="R473" t="inlineStr">
        <is>
          <t>5478.824473856745437378471193</t>
        </is>
      </c>
      <c r="S473" t="inlineStr">
        <is>
          <t>5478.824473856745437378471193</t>
        </is>
      </c>
    </row>
    <row r="474">
      <c r="A474" t="n">
        <v>5</v>
      </c>
      <c r="B474" t="n">
        <v>66</v>
      </c>
      <c r="C474" t="inlineStr">
        <is>
          <t>VEGFRO-41</t>
        </is>
      </c>
      <c r="D474" t="inlineStr">
        <is>
          <t>BASIL CHOPPED (FROZEN)</t>
        </is>
      </c>
      <c r="E474" t="inlineStr">
        <is>
          <t>grams</t>
        </is>
      </c>
      <c r="F474" t="inlineStr">
        <is>
          <t>child</t>
        </is>
      </c>
      <c r="G474" t="inlineStr">
        <is>
          <t>4261.307924110802006849922039 from parent 205942.9243895263312739040894 × BOM 3500 / batch_quantity 169150. Stock not applied.</t>
        </is>
      </c>
      <c r="H474" t="n">
        <v>1</v>
      </c>
      <c r="I474" t="inlineStr">
        <is>
          <t>scale_bom</t>
        </is>
      </c>
      <c r="J474" t="inlineStr">
        <is>
          <t>parent_gross × bom_qty / batch_quantity</t>
        </is>
      </c>
      <c r="K474" t="inlineStr">
        <is>
          <t>205942.9243895263312739040894 × 3500 / 169150</t>
        </is>
      </c>
      <c r="L474" t="inlineStr">
        <is>
          <t>4261.307924110802006849922039</t>
        </is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5</v>
      </c>
      <c r="B475" t="n">
        <v>66</v>
      </c>
      <c r="C475" t="inlineStr">
        <is>
          <t>VEGFRO-41</t>
        </is>
      </c>
      <c r="D475" t="inlineStr">
        <is>
          <t>BASIL CHOPPED (FROZEN)</t>
        </is>
      </c>
      <c r="E475" t="inlineStr">
        <is>
          <t>grams</t>
        </is>
      </c>
      <c r="F475" t="inlineStr">
        <is>
          <t>child</t>
        </is>
      </c>
      <c r="G475" t="inlineStr"/>
      <c r="H475" t="n">
        <v>2</v>
      </c>
      <c r="I475" t="inlineStr">
        <is>
          <t>gross</t>
        </is>
      </c>
      <c r="J475" t="inlineStr">
        <is>
          <t>net / recipe_yield</t>
        </is>
      </c>
      <c r="K475" t="inlineStr">
        <is>
          <t>4261.307924110802006849922039 / 1 (recipe yield 100%)</t>
        </is>
      </c>
      <c r="L475" t="inlineStr">
        <is>
          <t>4261.307924110802006849922039</t>
        </is>
      </c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5</v>
      </c>
      <c r="B476" t="n">
        <v>66</v>
      </c>
      <c r="C476" t="inlineStr">
        <is>
          <t>VEGFRO-41</t>
        </is>
      </c>
      <c r="D476" t="inlineStr">
        <is>
          <t>BASIL CHOPPED (FROZEN)</t>
        </is>
      </c>
      <c r="E476" t="inlineStr">
        <is>
          <t>grams</t>
        </is>
      </c>
      <c r="F476" t="inlineStr">
        <is>
          <t>child</t>
        </is>
      </c>
      <c r="G476" t="inlineStr"/>
      <c r="H476" t="n">
        <v>3</v>
      </c>
      <c r="I476" t="inlineStr">
        <is>
          <t>stock_net</t>
        </is>
      </c>
      <c r="J476" t="inlineStr"/>
      <c r="K476" t="inlineStr"/>
      <c r="L476" t="inlineStr"/>
      <c r="M476" t="b">
        <v>1</v>
      </c>
      <c r="N476" t="inlineStr">
        <is>
          <t>consider_stock=false</t>
        </is>
      </c>
      <c r="O476" t="inlineStr"/>
      <c r="P476" t="inlineStr"/>
      <c r="Q476" t="inlineStr"/>
      <c r="R476" t="inlineStr">
        <is>
          <t>4261.307924110802006849922039</t>
        </is>
      </c>
      <c r="S476" t="inlineStr">
        <is>
          <t>4261.307924110802006849922039</t>
        </is>
      </c>
    </row>
    <row r="477">
      <c r="A477" t="n">
        <v>5</v>
      </c>
      <c r="B477" t="n">
        <v>56</v>
      </c>
      <c r="C477" t="inlineStr">
        <is>
          <t>VEGFRO-35</t>
        </is>
      </c>
      <c r="D477" t="inlineStr">
        <is>
          <t>PARSLEY CHOPPED (FROZEN)</t>
        </is>
      </c>
      <c r="E477" t="inlineStr">
        <is>
          <t>grams</t>
        </is>
      </c>
      <c r="F477" t="inlineStr">
        <is>
          <t>child</t>
        </is>
      </c>
      <c r="G477" t="inlineStr">
        <is>
          <t>3043.791374364858576321372885 from parent 205942.9243895263312739040894 × BOM 2500 / batch_quantity 169150. Stock not applied.</t>
        </is>
      </c>
      <c r="H477" t="n">
        <v>1</v>
      </c>
      <c r="I477" t="inlineStr">
        <is>
          <t>scale_bom</t>
        </is>
      </c>
      <c r="J477" t="inlineStr">
        <is>
          <t>parent_gross × bom_qty / batch_quantity</t>
        </is>
      </c>
      <c r="K477" t="inlineStr">
        <is>
          <t>205942.9243895263312739040894 × 2500 / 169150</t>
        </is>
      </c>
      <c r="L477" t="inlineStr">
        <is>
          <t>3043.791374364858576321372885</t>
        </is>
      </c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5</v>
      </c>
      <c r="B478" t="n">
        <v>56</v>
      </c>
      <c r="C478" t="inlineStr">
        <is>
          <t>VEGFRO-35</t>
        </is>
      </c>
      <c r="D478" t="inlineStr">
        <is>
          <t>PARSLEY CHOPPED (FROZEN)</t>
        </is>
      </c>
      <c r="E478" t="inlineStr">
        <is>
          <t>grams</t>
        </is>
      </c>
      <c r="F478" t="inlineStr">
        <is>
          <t>child</t>
        </is>
      </c>
      <c r="G478" t="inlineStr"/>
      <c r="H478" t="n">
        <v>2</v>
      </c>
      <c r="I478" t="inlineStr">
        <is>
          <t>gross</t>
        </is>
      </c>
      <c r="J478" t="inlineStr">
        <is>
          <t>net / recipe_yield</t>
        </is>
      </c>
      <c r="K478" t="inlineStr">
        <is>
          <t>3043.791374364858576321372885 / 1 (recipe yield 100%)</t>
        </is>
      </c>
      <c r="L478" t="inlineStr">
        <is>
          <t>3043.791374364858576321372885</t>
        </is>
      </c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5</v>
      </c>
      <c r="B479" t="n">
        <v>56</v>
      </c>
      <c r="C479" t="inlineStr">
        <is>
          <t>VEGFRO-35</t>
        </is>
      </c>
      <c r="D479" t="inlineStr">
        <is>
          <t>PARSLEY CHOPPED (FROZEN)</t>
        </is>
      </c>
      <c r="E479" t="inlineStr">
        <is>
          <t>grams</t>
        </is>
      </c>
      <c r="F479" t="inlineStr">
        <is>
          <t>child</t>
        </is>
      </c>
      <c r="G479" t="inlineStr"/>
      <c r="H479" t="n">
        <v>3</v>
      </c>
      <c r="I479" t="inlineStr">
        <is>
          <t>stock_net</t>
        </is>
      </c>
      <c r="J479" t="inlineStr"/>
      <c r="K479" t="inlineStr"/>
      <c r="L479" t="inlineStr"/>
      <c r="M479" t="b">
        <v>1</v>
      </c>
      <c r="N479" t="inlineStr">
        <is>
          <t>consider_stock=false</t>
        </is>
      </c>
      <c r="O479" t="inlineStr"/>
      <c r="P479" t="inlineStr"/>
      <c r="Q479" t="inlineStr"/>
      <c r="R479" t="inlineStr">
        <is>
          <t>3043.791374364858576321372885</t>
        </is>
      </c>
      <c r="S479" t="inlineStr">
        <is>
          <t>3043.791374364858576321372885</t>
        </is>
      </c>
    </row>
    <row r="480">
      <c r="A480" t="n">
        <v>5</v>
      </c>
      <c r="B480" t="n">
        <v>303</v>
      </c>
      <c r="C480" t="inlineStr">
        <is>
          <t>INGRAD-23</t>
        </is>
      </c>
      <c r="D480" t="inlineStr">
        <is>
          <t>ALMOND GROUND</t>
        </is>
      </c>
      <c r="E480" t="inlineStr">
        <is>
          <t>grams</t>
        </is>
      </c>
      <c r="F480" t="inlineStr">
        <is>
          <t>child</t>
        </is>
      </c>
      <c r="G480" t="inlineStr">
        <is>
          <t>1826.274824618915145792823731 from parent 205942.9243895263312739040894 × BOM 1500 / batch_quantity 169150. Stock not applied.</t>
        </is>
      </c>
      <c r="H480" t="n">
        <v>1</v>
      </c>
      <c r="I480" t="inlineStr">
        <is>
          <t>scale_bom</t>
        </is>
      </c>
      <c r="J480" t="inlineStr">
        <is>
          <t>parent_gross × bom_qty / batch_quantity</t>
        </is>
      </c>
      <c r="K480" t="inlineStr">
        <is>
          <t>205942.9243895263312739040894 × 1500 / 169150</t>
        </is>
      </c>
      <c r="L480" t="inlineStr">
        <is>
          <t>1826.274824618915145792823731</t>
        </is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5</v>
      </c>
      <c r="B481" t="n">
        <v>303</v>
      </c>
      <c r="C481" t="inlineStr">
        <is>
          <t>INGRAD-23</t>
        </is>
      </c>
      <c r="D481" t="inlineStr">
        <is>
          <t>ALMOND GROUND</t>
        </is>
      </c>
      <c r="E481" t="inlineStr">
        <is>
          <t>grams</t>
        </is>
      </c>
      <c r="F481" t="inlineStr">
        <is>
          <t>child</t>
        </is>
      </c>
      <c r="G481" t="inlineStr"/>
      <c r="H481" t="n">
        <v>2</v>
      </c>
      <c r="I481" t="inlineStr">
        <is>
          <t>gross</t>
        </is>
      </c>
      <c r="J481" t="inlineStr">
        <is>
          <t>net / recipe_yield</t>
        </is>
      </c>
      <c r="K481" t="inlineStr">
        <is>
          <t>1826.274824618915145792823731 / 1 (recipe yield 100%)</t>
        </is>
      </c>
      <c r="L481" t="inlineStr">
        <is>
          <t>1826.274824618915145792823731</t>
        </is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5</v>
      </c>
      <c r="B482" t="n">
        <v>303</v>
      </c>
      <c r="C482" t="inlineStr">
        <is>
          <t>INGRAD-23</t>
        </is>
      </c>
      <c r="D482" t="inlineStr">
        <is>
          <t>ALMOND GROUND</t>
        </is>
      </c>
      <c r="E482" t="inlineStr">
        <is>
          <t>grams</t>
        </is>
      </c>
      <c r="F482" t="inlineStr">
        <is>
          <t>child</t>
        </is>
      </c>
      <c r="G482" t="inlineStr"/>
      <c r="H482" t="n">
        <v>3</v>
      </c>
      <c r="I482" t="inlineStr">
        <is>
          <t>stock_net</t>
        </is>
      </c>
      <c r="J482" t="inlineStr"/>
      <c r="K482" t="inlineStr"/>
      <c r="L482" t="inlineStr"/>
      <c r="M482" t="b">
        <v>1</v>
      </c>
      <c r="N482" t="inlineStr">
        <is>
          <t>consider_stock=false</t>
        </is>
      </c>
      <c r="O482" t="inlineStr"/>
      <c r="P482" t="inlineStr"/>
      <c r="Q482" t="inlineStr"/>
      <c r="R482" t="inlineStr">
        <is>
          <t>1826.274824618915145792823731</t>
        </is>
      </c>
      <c r="S482" t="inlineStr">
        <is>
          <t>1826.274824618915145792823731</t>
        </is>
      </c>
    </row>
    <row r="483">
      <c r="A483" t="n">
        <v>5</v>
      </c>
      <c r="B483" t="n">
        <v>291</v>
      </c>
      <c r="C483" t="inlineStr">
        <is>
          <t>INGRAD-17</t>
        </is>
      </c>
      <c r="D483" t="inlineStr">
        <is>
          <t>CORN FLOUR</t>
        </is>
      </c>
      <c r="E483" t="inlineStr">
        <is>
          <t>grams</t>
        </is>
      </c>
      <c r="F483" t="inlineStr">
        <is>
          <t>child</t>
        </is>
      </c>
      <c r="G483" t="inlineStr">
        <is>
          <t>487.0066198983773722114196616 from parent 205942.9243895263312739040894 × BOM 400 / batch_quantity 169150. Stock not applied.</t>
        </is>
      </c>
      <c r="H483" t="n">
        <v>1</v>
      </c>
      <c r="I483" t="inlineStr">
        <is>
          <t>scale_bom</t>
        </is>
      </c>
      <c r="J483" t="inlineStr">
        <is>
          <t>parent_gross × bom_qty / batch_quantity</t>
        </is>
      </c>
      <c r="K483" t="inlineStr">
        <is>
          <t>205942.9243895263312739040894 × 400 / 169150</t>
        </is>
      </c>
      <c r="L483" t="inlineStr">
        <is>
          <t>487.0066198983773722114196616</t>
        </is>
      </c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5</v>
      </c>
      <c r="B484" t="n">
        <v>291</v>
      </c>
      <c r="C484" t="inlineStr">
        <is>
          <t>INGRAD-17</t>
        </is>
      </c>
      <c r="D484" t="inlineStr">
        <is>
          <t>CORN FLOUR</t>
        </is>
      </c>
      <c r="E484" t="inlineStr">
        <is>
          <t>grams</t>
        </is>
      </c>
      <c r="F484" t="inlineStr">
        <is>
          <t>child</t>
        </is>
      </c>
      <c r="G484" t="inlineStr"/>
      <c r="H484" t="n">
        <v>2</v>
      </c>
      <c r="I484" t="inlineStr">
        <is>
          <t>gross</t>
        </is>
      </c>
      <c r="J484" t="inlineStr">
        <is>
          <t>net / recipe_yield</t>
        </is>
      </c>
      <c r="K484" t="inlineStr">
        <is>
          <t>487.0066198983773722114196616 / 1 (recipe yield 100%)</t>
        </is>
      </c>
      <c r="L484" t="inlineStr">
        <is>
          <t>487.0066198983773722114196616</t>
        </is>
      </c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5</v>
      </c>
      <c r="B485" t="n">
        <v>291</v>
      </c>
      <c r="C485" t="inlineStr">
        <is>
          <t>INGRAD-17</t>
        </is>
      </c>
      <c r="D485" t="inlineStr">
        <is>
          <t>CORN FLOUR</t>
        </is>
      </c>
      <c r="E485" t="inlineStr">
        <is>
          <t>grams</t>
        </is>
      </c>
      <c r="F485" t="inlineStr">
        <is>
          <t>child</t>
        </is>
      </c>
      <c r="G485" t="inlineStr"/>
      <c r="H485" t="n">
        <v>3</v>
      </c>
      <c r="I485" t="inlineStr">
        <is>
          <t>stock_net</t>
        </is>
      </c>
      <c r="J485" t="inlineStr"/>
      <c r="K485" t="inlineStr"/>
      <c r="L485" t="inlineStr"/>
      <c r="M485" t="b">
        <v>1</v>
      </c>
      <c r="N485" t="inlineStr">
        <is>
          <t>consider_stock=false</t>
        </is>
      </c>
      <c r="O485" t="inlineStr"/>
      <c r="P485" t="inlineStr"/>
      <c r="Q485" t="inlineStr"/>
      <c r="R485" t="inlineStr">
        <is>
          <t>487.0066198983773722114196616</t>
        </is>
      </c>
      <c r="S485" t="inlineStr">
        <is>
          <t>487.0066198983773722114196616</t>
        </is>
      </c>
    </row>
    <row r="486">
      <c r="A486" t="n">
        <v>5</v>
      </c>
      <c r="B486" t="n">
        <v>1527</v>
      </c>
      <c r="C486" t="inlineStr">
        <is>
          <t>GFF574R-S</t>
        </is>
      </c>
      <c r="D486" t="inlineStr">
        <is>
          <t>Pesto Marinated Chicken (Simmers) - 574 - Spices</t>
        </is>
      </c>
      <c r="E486" t="inlineStr">
        <is>
          <t>grams</t>
        </is>
      </c>
      <c r="F486" t="inlineStr">
        <is>
          <t>child</t>
        </is>
      </c>
      <c r="G486" t="inlineStr">
        <is>
          <t>913.1374123094575728964118652 from parent 205942.9243895263312739040894 × BOM 750 / batch_quantity 169150. Stock not applied.</t>
        </is>
      </c>
      <c r="H486" t="n">
        <v>1</v>
      </c>
      <c r="I486" t="inlineStr">
        <is>
          <t>scale_bom</t>
        </is>
      </c>
      <c r="J486" t="inlineStr">
        <is>
          <t>parent_gross × bom_qty / batch_quantity</t>
        </is>
      </c>
      <c r="K486" t="inlineStr">
        <is>
          <t>205942.9243895263312739040894 × 750 / 169150</t>
        </is>
      </c>
      <c r="L486" t="inlineStr">
        <is>
          <t>913.1374123094575728964118652</t>
        </is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5</v>
      </c>
      <c r="B487" t="n">
        <v>1527</v>
      </c>
      <c r="C487" t="inlineStr">
        <is>
          <t>GFF574R-S</t>
        </is>
      </c>
      <c r="D487" t="inlineStr">
        <is>
          <t>Pesto Marinated Chicken (Simmers) - 574 - Spices</t>
        </is>
      </c>
      <c r="E487" t="inlineStr">
        <is>
          <t>grams</t>
        </is>
      </c>
      <c r="F487" t="inlineStr">
        <is>
          <t>child</t>
        </is>
      </c>
      <c r="G487" t="inlineStr"/>
      <c r="H487" t="n">
        <v>2</v>
      </c>
      <c r="I487" t="inlineStr">
        <is>
          <t>gross</t>
        </is>
      </c>
      <c r="J487" t="inlineStr">
        <is>
          <t>net / recipe_yield</t>
        </is>
      </c>
      <c r="K487" t="inlineStr">
        <is>
          <t>913.1374123094575728964118652 / 1 (recipe yield 100%)</t>
        </is>
      </c>
      <c r="L487" t="inlineStr">
        <is>
          <t>913.1374123094575728964118652</t>
        </is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5</v>
      </c>
      <c r="B488" t="n">
        <v>1527</v>
      </c>
      <c r="C488" t="inlineStr">
        <is>
          <t>GFF574R-S</t>
        </is>
      </c>
      <c r="D488" t="inlineStr">
        <is>
          <t>Pesto Marinated Chicken (Simmers) - 574 - Spices</t>
        </is>
      </c>
      <c r="E488" t="inlineStr">
        <is>
          <t>grams</t>
        </is>
      </c>
      <c r="F488" t="inlineStr">
        <is>
          <t>child</t>
        </is>
      </c>
      <c r="G488" t="inlineStr"/>
      <c r="H488" t="n">
        <v>3</v>
      </c>
      <c r="I488" t="inlineStr">
        <is>
          <t>stock_net</t>
        </is>
      </c>
      <c r="J488" t="inlineStr"/>
      <c r="K488" t="inlineStr"/>
      <c r="L488" t="inlineStr"/>
      <c r="M488" t="b">
        <v>1</v>
      </c>
      <c r="N488" t="inlineStr">
        <is>
          <t>consider_stock=false</t>
        </is>
      </c>
      <c r="O488" t="inlineStr"/>
      <c r="P488" t="inlineStr"/>
      <c r="Q488" t="inlineStr"/>
      <c r="R488" t="inlineStr">
        <is>
          <t>913.1374123094575728964118652</t>
        </is>
      </c>
      <c r="S488" t="inlineStr">
        <is>
          <t>913.1374123094575728964118652</t>
        </is>
      </c>
    </row>
    <row r="489">
      <c r="A489" t="n">
        <v>5</v>
      </c>
      <c r="B489" t="n">
        <v>48</v>
      </c>
      <c r="C489" t="inlineStr">
        <is>
          <t>SPICE0-03</t>
        </is>
      </c>
      <c r="D489" t="inlineStr">
        <is>
          <t>SUGAR</t>
        </is>
      </c>
      <c r="E489" t="inlineStr">
        <is>
          <t>grams</t>
        </is>
      </c>
      <c r="F489" t="inlineStr">
        <is>
          <t>child</t>
        </is>
      </c>
      <c r="G489" t="inlineStr">
        <is>
          <t>1600.142012603618571148189402 from parent 3600.319528358141785083426155 × BOM 1600 / batch_quantity 3600. Stock not applied.</t>
        </is>
      </c>
      <c r="H489" t="n">
        <v>1</v>
      </c>
      <c r="I489" t="inlineStr">
        <is>
          <t>scale_bom</t>
        </is>
      </c>
      <c r="J489" t="inlineStr">
        <is>
          <t>parent_gross × bom_qty / batch_quantity</t>
        </is>
      </c>
      <c r="K489" t="inlineStr">
        <is>
          <t>3600.319528358141785083426155 × 1600 / 3600</t>
        </is>
      </c>
      <c r="L489" t="inlineStr">
        <is>
          <t>1600.142012603618571148189402</t>
        </is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5</v>
      </c>
      <c r="B490" t="n">
        <v>48</v>
      </c>
      <c r="C490" t="inlineStr">
        <is>
          <t>SPICE0-03</t>
        </is>
      </c>
      <c r="D490" t="inlineStr">
        <is>
          <t>SUGAR</t>
        </is>
      </c>
      <c r="E490" t="inlineStr">
        <is>
          <t>grams</t>
        </is>
      </c>
      <c r="F490" t="inlineStr">
        <is>
          <t>child</t>
        </is>
      </c>
      <c r="G490" t="inlineStr"/>
      <c r="H490" t="n">
        <v>2</v>
      </c>
      <c r="I490" t="inlineStr">
        <is>
          <t>gross</t>
        </is>
      </c>
      <c r="J490" t="inlineStr">
        <is>
          <t>net / recipe_yield</t>
        </is>
      </c>
      <c r="K490" t="inlineStr">
        <is>
          <t>1600.142012603618571148189402 / 1 (recipe yield 100%)</t>
        </is>
      </c>
      <c r="L490" t="inlineStr">
        <is>
          <t>1600.142012603618571148189402</t>
        </is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5</v>
      </c>
      <c r="B491" t="n">
        <v>48</v>
      </c>
      <c r="C491" t="inlineStr">
        <is>
          <t>SPICE0-03</t>
        </is>
      </c>
      <c r="D491" t="inlineStr">
        <is>
          <t>SUGAR</t>
        </is>
      </c>
      <c r="E491" t="inlineStr">
        <is>
          <t>grams</t>
        </is>
      </c>
      <c r="F491" t="inlineStr">
        <is>
          <t>child</t>
        </is>
      </c>
      <c r="G491" t="inlineStr"/>
      <c r="H491" t="n">
        <v>3</v>
      </c>
      <c r="I491" t="inlineStr">
        <is>
          <t>stock_net</t>
        </is>
      </c>
      <c r="J491" t="inlineStr"/>
      <c r="K491" t="inlineStr"/>
      <c r="L491" t="inlineStr"/>
      <c r="M491" t="b">
        <v>1</v>
      </c>
      <c r="N491" t="inlineStr">
        <is>
          <t>consider_stock=false</t>
        </is>
      </c>
      <c r="O491" t="inlineStr"/>
      <c r="P491" t="inlineStr"/>
      <c r="Q491" t="inlineStr"/>
      <c r="R491" t="inlineStr">
        <is>
          <t>1600.142012603618571148189402</t>
        </is>
      </c>
      <c r="S491" t="inlineStr">
        <is>
          <t>1600.142012603618571148189402</t>
        </is>
      </c>
    </row>
    <row r="492">
      <c r="A492" t="n">
        <v>5</v>
      </c>
      <c r="B492" t="n">
        <v>110</v>
      </c>
      <c r="C492" t="inlineStr">
        <is>
          <t>SPICE0-47</t>
        </is>
      </c>
      <c r="D492" t="inlineStr">
        <is>
          <t>DRY MIXED HERBS</t>
        </is>
      </c>
      <c r="E492" t="inlineStr">
        <is>
          <t>grams</t>
        </is>
      </c>
      <c r="F492" t="inlineStr">
        <is>
          <t>child</t>
        </is>
      </c>
      <c r="G492" t="inlineStr">
        <is>
          <t>800.0710063018092855740947011 from parent 3600.319528358141785083426155 × BOM 800 / batch_quantity 3600. Stock not applied.</t>
        </is>
      </c>
      <c r="H492" t="n">
        <v>1</v>
      </c>
      <c r="I492" t="inlineStr">
        <is>
          <t>scale_bom</t>
        </is>
      </c>
      <c r="J492" t="inlineStr">
        <is>
          <t>parent_gross × bom_qty / batch_quantity</t>
        </is>
      </c>
      <c r="K492" t="inlineStr">
        <is>
          <t>3600.319528358141785083426155 × 800 / 3600</t>
        </is>
      </c>
      <c r="L492" t="inlineStr">
        <is>
          <t>800.0710063018092855740947011</t>
        </is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5</v>
      </c>
      <c r="B493" t="n">
        <v>110</v>
      </c>
      <c r="C493" t="inlineStr">
        <is>
          <t>SPICE0-47</t>
        </is>
      </c>
      <c r="D493" t="inlineStr">
        <is>
          <t>DRY MIXED HERBS</t>
        </is>
      </c>
      <c r="E493" t="inlineStr">
        <is>
          <t>grams</t>
        </is>
      </c>
      <c r="F493" t="inlineStr">
        <is>
          <t>child</t>
        </is>
      </c>
      <c r="G493" t="inlineStr"/>
      <c r="H493" t="n">
        <v>2</v>
      </c>
      <c r="I493" t="inlineStr">
        <is>
          <t>gross</t>
        </is>
      </c>
      <c r="J493" t="inlineStr">
        <is>
          <t>net / recipe_yield</t>
        </is>
      </c>
      <c r="K493" t="inlineStr">
        <is>
          <t>800.0710063018092855740947011 / 1 (recipe yield 100%)</t>
        </is>
      </c>
      <c r="L493" t="inlineStr">
        <is>
          <t>800.0710063018092855740947011</t>
        </is>
      </c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5</v>
      </c>
      <c r="B494" t="n">
        <v>110</v>
      </c>
      <c r="C494" t="inlineStr">
        <is>
          <t>SPICE0-47</t>
        </is>
      </c>
      <c r="D494" t="inlineStr">
        <is>
          <t>DRY MIXED HERBS</t>
        </is>
      </c>
      <c r="E494" t="inlineStr">
        <is>
          <t>grams</t>
        </is>
      </c>
      <c r="F494" t="inlineStr">
        <is>
          <t>child</t>
        </is>
      </c>
      <c r="G494" t="inlineStr"/>
      <c r="H494" t="n">
        <v>3</v>
      </c>
      <c r="I494" t="inlineStr">
        <is>
          <t>stock_net</t>
        </is>
      </c>
      <c r="J494" t="inlineStr"/>
      <c r="K494" t="inlineStr"/>
      <c r="L494" t="inlineStr"/>
      <c r="M494" t="b">
        <v>1</v>
      </c>
      <c r="N494" t="inlineStr">
        <is>
          <t>consider_stock=false</t>
        </is>
      </c>
      <c r="O494" t="inlineStr"/>
      <c r="P494" t="inlineStr"/>
      <c r="Q494" t="inlineStr"/>
      <c r="R494" t="inlineStr">
        <is>
          <t>800.0710063018092855740947011</t>
        </is>
      </c>
      <c r="S494" t="inlineStr">
        <is>
          <t>800.0710063018092855740947011</t>
        </is>
      </c>
    </row>
    <row r="495">
      <c r="A495" t="n">
        <v>5</v>
      </c>
      <c r="B495" t="n">
        <v>47</v>
      </c>
      <c r="C495" t="inlineStr">
        <is>
          <t>SPICE0-02</t>
        </is>
      </c>
      <c r="D495" t="inlineStr">
        <is>
          <t>SALT</t>
        </is>
      </c>
      <c r="E495" t="inlineStr">
        <is>
          <t>grams</t>
        </is>
      </c>
      <c r="F495" t="inlineStr">
        <is>
          <t>child</t>
        </is>
      </c>
      <c r="G495" t="inlineStr">
        <is>
          <t>500.0443789386308034838091883 from parent 3600.319528358141785083426155 × BOM 500 / batch_quantity 3600. Stock not applied.</t>
        </is>
      </c>
      <c r="H495" t="n">
        <v>1</v>
      </c>
      <c r="I495" t="inlineStr">
        <is>
          <t>scale_bom</t>
        </is>
      </c>
      <c r="J495" t="inlineStr">
        <is>
          <t>parent_gross × bom_qty / batch_quantity</t>
        </is>
      </c>
      <c r="K495" t="inlineStr">
        <is>
          <t>3600.319528358141785083426155 × 500 / 3600</t>
        </is>
      </c>
      <c r="L495" t="inlineStr">
        <is>
          <t>500.0443789386308034838091883</t>
        </is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5</v>
      </c>
      <c r="B496" t="n">
        <v>47</v>
      </c>
      <c r="C496" t="inlineStr">
        <is>
          <t>SPICE0-02</t>
        </is>
      </c>
      <c r="D496" t="inlineStr">
        <is>
          <t>SALT</t>
        </is>
      </c>
      <c r="E496" t="inlineStr">
        <is>
          <t>grams</t>
        </is>
      </c>
      <c r="F496" t="inlineStr">
        <is>
          <t>child</t>
        </is>
      </c>
      <c r="G496" t="inlineStr"/>
      <c r="H496" t="n">
        <v>2</v>
      </c>
      <c r="I496" t="inlineStr">
        <is>
          <t>gross</t>
        </is>
      </c>
      <c r="J496" t="inlineStr">
        <is>
          <t>net / recipe_yield</t>
        </is>
      </c>
      <c r="K496" t="inlineStr">
        <is>
          <t>500.0443789386308034838091883 / 1 (recipe yield 100%)</t>
        </is>
      </c>
      <c r="L496" t="inlineStr">
        <is>
          <t>500.0443789386308034838091883</t>
        </is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5</v>
      </c>
      <c r="B497" t="n">
        <v>47</v>
      </c>
      <c r="C497" t="inlineStr">
        <is>
          <t>SPICE0-02</t>
        </is>
      </c>
      <c r="D497" t="inlineStr">
        <is>
          <t>SALT</t>
        </is>
      </c>
      <c r="E497" t="inlineStr">
        <is>
          <t>grams</t>
        </is>
      </c>
      <c r="F497" t="inlineStr">
        <is>
          <t>child</t>
        </is>
      </c>
      <c r="G497" t="inlineStr"/>
      <c r="H497" t="n">
        <v>3</v>
      </c>
      <c r="I497" t="inlineStr">
        <is>
          <t>stock_net</t>
        </is>
      </c>
      <c r="J497" t="inlineStr"/>
      <c r="K497" t="inlineStr"/>
      <c r="L497" t="inlineStr"/>
      <c r="M497" t="b">
        <v>1</v>
      </c>
      <c r="N497" t="inlineStr">
        <is>
          <t>consider_stock=false</t>
        </is>
      </c>
      <c r="O497" t="inlineStr"/>
      <c r="P497" t="inlineStr"/>
      <c r="Q497" t="inlineStr"/>
      <c r="R497" t="inlineStr">
        <is>
          <t>500.0443789386308034838091883</t>
        </is>
      </c>
      <c r="S497" t="inlineStr">
        <is>
          <t>500.0443789386308034838091883</t>
        </is>
      </c>
    </row>
    <row r="498">
      <c r="A498" t="n">
        <v>5</v>
      </c>
      <c r="B498" t="n">
        <v>112</v>
      </c>
      <c r="C498" t="inlineStr">
        <is>
          <t>SPICE0-49</t>
        </is>
      </c>
      <c r="D498" t="inlineStr">
        <is>
          <t>Veg Buillion</t>
        </is>
      </c>
      <c r="E498" t="inlineStr">
        <is>
          <t>grams</t>
        </is>
      </c>
      <c r="F498" t="inlineStr">
        <is>
          <t>child</t>
        </is>
      </c>
      <c r="G498" t="inlineStr">
        <is>
          <t>500.0443789386308034838091883 from parent 3600.319528358141785083426155 × BOM 500 / batch_quantity 3600. Stock not applied.</t>
        </is>
      </c>
      <c r="H498" t="n">
        <v>1</v>
      </c>
      <c r="I498" t="inlineStr">
        <is>
          <t>scale_bom</t>
        </is>
      </c>
      <c r="J498" t="inlineStr">
        <is>
          <t>parent_gross × bom_qty / batch_quantity</t>
        </is>
      </c>
      <c r="K498" t="inlineStr">
        <is>
          <t>3600.319528358141785083426155 × 500 / 3600</t>
        </is>
      </c>
      <c r="L498" t="inlineStr">
        <is>
          <t>500.0443789386308034838091883</t>
        </is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5</v>
      </c>
      <c r="B499" t="n">
        <v>112</v>
      </c>
      <c r="C499" t="inlineStr">
        <is>
          <t>SPICE0-49</t>
        </is>
      </c>
      <c r="D499" t="inlineStr">
        <is>
          <t>Veg Buillion</t>
        </is>
      </c>
      <c r="E499" t="inlineStr">
        <is>
          <t>grams</t>
        </is>
      </c>
      <c r="F499" t="inlineStr">
        <is>
          <t>child</t>
        </is>
      </c>
      <c r="G499" t="inlineStr"/>
      <c r="H499" t="n">
        <v>2</v>
      </c>
      <c r="I499" t="inlineStr">
        <is>
          <t>gross</t>
        </is>
      </c>
      <c r="J499" t="inlineStr">
        <is>
          <t>net / recipe_yield</t>
        </is>
      </c>
      <c r="K499" t="inlineStr">
        <is>
          <t>500.0443789386308034838091883 / 1 (recipe yield 100%)</t>
        </is>
      </c>
      <c r="L499" t="inlineStr">
        <is>
          <t>500.0443789386308034838091883</t>
        </is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5</v>
      </c>
      <c r="B500" t="n">
        <v>112</v>
      </c>
      <c r="C500" t="inlineStr">
        <is>
          <t>SPICE0-49</t>
        </is>
      </c>
      <c r="D500" t="inlineStr">
        <is>
          <t>Veg Buillion</t>
        </is>
      </c>
      <c r="E500" t="inlineStr">
        <is>
          <t>grams</t>
        </is>
      </c>
      <c r="F500" t="inlineStr">
        <is>
          <t>child</t>
        </is>
      </c>
      <c r="G500" t="inlineStr"/>
      <c r="H500" t="n">
        <v>3</v>
      </c>
      <c r="I500" t="inlineStr">
        <is>
          <t>stock_net</t>
        </is>
      </c>
      <c r="J500" t="inlineStr"/>
      <c r="K500" t="inlineStr"/>
      <c r="L500" t="inlineStr"/>
      <c r="M500" t="b">
        <v>1</v>
      </c>
      <c r="N500" t="inlineStr">
        <is>
          <t>consider_stock=false</t>
        </is>
      </c>
      <c r="O500" t="inlineStr"/>
      <c r="P500" t="inlineStr"/>
      <c r="Q500" t="inlineStr"/>
      <c r="R500" t="inlineStr">
        <is>
          <t>500.0443789386308034838091883</t>
        </is>
      </c>
      <c r="S500" t="inlineStr">
        <is>
          <t>500.0443789386308034838091883</t>
        </is>
      </c>
    </row>
    <row r="501">
      <c r="A501" t="n">
        <v>5</v>
      </c>
      <c r="B501" t="n">
        <v>83</v>
      </c>
      <c r="C501" t="inlineStr">
        <is>
          <t>SPICE0-24</t>
        </is>
      </c>
      <c r="D501" t="inlineStr">
        <is>
          <t>BLACK PEPPER COARSE HT</t>
        </is>
      </c>
      <c r="E501" t="inlineStr">
        <is>
          <t>grams</t>
        </is>
      </c>
      <c r="F501" t="inlineStr">
        <is>
          <t>child</t>
        </is>
      </c>
      <c r="G501" t="inlineStr">
        <is>
          <t>200.0177515754523213935236753 from parent 3600.319528358141785083426155 × BOM 200 / batch_quantity 3600. Stock not applied.</t>
        </is>
      </c>
      <c r="H501" t="n">
        <v>1</v>
      </c>
      <c r="I501" t="inlineStr">
        <is>
          <t>scale_bom</t>
        </is>
      </c>
      <c r="J501" t="inlineStr">
        <is>
          <t>parent_gross × bom_qty / batch_quantity</t>
        </is>
      </c>
      <c r="K501" t="inlineStr">
        <is>
          <t>3600.319528358141785083426155 × 200 / 3600</t>
        </is>
      </c>
      <c r="L501" t="inlineStr">
        <is>
          <t>200.0177515754523213935236753</t>
        </is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</v>
      </c>
      <c r="B502" t="n">
        <v>83</v>
      </c>
      <c r="C502" t="inlineStr">
        <is>
          <t>SPICE0-24</t>
        </is>
      </c>
      <c r="D502" t="inlineStr">
        <is>
          <t>BLACK PEPPER COARSE HT</t>
        </is>
      </c>
      <c r="E502" t="inlineStr">
        <is>
          <t>grams</t>
        </is>
      </c>
      <c r="F502" t="inlineStr">
        <is>
          <t>child</t>
        </is>
      </c>
      <c r="G502" t="inlineStr"/>
      <c r="H502" t="n">
        <v>2</v>
      </c>
      <c r="I502" t="inlineStr">
        <is>
          <t>gross</t>
        </is>
      </c>
      <c r="J502" t="inlineStr">
        <is>
          <t>net / recipe_yield</t>
        </is>
      </c>
      <c r="K502" t="inlineStr">
        <is>
          <t>200.0177515754523213935236753 / 1 (recipe yield 100%)</t>
        </is>
      </c>
      <c r="L502" t="inlineStr">
        <is>
          <t>200.0177515754523213935236753</t>
        </is>
      </c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</v>
      </c>
      <c r="B503" t="n">
        <v>83</v>
      </c>
      <c r="C503" t="inlineStr">
        <is>
          <t>SPICE0-24</t>
        </is>
      </c>
      <c r="D503" t="inlineStr">
        <is>
          <t>BLACK PEPPER COARSE HT</t>
        </is>
      </c>
      <c r="E503" t="inlineStr">
        <is>
          <t>grams</t>
        </is>
      </c>
      <c r="F503" t="inlineStr">
        <is>
          <t>child</t>
        </is>
      </c>
      <c r="G503" t="inlineStr"/>
      <c r="H503" t="n">
        <v>3</v>
      </c>
      <c r="I503" t="inlineStr">
        <is>
          <t>stock_net</t>
        </is>
      </c>
      <c r="J503" t="inlineStr"/>
      <c r="K503" t="inlineStr"/>
      <c r="L503" t="inlineStr"/>
      <c r="M503" t="b">
        <v>1</v>
      </c>
      <c r="N503" t="inlineStr">
        <is>
          <t>consider_stock=false</t>
        </is>
      </c>
      <c r="O503" t="inlineStr"/>
      <c r="P503" t="inlineStr"/>
      <c r="Q503" t="inlineStr"/>
      <c r="R503" t="inlineStr">
        <is>
          <t>200.0177515754523213935236753</t>
        </is>
      </c>
      <c r="S503" t="inlineStr">
        <is>
          <t>200.0177515754523213935236753</t>
        </is>
      </c>
    </row>
    <row r="504">
      <c r="A504" t="n">
        <v>5</v>
      </c>
      <c r="B504" t="n">
        <v>463</v>
      </c>
      <c r="C504" t="inlineStr">
        <is>
          <t>PROTEIN-37</t>
        </is>
      </c>
      <c r="D504" t="inlineStr">
        <is>
          <t>EU CHICKEN BREAST DICED 12-15g</t>
        </is>
      </c>
      <c r="E504" t="inlineStr">
        <is>
          <t>grams</t>
        </is>
      </c>
      <c r="F504" t="inlineStr">
        <is>
          <t>child</t>
        </is>
      </c>
      <c r="G504" t="inlineStr">
        <is>
          <t>717481.7694404946710672215191 from parent 786838.3404864091559370529328 × BOM 150000 / batch_quantity 164500. Stock not applied.</t>
        </is>
      </c>
      <c r="H504" t="n">
        <v>1</v>
      </c>
      <c r="I504" t="inlineStr">
        <is>
          <t>scale_bom</t>
        </is>
      </c>
      <c r="J504" t="inlineStr">
        <is>
          <t>parent_gross × bom_qty / batch_quantity</t>
        </is>
      </c>
      <c r="K504" t="inlineStr">
        <is>
          <t>786838.3404864091559370529328 × 150000 / 164500</t>
        </is>
      </c>
      <c r="L504" t="inlineStr">
        <is>
          <t>717481.7694404946710672215191</t>
        </is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</v>
      </c>
      <c r="B505" t="n">
        <v>463</v>
      </c>
      <c r="C505" t="inlineStr">
        <is>
          <t>PROTEIN-37</t>
        </is>
      </c>
      <c r="D505" t="inlineStr">
        <is>
          <t>EU CHICKEN BREAST DICED 12-15g</t>
        </is>
      </c>
      <c r="E505" t="inlineStr">
        <is>
          <t>grams</t>
        </is>
      </c>
      <c r="F505" t="inlineStr">
        <is>
          <t>child</t>
        </is>
      </c>
      <c r="G505" t="inlineStr"/>
      <c r="H505" t="n">
        <v>2</v>
      </c>
      <c r="I505" t="inlineStr">
        <is>
          <t>gross</t>
        </is>
      </c>
      <c r="J505" t="inlineStr">
        <is>
          <t>net / recipe_yield</t>
        </is>
      </c>
      <c r="K505" t="inlineStr">
        <is>
          <t>717481.7694404946710672215191 / 1 (recipe yield 100%)</t>
        </is>
      </c>
      <c r="L505" t="inlineStr">
        <is>
          <t>717481.7694404946710672215191</t>
        </is>
      </c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</v>
      </c>
      <c r="B506" t="n">
        <v>463</v>
      </c>
      <c r="C506" t="inlineStr">
        <is>
          <t>PROTEIN-37</t>
        </is>
      </c>
      <c r="D506" t="inlineStr">
        <is>
          <t>EU CHICKEN BREAST DICED 12-15g</t>
        </is>
      </c>
      <c r="E506" t="inlineStr">
        <is>
          <t>grams</t>
        </is>
      </c>
      <c r="F506" t="inlineStr">
        <is>
          <t>child</t>
        </is>
      </c>
      <c r="G506" t="inlineStr"/>
      <c r="H506" t="n">
        <v>3</v>
      </c>
      <c r="I506" t="inlineStr">
        <is>
          <t>stock_net</t>
        </is>
      </c>
      <c r="J506" t="inlineStr"/>
      <c r="K506" t="inlineStr"/>
      <c r="L506" t="inlineStr"/>
      <c r="M506" t="b">
        <v>1</v>
      </c>
      <c r="N506" t="inlineStr">
        <is>
          <t>consider_stock=false</t>
        </is>
      </c>
      <c r="O506" t="inlineStr"/>
      <c r="P506" t="inlineStr"/>
      <c r="Q506" t="inlineStr"/>
      <c r="R506" t="inlineStr">
        <is>
          <t>717481.7694404946710672215191</t>
        </is>
      </c>
      <c r="S506" t="inlineStr">
        <is>
          <t>717481.7694404946710672215191</t>
        </is>
      </c>
    </row>
    <row r="507">
      <c r="A507" t="n">
        <v>5</v>
      </c>
      <c r="B507" t="n">
        <v>213</v>
      </c>
      <c r="C507" t="inlineStr">
        <is>
          <t>INGRAD-38</t>
        </is>
      </c>
      <c r="D507" t="inlineStr">
        <is>
          <t>OLIVE OIL</t>
        </is>
      </c>
      <c r="E507" t="inlineStr">
        <is>
          <t>grams</t>
        </is>
      </c>
      <c r="F507" t="inlineStr">
        <is>
          <t>child</t>
        </is>
      </c>
      <c r="G507" t="inlineStr">
        <is>
          <t>14349.63538880989342134443038 from parent 786838.3404864091559370529328 × BOM 3000 / batch_quantity 164500. Stock not applied.</t>
        </is>
      </c>
      <c r="H507" t="n">
        <v>1</v>
      </c>
      <c r="I507" t="inlineStr">
        <is>
          <t>scale_bom</t>
        </is>
      </c>
      <c r="J507" t="inlineStr">
        <is>
          <t>parent_gross × bom_qty / batch_quantity</t>
        </is>
      </c>
      <c r="K507" t="inlineStr">
        <is>
          <t>786838.3404864091559370529328 × 3000 / 164500</t>
        </is>
      </c>
      <c r="L507" t="inlineStr">
        <is>
          <t>14349.63538880989342134443038</t>
        </is>
      </c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</v>
      </c>
      <c r="B508" t="n">
        <v>213</v>
      </c>
      <c r="C508" t="inlineStr">
        <is>
          <t>INGRAD-38</t>
        </is>
      </c>
      <c r="D508" t="inlineStr">
        <is>
          <t>OLIVE OIL</t>
        </is>
      </c>
      <c r="E508" t="inlineStr">
        <is>
          <t>grams</t>
        </is>
      </c>
      <c r="F508" t="inlineStr">
        <is>
          <t>child</t>
        </is>
      </c>
      <c r="G508" t="inlineStr"/>
      <c r="H508" t="n">
        <v>2</v>
      </c>
      <c r="I508" t="inlineStr">
        <is>
          <t>gross</t>
        </is>
      </c>
      <c r="J508" t="inlineStr">
        <is>
          <t>net / recipe_yield</t>
        </is>
      </c>
      <c r="K508" t="inlineStr">
        <is>
          <t>14349.63538880989342134443038 / 1 (recipe yield 100%)</t>
        </is>
      </c>
      <c r="L508" t="inlineStr">
        <is>
          <t>14349.63538880989342134443038</t>
        </is>
      </c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</v>
      </c>
      <c r="B509" t="n">
        <v>213</v>
      </c>
      <c r="C509" t="inlineStr">
        <is>
          <t>INGRAD-38</t>
        </is>
      </c>
      <c r="D509" t="inlineStr">
        <is>
          <t>OLIVE OIL</t>
        </is>
      </c>
      <c r="E509" t="inlineStr">
        <is>
          <t>grams</t>
        </is>
      </c>
      <c r="F509" t="inlineStr">
        <is>
          <t>child</t>
        </is>
      </c>
      <c r="G509" t="inlineStr"/>
      <c r="H509" t="n">
        <v>3</v>
      </c>
      <c r="I509" t="inlineStr">
        <is>
          <t>stock_net</t>
        </is>
      </c>
      <c r="J509" t="inlineStr"/>
      <c r="K509" t="inlineStr"/>
      <c r="L509" t="inlineStr"/>
      <c r="M509" t="b">
        <v>1</v>
      </c>
      <c r="N509" t="inlineStr">
        <is>
          <t>consider_stock=false</t>
        </is>
      </c>
      <c r="O509" t="inlineStr"/>
      <c r="P509" t="inlineStr"/>
      <c r="Q509" t="inlineStr"/>
      <c r="R509" t="inlineStr">
        <is>
          <t>14349.63538880989342134443038</t>
        </is>
      </c>
      <c r="S509" t="inlineStr">
        <is>
          <t>14349.63538880989342134443038</t>
        </is>
      </c>
    </row>
    <row r="510">
      <c r="A510" t="n">
        <v>5</v>
      </c>
      <c r="B510" t="n">
        <v>29</v>
      </c>
      <c r="C510" t="inlineStr">
        <is>
          <t>VEGFRO-11</t>
        </is>
      </c>
      <c r="D510" t="inlineStr">
        <is>
          <t>GARLIC PUREE (FROZEN)</t>
        </is>
      </c>
      <c r="E510" t="inlineStr">
        <is>
          <t>grams</t>
        </is>
      </c>
      <c r="F510" t="inlineStr">
        <is>
          <t>child</t>
        </is>
      </c>
      <c r="G510" t="inlineStr">
        <is>
          <t>14349.63538880989342134443038 from parent 786838.3404864091559370529328 × BOM 3000 / batch_quantity 164500. Stock not applied.</t>
        </is>
      </c>
      <c r="H510" t="n">
        <v>1</v>
      </c>
      <c r="I510" t="inlineStr">
        <is>
          <t>scale_bom</t>
        </is>
      </c>
      <c r="J510" t="inlineStr">
        <is>
          <t>parent_gross × bom_qty / batch_quantity</t>
        </is>
      </c>
      <c r="K510" t="inlineStr">
        <is>
          <t>786838.3404864091559370529328 × 3000 / 164500</t>
        </is>
      </c>
      <c r="L510" t="inlineStr">
        <is>
          <t>14349.63538880989342134443038</t>
        </is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</v>
      </c>
      <c r="B511" t="n">
        <v>29</v>
      </c>
      <c r="C511" t="inlineStr">
        <is>
          <t>VEGFRO-11</t>
        </is>
      </c>
      <c r="D511" t="inlineStr">
        <is>
          <t>GARLIC PUREE (FROZEN)</t>
        </is>
      </c>
      <c r="E511" t="inlineStr">
        <is>
          <t>grams</t>
        </is>
      </c>
      <c r="F511" t="inlineStr">
        <is>
          <t>child</t>
        </is>
      </c>
      <c r="G511" t="inlineStr"/>
      <c r="H511" t="n">
        <v>2</v>
      </c>
      <c r="I511" t="inlineStr">
        <is>
          <t>gross</t>
        </is>
      </c>
      <c r="J511" t="inlineStr">
        <is>
          <t>net / recipe_yield</t>
        </is>
      </c>
      <c r="K511" t="inlineStr">
        <is>
          <t>14349.63538880989342134443038 / 1 (recipe yield 100%)</t>
        </is>
      </c>
      <c r="L511" t="inlineStr">
        <is>
          <t>14349.63538880989342134443038</t>
        </is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</v>
      </c>
      <c r="B512" t="n">
        <v>29</v>
      </c>
      <c r="C512" t="inlineStr">
        <is>
          <t>VEGFRO-11</t>
        </is>
      </c>
      <c r="D512" t="inlineStr">
        <is>
          <t>GARLIC PUREE (FROZEN)</t>
        </is>
      </c>
      <c r="E512" t="inlineStr">
        <is>
          <t>grams</t>
        </is>
      </c>
      <c r="F512" t="inlineStr">
        <is>
          <t>child</t>
        </is>
      </c>
      <c r="G512" t="inlineStr"/>
      <c r="H512" t="n">
        <v>3</v>
      </c>
      <c r="I512" t="inlineStr">
        <is>
          <t>stock_net</t>
        </is>
      </c>
      <c r="J512" t="inlineStr"/>
      <c r="K512" t="inlineStr"/>
      <c r="L512" t="inlineStr"/>
      <c r="M512" t="b">
        <v>1</v>
      </c>
      <c r="N512" t="inlineStr">
        <is>
          <t>consider_stock=false</t>
        </is>
      </c>
      <c r="O512" t="inlineStr"/>
      <c r="P512" t="inlineStr"/>
      <c r="Q512" t="inlineStr"/>
      <c r="R512" t="inlineStr">
        <is>
          <t>14349.63538880989342134443038</t>
        </is>
      </c>
      <c r="S512" t="inlineStr">
        <is>
          <t>14349.63538880989342134443038</t>
        </is>
      </c>
    </row>
    <row r="513">
      <c r="A513" t="n">
        <v>5</v>
      </c>
      <c r="B513" t="n">
        <v>128</v>
      </c>
      <c r="C513" t="inlineStr">
        <is>
          <t>SAUCE0-02</t>
        </is>
      </c>
      <c r="D513" t="inlineStr">
        <is>
          <t>LEMON JUICE</t>
        </is>
      </c>
      <c r="E513" t="inlineStr">
        <is>
          <t>grams</t>
        </is>
      </c>
      <c r="F513" t="inlineStr">
        <is>
          <t>child</t>
        </is>
      </c>
      <c r="G513" t="inlineStr">
        <is>
          <t>14349.63538880989342134443038 from parent 786838.3404864091559370529328 × BOM 3000 / batch_quantity 164500. Stock not applied.</t>
        </is>
      </c>
      <c r="H513" t="n">
        <v>1</v>
      </c>
      <c r="I513" t="inlineStr">
        <is>
          <t>scale_bom</t>
        </is>
      </c>
      <c r="J513" t="inlineStr">
        <is>
          <t>parent_gross × bom_qty / batch_quantity</t>
        </is>
      </c>
      <c r="K513" t="inlineStr">
        <is>
          <t>786838.3404864091559370529328 × 3000 / 164500</t>
        </is>
      </c>
      <c r="L513" t="inlineStr">
        <is>
          <t>14349.63538880989342134443038</t>
        </is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</v>
      </c>
      <c r="B514" t="n">
        <v>128</v>
      </c>
      <c r="C514" t="inlineStr">
        <is>
          <t>SAUCE0-02</t>
        </is>
      </c>
      <c r="D514" t="inlineStr">
        <is>
          <t>LEMON JUICE</t>
        </is>
      </c>
      <c r="E514" t="inlineStr">
        <is>
          <t>grams</t>
        </is>
      </c>
      <c r="F514" t="inlineStr">
        <is>
          <t>child</t>
        </is>
      </c>
      <c r="G514" t="inlineStr"/>
      <c r="H514" t="n">
        <v>2</v>
      </c>
      <c r="I514" t="inlineStr">
        <is>
          <t>gross</t>
        </is>
      </c>
      <c r="J514" t="inlineStr">
        <is>
          <t>net / recipe_yield</t>
        </is>
      </c>
      <c r="K514" t="inlineStr">
        <is>
          <t>14349.63538880989342134443038 / 1 (recipe yield 100%)</t>
        </is>
      </c>
      <c r="L514" t="inlineStr">
        <is>
          <t>14349.63538880989342134443038</t>
        </is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</v>
      </c>
      <c r="B515" t="n">
        <v>128</v>
      </c>
      <c r="C515" t="inlineStr">
        <is>
          <t>SAUCE0-02</t>
        </is>
      </c>
      <c r="D515" t="inlineStr">
        <is>
          <t>LEMON JUICE</t>
        </is>
      </c>
      <c r="E515" t="inlineStr">
        <is>
          <t>grams</t>
        </is>
      </c>
      <c r="F515" t="inlineStr">
        <is>
          <t>child</t>
        </is>
      </c>
      <c r="G515" t="inlineStr"/>
      <c r="H515" t="n">
        <v>3</v>
      </c>
      <c r="I515" t="inlineStr">
        <is>
          <t>stock_net</t>
        </is>
      </c>
      <c r="J515" t="inlineStr"/>
      <c r="K515" t="inlineStr"/>
      <c r="L515" t="inlineStr"/>
      <c r="M515" t="b">
        <v>1</v>
      </c>
      <c r="N515" t="inlineStr">
        <is>
          <t>consider_stock=false</t>
        </is>
      </c>
      <c r="O515" t="inlineStr"/>
      <c r="P515" t="inlineStr"/>
      <c r="Q515" t="inlineStr"/>
      <c r="R515" t="inlineStr">
        <is>
          <t>14349.63538880989342134443038</t>
        </is>
      </c>
      <c r="S515" t="inlineStr">
        <is>
          <t>14349.63538880989342134443038</t>
        </is>
      </c>
    </row>
    <row r="516">
      <c r="A516" t="n">
        <v>5</v>
      </c>
      <c r="B516" t="n">
        <v>291</v>
      </c>
      <c r="C516" t="inlineStr">
        <is>
          <t>INGRAD-17</t>
        </is>
      </c>
      <c r="D516" t="inlineStr">
        <is>
          <t>CORN FLOUR</t>
        </is>
      </c>
      <c r="E516" t="inlineStr">
        <is>
          <t>grams</t>
        </is>
      </c>
      <c r="F516" t="inlineStr">
        <is>
          <t>child</t>
        </is>
      </c>
      <c r="G516" t="inlineStr">
        <is>
          <t>9566.423592539928947562953593 from parent 786838.3404864091559370529328 × BOM 2000 / batch_quantity 164500. Stock not applied.</t>
        </is>
      </c>
      <c r="H516" t="n">
        <v>1</v>
      </c>
      <c r="I516" t="inlineStr">
        <is>
          <t>scale_bom</t>
        </is>
      </c>
      <c r="J516" t="inlineStr">
        <is>
          <t>parent_gross × bom_qty / batch_quantity</t>
        </is>
      </c>
      <c r="K516" t="inlineStr">
        <is>
          <t>786838.3404864091559370529328 × 2000 / 164500</t>
        </is>
      </c>
      <c r="L516" t="inlineStr">
        <is>
          <t>9566.423592539928947562953593</t>
        </is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</v>
      </c>
      <c r="B517" t="n">
        <v>291</v>
      </c>
      <c r="C517" t="inlineStr">
        <is>
          <t>INGRAD-17</t>
        </is>
      </c>
      <c r="D517" t="inlineStr">
        <is>
          <t>CORN FLOUR</t>
        </is>
      </c>
      <c r="E517" t="inlineStr">
        <is>
          <t>grams</t>
        </is>
      </c>
      <c r="F517" t="inlineStr">
        <is>
          <t>child</t>
        </is>
      </c>
      <c r="G517" t="inlineStr"/>
      <c r="H517" t="n">
        <v>2</v>
      </c>
      <c r="I517" t="inlineStr">
        <is>
          <t>gross</t>
        </is>
      </c>
      <c r="J517" t="inlineStr">
        <is>
          <t>net / recipe_yield</t>
        </is>
      </c>
      <c r="K517" t="inlineStr">
        <is>
          <t>9566.423592539928947562953593 / 1 (recipe yield 100%)</t>
        </is>
      </c>
      <c r="L517" t="inlineStr">
        <is>
          <t>9566.423592539928947562953593</t>
        </is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</v>
      </c>
      <c r="B518" t="n">
        <v>291</v>
      </c>
      <c r="C518" t="inlineStr">
        <is>
          <t>INGRAD-17</t>
        </is>
      </c>
      <c r="D518" t="inlineStr">
        <is>
          <t>CORN FLOUR</t>
        </is>
      </c>
      <c r="E518" t="inlineStr">
        <is>
          <t>grams</t>
        </is>
      </c>
      <c r="F518" t="inlineStr">
        <is>
          <t>child</t>
        </is>
      </c>
      <c r="G518" t="inlineStr"/>
      <c r="H518" t="n">
        <v>3</v>
      </c>
      <c r="I518" t="inlineStr">
        <is>
          <t>stock_net</t>
        </is>
      </c>
      <c r="J518" t="inlineStr"/>
      <c r="K518" t="inlineStr"/>
      <c r="L518" t="inlineStr"/>
      <c r="M518" t="b">
        <v>1</v>
      </c>
      <c r="N518" t="inlineStr">
        <is>
          <t>consider_stock=false</t>
        </is>
      </c>
      <c r="O518" t="inlineStr"/>
      <c r="P518" t="inlineStr"/>
      <c r="Q518" t="inlineStr"/>
      <c r="R518" t="inlineStr">
        <is>
          <t>9566.423592539928947562953593</t>
        </is>
      </c>
      <c r="S518" t="inlineStr">
        <is>
          <t>9566.423592539928947562953593</t>
        </is>
      </c>
    </row>
    <row r="519">
      <c r="A519" t="n">
        <v>5</v>
      </c>
      <c r="B519" t="n">
        <v>28</v>
      </c>
      <c r="C519" t="inlineStr">
        <is>
          <t>VEGFRO-10</t>
        </is>
      </c>
      <c r="D519" t="inlineStr">
        <is>
          <t>CORIANDER CHOPPED (FROZEN)</t>
        </is>
      </c>
      <c r="E519" t="inlineStr">
        <is>
          <t>grams</t>
        </is>
      </c>
      <c r="F519" t="inlineStr">
        <is>
          <t>child</t>
        </is>
      </c>
      <c r="G519" t="inlineStr">
        <is>
          <t>7174.817694404946710672215191 from parent 786838.3404864091559370529328 × BOM 1500 / batch_quantity 164500. Stock not applied.</t>
        </is>
      </c>
      <c r="H519" t="n">
        <v>1</v>
      </c>
      <c r="I519" t="inlineStr">
        <is>
          <t>scale_bom</t>
        </is>
      </c>
      <c r="J519" t="inlineStr">
        <is>
          <t>parent_gross × bom_qty / batch_quantity</t>
        </is>
      </c>
      <c r="K519" t="inlineStr">
        <is>
          <t>786838.3404864091559370529328 × 1500 / 164500</t>
        </is>
      </c>
      <c r="L519" t="inlineStr">
        <is>
          <t>7174.817694404946710672215191</t>
        </is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</v>
      </c>
      <c r="B520" t="n">
        <v>28</v>
      </c>
      <c r="C520" t="inlineStr">
        <is>
          <t>VEGFRO-10</t>
        </is>
      </c>
      <c r="D520" t="inlineStr">
        <is>
          <t>CORIANDER CHOPPED (FROZEN)</t>
        </is>
      </c>
      <c r="E520" t="inlineStr">
        <is>
          <t>grams</t>
        </is>
      </c>
      <c r="F520" t="inlineStr">
        <is>
          <t>child</t>
        </is>
      </c>
      <c r="G520" t="inlineStr"/>
      <c r="H520" t="n">
        <v>2</v>
      </c>
      <c r="I520" t="inlineStr">
        <is>
          <t>gross</t>
        </is>
      </c>
      <c r="J520" t="inlineStr">
        <is>
          <t>net / recipe_yield</t>
        </is>
      </c>
      <c r="K520" t="inlineStr">
        <is>
          <t>7174.817694404946710672215191 / 1 (recipe yield 100%)</t>
        </is>
      </c>
      <c r="L520" t="inlineStr">
        <is>
          <t>7174.817694404946710672215191</t>
        </is>
      </c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</v>
      </c>
      <c r="B521" t="n">
        <v>28</v>
      </c>
      <c r="C521" t="inlineStr">
        <is>
          <t>VEGFRO-10</t>
        </is>
      </c>
      <c r="D521" t="inlineStr">
        <is>
          <t>CORIANDER CHOPPED (FROZEN)</t>
        </is>
      </c>
      <c r="E521" t="inlineStr">
        <is>
          <t>grams</t>
        </is>
      </c>
      <c r="F521" t="inlineStr">
        <is>
          <t>child</t>
        </is>
      </c>
      <c r="G521" t="inlineStr"/>
      <c r="H521" t="n">
        <v>3</v>
      </c>
      <c r="I521" t="inlineStr">
        <is>
          <t>stock_net</t>
        </is>
      </c>
      <c r="J521" t="inlineStr"/>
      <c r="K521" t="inlineStr"/>
      <c r="L521" t="inlineStr"/>
      <c r="M521" t="b">
        <v>1</v>
      </c>
      <c r="N521" t="inlineStr">
        <is>
          <t>consider_stock=false</t>
        </is>
      </c>
      <c r="O521" t="inlineStr"/>
      <c r="P521" t="inlineStr"/>
      <c r="Q521" t="inlineStr"/>
      <c r="R521" t="inlineStr">
        <is>
          <t>7174.817694404946710672215191</t>
        </is>
      </c>
      <c r="S521" t="inlineStr">
        <is>
          <t>7174.817694404946710672215191</t>
        </is>
      </c>
    </row>
    <row r="522">
      <c r="A522" t="n">
        <v>5</v>
      </c>
      <c r="B522" t="n">
        <v>43</v>
      </c>
      <c r="C522" t="inlineStr">
        <is>
          <t>VEGFRO-28</t>
        </is>
      </c>
      <c r="D522" t="inlineStr">
        <is>
          <t>RED CHILLI PUREE (FROZEN)</t>
        </is>
      </c>
      <c r="E522" t="inlineStr">
        <is>
          <t>grams</t>
        </is>
      </c>
      <c r="F522" t="inlineStr">
        <is>
          <t>child</t>
        </is>
      </c>
      <c r="G522" t="inlineStr">
        <is>
          <t>7174.817694404946710672215191 from parent 786838.3404864091559370529328 × BOM 1500 / batch_quantity 164500. Stock not applied.</t>
        </is>
      </c>
      <c r="H522" t="n">
        <v>1</v>
      </c>
      <c r="I522" t="inlineStr">
        <is>
          <t>scale_bom</t>
        </is>
      </c>
      <c r="J522" t="inlineStr">
        <is>
          <t>parent_gross × bom_qty / batch_quantity</t>
        </is>
      </c>
      <c r="K522" t="inlineStr">
        <is>
          <t>786838.3404864091559370529328 × 1500 / 164500</t>
        </is>
      </c>
      <c r="L522" t="inlineStr">
        <is>
          <t>7174.817694404946710672215191</t>
        </is>
      </c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</v>
      </c>
      <c r="B523" t="n">
        <v>43</v>
      </c>
      <c r="C523" t="inlineStr">
        <is>
          <t>VEGFRO-28</t>
        </is>
      </c>
      <c r="D523" t="inlineStr">
        <is>
          <t>RED CHILLI PUREE (FROZEN)</t>
        </is>
      </c>
      <c r="E523" t="inlineStr">
        <is>
          <t>grams</t>
        </is>
      </c>
      <c r="F523" t="inlineStr">
        <is>
          <t>child</t>
        </is>
      </c>
      <c r="G523" t="inlineStr"/>
      <c r="H523" t="n">
        <v>2</v>
      </c>
      <c r="I523" t="inlineStr">
        <is>
          <t>gross</t>
        </is>
      </c>
      <c r="J523" t="inlineStr">
        <is>
          <t>net / recipe_yield</t>
        </is>
      </c>
      <c r="K523" t="inlineStr">
        <is>
          <t>7174.817694404946710672215191 / 1 (recipe yield 100%)</t>
        </is>
      </c>
      <c r="L523" t="inlineStr">
        <is>
          <t>7174.817694404946710672215191</t>
        </is>
      </c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</v>
      </c>
      <c r="B524" t="n">
        <v>43</v>
      </c>
      <c r="C524" t="inlineStr">
        <is>
          <t>VEGFRO-28</t>
        </is>
      </c>
      <c r="D524" t="inlineStr">
        <is>
          <t>RED CHILLI PUREE (FROZEN)</t>
        </is>
      </c>
      <c r="E524" t="inlineStr">
        <is>
          <t>grams</t>
        </is>
      </c>
      <c r="F524" t="inlineStr">
        <is>
          <t>child</t>
        </is>
      </c>
      <c r="G524" t="inlineStr"/>
      <c r="H524" t="n">
        <v>3</v>
      </c>
      <c r="I524" t="inlineStr">
        <is>
          <t>stock_net</t>
        </is>
      </c>
      <c r="J524" t="inlineStr"/>
      <c r="K524" t="inlineStr"/>
      <c r="L524" t="inlineStr"/>
      <c r="M524" t="b">
        <v>1</v>
      </c>
      <c r="N524" t="inlineStr">
        <is>
          <t>consider_stock=false</t>
        </is>
      </c>
      <c r="O524" t="inlineStr"/>
      <c r="P524" t="inlineStr"/>
      <c r="Q524" t="inlineStr"/>
      <c r="R524" t="inlineStr">
        <is>
          <t>7174.817694404946710672215191</t>
        </is>
      </c>
      <c r="S524" t="inlineStr">
        <is>
          <t>7174.817694404946710672215191</t>
        </is>
      </c>
    </row>
    <row r="525">
      <c r="A525" t="n">
        <v>5</v>
      </c>
      <c r="B525" t="n">
        <v>595</v>
      </c>
      <c r="C525" t="inlineStr">
        <is>
          <t>GFF560R-S</t>
        </is>
      </c>
      <c r="D525" t="inlineStr">
        <is>
          <t>Coriander Marinated Chicken (Simmers) - 560 - Spices</t>
        </is>
      </c>
      <c r="E525" t="inlineStr">
        <is>
          <t>grams</t>
        </is>
      </c>
      <c r="F525" t="inlineStr">
        <is>
          <t>child</t>
        </is>
      </c>
      <c r="G525" t="inlineStr">
        <is>
          <t>2391.605898134982236890738398 from parent 786838.3404864091559370529328 × BOM 500 / batch_quantity 164500. Stock not applied.</t>
        </is>
      </c>
      <c r="H525" t="n">
        <v>1</v>
      </c>
      <c r="I525" t="inlineStr">
        <is>
          <t>scale_bom</t>
        </is>
      </c>
      <c r="J525" t="inlineStr">
        <is>
          <t>parent_gross × bom_qty / batch_quantity</t>
        </is>
      </c>
      <c r="K525" t="inlineStr">
        <is>
          <t>786838.3404864091559370529328 × 500 / 164500</t>
        </is>
      </c>
      <c r="L525" t="inlineStr">
        <is>
          <t>2391.605898134982236890738398</t>
        </is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</v>
      </c>
      <c r="B526" t="n">
        <v>595</v>
      </c>
      <c r="C526" t="inlineStr">
        <is>
          <t>GFF560R-S</t>
        </is>
      </c>
      <c r="D526" t="inlineStr">
        <is>
          <t>Coriander Marinated Chicken (Simmers) - 560 - Spices</t>
        </is>
      </c>
      <c r="E526" t="inlineStr">
        <is>
          <t>grams</t>
        </is>
      </c>
      <c r="F526" t="inlineStr">
        <is>
          <t>child</t>
        </is>
      </c>
      <c r="G526" t="inlineStr"/>
      <c r="H526" t="n">
        <v>2</v>
      </c>
      <c r="I526" t="inlineStr">
        <is>
          <t>gross</t>
        </is>
      </c>
      <c r="J526" t="inlineStr">
        <is>
          <t>net / recipe_yield</t>
        </is>
      </c>
      <c r="K526" t="inlineStr">
        <is>
          <t>2391.605898134982236890738398 / 1 (recipe yield 100%)</t>
        </is>
      </c>
      <c r="L526" t="inlineStr">
        <is>
          <t>2391.605898134982236890738398</t>
        </is>
      </c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</v>
      </c>
      <c r="B527" t="n">
        <v>595</v>
      </c>
      <c r="C527" t="inlineStr">
        <is>
          <t>GFF560R-S</t>
        </is>
      </c>
      <c r="D527" t="inlineStr">
        <is>
          <t>Coriander Marinated Chicken (Simmers) - 560 - Spices</t>
        </is>
      </c>
      <c r="E527" t="inlineStr">
        <is>
          <t>grams</t>
        </is>
      </c>
      <c r="F527" t="inlineStr">
        <is>
          <t>child</t>
        </is>
      </c>
      <c r="G527" t="inlineStr"/>
      <c r="H527" t="n">
        <v>3</v>
      </c>
      <c r="I527" t="inlineStr">
        <is>
          <t>stock_net</t>
        </is>
      </c>
      <c r="J527" t="inlineStr"/>
      <c r="K527" t="inlineStr"/>
      <c r="L527" t="inlineStr"/>
      <c r="M527" t="b">
        <v>1</v>
      </c>
      <c r="N527" t="inlineStr">
        <is>
          <t>consider_stock=false</t>
        </is>
      </c>
      <c r="O527" t="inlineStr"/>
      <c r="P527" t="inlineStr"/>
      <c r="Q527" t="inlineStr"/>
      <c r="R527" t="inlineStr">
        <is>
          <t>2391.605898134982236890738398</t>
        </is>
      </c>
      <c r="S527" t="inlineStr">
        <is>
          <t>2391.605898134982236890738398</t>
        </is>
      </c>
    </row>
    <row r="528">
      <c r="A528" t="n">
        <v>5</v>
      </c>
      <c r="B528" t="n">
        <v>68</v>
      </c>
      <c r="C528" t="inlineStr">
        <is>
          <t>VEGFRO-43</t>
        </is>
      </c>
      <c r="D528" t="inlineStr">
        <is>
          <t>LIME LEAVES MILLED (FROZEN)</t>
        </is>
      </c>
      <c r="E528" t="inlineStr">
        <is>
          <t>grams</t>
        </is>
      </c>
      <c r="F528" t="inlineStr">
        <is>
          <t>child</t>
        </is>
      </c>
      <c r="G528" t="inlineStr">
        <is>
          <t>8437.508437508437508437508437 from parent 18562.51856251856251856251856 × BOM 1800 / batch_quantity 3960. Stock not applied.</t>
        </is>
      </c>
      <c r="H528" t="n">
        <v>1</v>
      </c>
      <c r="I528" t="inlineStr">
        <is>
          <t>scale_bom</t>
        </is>
      </c>
      <c r="J528" t="inlineStr">
        <is>
          <t>parent_gross × bom_qty / batch_quantity</t>
        </is>
      </c>
      <c r="K528" t="inlineStr">
        <is>
          <t>18562.51856251856251856251856 × 1800 / 3960</t>
        </is>
      </c>
      <c r="L528" t="inlineStr">
        <is>
          <t>8437.508437508437508437508437</t>
        </is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</v>
      </c>
      <c r="B529" t="n">
        <v>68</v>
      </c>
      <c r="C529" t="inlineStr">
        <is>
          <t>VEGFRO-43</t>
        </is>
      </c>
      <c r="D529" t="inlineStr">
        <is>
          <t>LIME LEAVES MILLED (FROZEN)</t>
        </is>
      </c>
      <c r="E529" t="inlineStr">
        <is>
          <t>grams</t>
        </is>
      </c>
      <c r="F529" t="inlineStr">
        <is>
          <t>child</t>
        </is>
      </c>
      <c r="G529" t="inlineStr"/>
      <c r="H529" t="n">
        <v>2</v>
      </c>
      <c r="I529" t="inlineStr">
        <is>
          <t>gross</t>
        </is>
      </c>
      <c r="J529" t="inlineStr">
        <is>
          <t>net / recipe_yield</t>
        </is>
      </c>
      <c r="K529" t="inlineStr">
        <is>
          <t>8437.508437508437508437508437 / 1 (recipe yield 100%)</t>
        </is>
      </c>
      <c r="L529" t="inlineStr">
        <is>
          <t>8437.508437508437508437508437</t>
        </is>
      </c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</v>
      </c>
      <c r="B530" t="n">
        <v>68</v>
      </c>
      <c r="C530" t="inlineStr">
        <is>
          <t>VEGFRO-43</t>
        </is>
      </c>
      <c r="D530" t="inlineStr">
        <is>
          <t>LIME LEAVES MILLED (FROZEN)</t>
        </is>
      </c>
      <c r="E530" t="inlineStr">
        <is>
          <t>grams</t>
        </is>
      </c>
      <c r="F530" t="inlineStr">
        <is>
          <t>child</t>
        </is>
      </c>
      <c r="G530" t="inlineStr"/>
      <c r="H530" t="n">
        <v>3</v>
      </c>
      <c r="I530" t="inlineStr">
        <is>
          <t>stock_net</t>
        </is>
      </c>
      <c r="J530" t="inlineStr"/>
      <c r="K530" t="inlineStr"/>
      <c r="L530" t="inlineStr"/>
      <c r="M530" t="b">
        <v>1</v>
      </c>
      <c r="N530" t="inlineStr">
        <is>
          <t>consider_stock=false</t>
        </is>
      </c>
      <c r="O530" t="inlineStr"/>
      <c r="P530" t="inlineStr"/>
      <c r="Q530" t="inlineStr"/>
      <c r="R530" t="inlineStr">
        <is>
          <t>8437.508437508437508437508437</t>
        </is>
      </c>
      <c r="S530" t="inlineStr">
        <is>
          <t>8437.508437508437508437508437</t>
        </is>
      </c>
    </row>
    <row r="531">
      <c r="A531" t="n">
        <v>5</v>
      </c>
      <c r="B531" t="n">
        <v>53</v>
      </c>
      <c r="C531" t="inlineStr">
        <is>
          <t>VEGFRO-33</t>
        </is>
      </c>
      <c r="D531" t="inlineStr">
        <is>
          <t>LEMON GRASS MILLED (FROZEN)</t>
        </is>
      </c>
      <c r="E531" t="inlineStr">
        <is>
          <t>grams</t>
        </is>
      </c>
      <c r="F531" t="inlineStr">
        <is>
          <t>child</t>
        </is>
      </c>
      <c r="G531" t="inlineStr">
        <is>
          <t>8437.508437508437508437508437 from parent 18562.51856251856251856251856 × BOM 1800 / batch_quantity 3960. Stock not applied.</t>
        </is>
      </c>
      <c r="H531" t="n">
        <v>1</v>
      </c>
      <c r="I531" t="inlineStr">
        <is>
          <t>scale_bom</t>
        </is>
      </c>
      <c r="J531" t="inlineStr">
        <is>
          <t>parent_gross × bom_qty / batch_quantity</t>
        </is>
      </c>
      <c r="K531" t="inlineStr">
        <is>
          <t>18562.51856251856251856251856 × 1800 / 3960</t>
        </is>
      </c>
      <c r="L531" t="inlineStr">
        <is>
          <t>8437.508437508437508437508437</t>
        </is>
      </c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</v>
      </c>
      <c r="B532" t="n">
        <v>53</v>
      </c>
      <c r="C532" t="inlineStr">
        <is>
          <t>VEGFRO-33</t>
        </is>
      </c>
      <c r="D532" t="inlineStr">
        <is>
          <t>LEMON GRASS MILLED (FROZEN)</t>
        </is>
      </c>
      <c r="E532" t="inlineStr">
        <is>
          <t>grams</t>
        </is>
      </c>
      <c r="F532" t="inlineStr">
        <is>
          <t>child</t>
        </is>
      </c>
      <c r="G532" t="inlineStr"/>
      <c r="H532" t="n">
        <v>2</v>
      </c>
      <c r="I532" t="inlineStr">
        <is>
          <t>gross</t>
        </is>
      </c>
      <c r="J532" t="inlineStr">
        <is>
          <t>net / recipe_yield</t>
        </is>
      </c>
      <c r="K532" t="inlineStr">
        <is>
          <t>8437.508437508437508437508437 / 1 (recipe yield 100%)</t>
        </is>
      </c>
      <c r="L532" t="inlineStr">
        <is>
          <t>8437.508437508437508437508437</t>
        </is>
      </c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</v>
      </c>
      <c r="B533" t="n">
        <v>53</v>
      </c>
      <c r="C533" t="inlineStr">
        <is>
          <t>VEGFRO-33</t>
        </is>
      </c>
      <c r="D533" t="inlineStr">
        <is>
          <t>LEMON GRASS MILLED (FROZEN)</t>
        </is>
      </c>
      <c r="E533" t="inlineStr">
        <is>
          <t>grams</t>
        </is>
      </c>
      <c r="F533" t="inlineStr">
        <is>
          <t>child</t>
        </is>
      </c>
      <c r="G533" t="inlineStr"/>
      <c r="H533" t="n">
        <v>3</v>
      </c>
      <c r="I533" t="inlineStr">
        <is>
          <t>stock_net</t>
        </is>
      </c>
      <c r="J533" t="inlineStr"/>
      <c r="K533" t="inlineStr"/>
      <c r="L533" t="inlineStr"/>
      <c r="M533" t="b">
        <v>1</v>
      </c>
      <c r="N533" t="inlineStr">
        <is>
          <t>consider_stock=false</t>
        </is>
      </c>
      <c r="O533" t="inlineStr"/>
      <c r="P533" t="inlineStr"/>
      <c r="Q533" t="inlineStr"/>
      <c r="R533" t="inlineStr">
        <is>
          <t>8437.508437508437508437508437</t>
        </is>
      </c>
      <c r="S533" t="inlineStr">
        <is>
          <t>8437.508437508437508437508437</t>
        </is>
      </c>
    </row>
    <row r="534">
      <c r="A534" t="n">
        <v>5</v>
      </c>
      <c r="B534" t="n">
        <v>47</v>
      </c>
      <c r="C534" t="inlineStr">
        <is>
          <t>SPICE0-02</t>
        </is>
      </c>
      <c r="D534" t="inlineStr">
        <is>
          <t>SALT</t>
        </is>
      </c>
      <c r="E534" t="inlineStr">
        <is>
          <t>grams</t>
        </is>
      </c>
      <c r="F534" t="inlineStr">
        <is>
          <t>child</t>
        </is>
      </c>
      <c r="G534" t="inlineStr">
        <is>
          <t>1687.501687501687501687501687 from parent 18562.51856251856251856251856 × BOM 360 / batch_quantity 3960. Stock not applied.</t>
        </is>
      </c>
      <c r="H534" t="n">
        <v>1</v>
      </c>
      <c r="I534" t="inlineStr">
        <is>
          <t>scale_bom</t>
        </is>
      </c>
      <c r="J534" t="inlineStr">
        <is>
          <t>parent_gross × bom_qty / batch_quantity</t>
        </is>
      </c>
      <c r="K534" t="inlineStr">
        <is>
          <t>18562.51856251856251856251856 × 360 / 3960</t>
        </is>
      </c>
      <c r="L534" t="inlineStr">
        <is>
          <t>1687.501687501687501687501687</t>
        </is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</v>
      </c>
      <c r="B535" t="n">
        <v>47</v>
      </c>
      <c r="C535" t="inlineStr">
        <is>
          <t>SPICE0-02</t>
        </is>
      </c>
      <c r="D535" t="inlineStr">
        <is>
          <t>SALT</t>
        </is>
      </c>
      <c r="E535" t="inlineStr">
        <is>
          <t>grams</t>
        </is>
      </c>
      <c r="F535" t="inlineStr">
        <is>
          <t>child</t>
        </is>
      </c>
      <c r="G535" t="inlineStr"/>
      <c r="H535" t="n">
        <v>2</v>
      </c>
      <c r="I535" t="inlineStr">
        <is>
          <t>gross</t>
        </is>
      </c>
      <c r="J535" t="inlineStr">
        <is>
          <t>net / recipe_yield</t>
        </is>
      </c>
      <c r="K535" t="inlineStr">
        <is>
          <t>1687.501687501687501687501687 / 1 (recipe yield 100%)</t>
        </is>
      </c>
      <c r="L535" t="inlineStr">
        <is>
          <t>1687.501687501687501687501687</t>
        </is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</v>
      </c>
      <c r="B536" t="n">
        <v>47</v>
      </c>
      <c r="C536" t="inlineStr">
        <is>
          <t>SPICE0-02</t>
        </is>
      </c>
      <c r="D536" t="inlineStr">
        <is>
          <t>SALT</t>
        </is>
      </c>
      <c r="E536" t="inlineStr">
        <is>
          <t>grams</t>
        </is>
      </c>
      <c r="F536" t="inlineStr">
        <is>
          <t>child</t>
        </is>
      </c>
      <c r="G536" t="inlineStr"/>
      <c r="H536" t="n">
        <v>3</v>
      </c>
      <c r="I536" t="inlineStr">
        <is>
          <t>stock_net</t>
        </is>
      </c>
      <c r="J536" t="inlineStr"/>
      <c r="K536" t="inlineStr"/>
      <c r="L536" t="inlineStr"/>
      <c r="M536" t="b">
        <v>1</v>
      </c>
      <c r="N536" t="inlineStr">
        <is>
          <t>consider_stock=false</t>
        </is>
      </c>
      <c r="O536" t="inlineStr"/>
      <c r="P536" t="inlineStr"/>
      <c r="Q536" t="inlineStr"/>
      <c r="R536" t="inlineStr">
        <is>
          <t>1687.501687501687501687501687</t>
        </is>
      </c>
      <c r="S536" t="inlineStr">
        <is>
          <t>1687.501687501687501687501687</t>
        </is>
      </c>
    </row>
    <row r="537">
      <c r="A537" t="n">
        <v>5</v>
      </c>
      <c r="B537" t="n">
        <v>161</v>
      </c>
      <c r="C537" t="inlineStr">
        <is>
          <t>SAUCE0-35</t>
        </is>
      </c>
      <c r="D537" t="inlineStr">
        <is>
          <t>SOY SAUCE LIGHT</t>
        </is>
      </c>
      <c r="E537" t="inlineStr">
        <is>
          <t>grams</t>
        </is>
      </c>
      <c r="F537" t="inlineStr">
        <is>
          <t>child</t>
        </is>
      </c>
      <c r="G537" t="inlineStr">
        <is>
          <t>16695.67075692049465933318604 from parent 42295.69925086525313697740464 × BOM 4800 / batch_quantity 12160. Stock not applied.</t>
        </is>
      </c>
      <c r="H537" t="n">
        <v>1</v>
      </c>
      <c r="I537" t="inlineStr">
        <is>
          <t>scale_bom</t>
        </is>
      </c>
      <c r="J537" t="inlineStr">
        <is>
          <t>parent_gross × bom_qty / batch_quantity</t>
        </is>
      </c>
      <c r="K537" t="inlineStr">
        <is>
          <t>42295.69925086525313697740464 × 4800 / 12160</t>
        </is>
      </c>
      <c r="L537" t="inlineStr">
        <is>
          <t>16695.67075692049465933318604</t>
        </is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</v>
      </c>
      <c r="B538" t="n">
        <v>161</v>
      </c>
      <c r="C538" t="inlineStr">
        <is>
          <t>SAUCE0-35</t>
        </is>
      </c>
      <c r="D538" t="inlineStr">
        <is>
          <t>SOY SAUCE LIGHT</t>
        </is>
      </c>
      <c r="E538" t="inlineStr">
        <is>
          <t>grams</t>
        </is>
      </c>
      <c r="F538" t="inlineStr">
        <is>
          <t>child</t>
        </is>
      </c>
      <c r="G538" t="inlineStr"/>
      <c r="H538" t="n">
        <v>2</v>
      </c>
      <c r="I538" t="inlineStr">
        <is>
          <t>gross</t>
        </is>
      </c>
      <c r="J538" t="inlineStr">
        <is>
          <t>net / recipe_yield</t>
        </is>
      </c>
      <c r="K538" t="inlineStr">
        <is>
          <t>16695.67075692049465933318604 / 1 (recipe yield 100%)</t>
        </is>
      </c>
      <c r="L538" t="inlineStr">
        <is>
          <t>16695.67075692049465933318604</t>
        </is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</v>
      </c>
      <c r="B539" t="n">
        <v>161</v>
      </c>
      <c r="C539" t="inlineStr">
        <is>
          <t>SAUCE0-35</t>
        </is>
      </c>
      <c r="D539" t="inlineStr">
        <is>
          <t>SOY SAUCE LIGHT</t>
        </is>
      </c>
      <c r="E539" t="inlineStr">
        <is>
          <t>grams</t>
        </is>
      </c>
      <c r="F539" t="inlineStr">
        <is>
          <t>child</t>
        </is>
      </c>
      <c r="G539" t="inlineStr"/>
      <c r="H539" t="n">
        <v>3</v>
      </c>
      <c r="I539" t="inlineStr">
        <is>
          <t>stock_net</t>
        </is>
      </c>
      <c r="J539" t="inlineStr"/>
      <c r="K539" t="inlineStr"/>
      <c r="L539" t="inlineStr"/>
      <c r="M539" t="b">
        <v>1</v>
      </c>
      <c r="N539" t="inlineStr">
        <is>
          <t>consider_stock=false</t>
        </is>
      </c>
      <c r="O539" t="inlineStr"/>
      <c r="P539" t="inlineStr"/>
      <c r="Q539" t="inlineStr"/>
      <c r="R539" t="inlineStr">
        <is>
          <t>16695.67075692049465933318604</t>
        </is>
      </c>
      <c r="S539" t="inlineStr">
        <is>
          <t>16695.67075692049465933318604</t>
        </is>
      </c>
    </row>
    <row r="540">
      <c r="A540" t="n">
        <v>5</v>
      </c>
      <c r="B540" t="n">
        <v>149</v>
      </c>
      <c r="C540" t="inlineStr">
        <is>
          <t>SAUCE0-22</t>
        </is>
      </c>
      <c r="D540" t="inlineStr">
        <is>
          <t>THAI RED CURRY PASTE</t>
        </is>
      </c>
      <c r="E540" t="inlineStr">
        <is>
          <t>grams</t>
        </is>
      </c>
      <c r="F540" t="inlineStr">
        <is>
          <t>child</t>
        </is>
      </c>
      <c r="G540" t="inlineStr">
        <is>
          <t>11130.44717128032977288879069 from parent 42295.69925086525313697740464 × BOM 3200 / batch_quantity 12160. Stock not applied.</t>
        </is>
      </c>
      <c r="H540" t="n">
        <v>1</v>
      </c>
      <c r="I540" t="inlineStr">
        <is>
          <t>scale_bom</t>
        </is>
      </c>
      <c r="J540" t="inlineStr">
        <is>
          <t>parent_gross × bom_qty / batch_quantity</t>
        </is>
      </c>
      <c r="K540" t="inlineStr">
        <is>
          <t>42295.69925086525313697740464 × 3200 / 12160</t>
        </is>
      </c>
      <c r="L540" t="inlineStr">
        <is>
          <t>11130.44717128032977288879069</t>
        </is>
      </c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</v>
      </c>
      <c r="B541" t="n">
        <v>149</v>
      </c>
      <c r="C541" t="inlineStr">
        <is>
          <t>SAUCE0-22</t>
        </is>
      </c>
      <c r="D541" t="inlineStr">
        <is>
          <t>THAI RED CURRY PASTE</t>
        </is>
      </c>
      <c r="E541" t="inlineStr">
        <is>
          <t>grams</t>
        </is>
      </c>
      <c r="F541" t="inlineStr">
        <is>
          <t>child</t>
        </is>
      </c>
      <c r="G541" t="inlineStr"/>
      <c r="H541" t="n">
        <v>2</v>
      </c>
      <c r="I541" t="inlineStr">
        <is>
          <t>gross</t>
        </is>
      </c>
      <c r="J541" t="inlineStr">
        <is>
          <t>net / recipe_yield</t>
        </is>
      </c>
      <c r="K541" t="inlineStr">
        <is>
          <t>11130.44717128032977288879069 / 1 (recipe yield 100%)</t>
        </is>
      </c>
      <c r="L541" t="inlineStr">
        <is>
          <t>11130.44717128032977288879069</t>
        </is>
      </c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</v>
      </c>
      <c r="B542" t="n">
        <v>149</v>
      </c>
      <c r="C542" t="inlineStr">
        <is>
          <t>SAUCE0-22</t>
        </is>
      </c>
      <c r="D542" t="inlineStr">
        <is>
          <t>THAI RED CURRY PASTE</t>
        </is>
      </c>
      <c r="E542" t="inlineStr">
        <is>
          <t>grams</t>
        </is>
      </c>
      <c r="F542" t="inlineStr">
        <is>
          <t>child</t>
        </is>
      </c>
      <c r="G542" t="inlineStr"/>
      <c r="H542" t="n">
        <v>3</v>
      </c>
      <c r="I542" t="inlineStr">
        <is>
          <t>stock_net</t>
        </is>
      </c>
      <c r="J542" t="inlineStr"/>
      <c r="K542" t="inlineStr"/>
      <c r="L542" t="inlineStr"/>
      <c r="M542" t="b">
        <v>1</v>
      </c>
      <c r="N542" t="inlineStr">
        <is>
          <t>consider_stock=false</t>
        </is>
      </c>
      <c r="O542" t="inlineStr"/>
      <c r="P542" t="inlineStr"/>
      <c r="Q542" t="inlineStr"/>
      <c r="R542" t="inlineStr">
        <is>
          <t>11130.44717128032977288879069</t>
        </is>
      </c>
      <c r="S542" t="inlineStr">
        <is>
          <t>11130.44717128032977288879069</t>
        </is>
      </c>
    </row>
    <row r="543">
      <c r="A543" t="n">
        <v>5</v>
      </c>
      <c r="B543" t="n">
        <v>53</v>
      </c>
      <c r="C543" t="inlineStr">
        <is>
          <t>VEGFRO-33</t>
        </is>
      </c>
      <c r="D543" t="inlineStr">
        <is>
          <t>LEMON GRASS MILLED (FROZEN)</t>
        </is>
      </c>
      <c r="E543" t="inlineStr">
        <is>
          <t>grams</t>
        </is>
      </c>
      <c r="F543" t="inlineStr">
        <is>
          <t>child</t>
        </is>
      </c>
      <c r="G543" t="inlineStr">
        <is>
          <t>5565.223585640164886444395347 from parent 42295.69925086525313697740464 × BOM 1600 / batch_quantity 12160. Stock not applied.</t>
        </is>
      </c>
      <c r="H543" t="n">
        <v>1</v>
      </c>
      <c r="I543" t="inlineStr">
        <is>
          <t>scale_bom</t>
        </is>
      </c>
      <c r="J543" t="inlineStr">
        <is>
          <t>parent_gross × bom_qty / batch_quantity</t>
        </is>
      </c>
      <c r="K543" t="inlineStr">
        <is>
          <t>42295.69925086525313697740464 × 1600 / 12160</t>
        </is>
      </c>
      <c r="L543" t="inlineStr">
        <is>
          <t>5565.223585640164886444395347</t>
        </is>
      </c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</v>
      </c>
      <c r="B544" t="n">
        <v>53</v>
      </c>
      <c r="C544" t="inlineStr">
        <is>
          <t>VEGFRO-33</t>
        </is>
      </c>
      <c r="D544" t="inlineStr">
        <is>
          <t>LEMON GRASS MILLED (FROZEN)</t>
        </is>
      </c>
      <c r="E544" t="inlineStr">
        <is>
          <t>grams</t>
        </is>
      </c>
      <c r="F544" t="inlineStr">
        <is>
          <t>child</t>
        </is>
      </c>
      <c r="G544" t="inlineStr"/>
      <c r="H544" t="n">
        <v>2</v>
      </c>
      <c r="I544" t="inlineStr">
        <is>
          <t>gross</t>
        </is>
      </c>
      <c r="J544" t="inlineStr">
        <is>
          <t>net / recipe_yield</t>
        </is>
      </c>
      <c r="K544" t="inlineStr">
        <is>
          <t>5565.223585640164886444395347 / 1 (recipe yield 100%)</t>
        </is>
      </c>
      <c r="L544" t="inlineStr">
        <is>
          <t>5565.223585640164886444395347</t>
        </is>
      </c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</v>
      </c>
      <c r="B545" t="n">
        <v>53</v>
      </c>
      <c r="C545" t="inlineStr">
        <is>
          <t>VEGFRO-33</t>
        </is>
      </c>
      <c r="D545" t="inlineStr">
        <is>
          <t>LEMON GRASS MILLED (FROZEN)</t>
        </is>
      </c>
      <c r="E545" t="inlineStr">
        <is>
          <t>grams</t>
        </is>
      </c>
      <c r="F545" t="inlineStr">
        <is>
          <t>child</t>
        </is>
      </c>
      <c r="G545" t="inlineStr"/>
      <c r="H545" t="n">
        <v>3</v>
      </c>
      <c r="I545" t="inlineStr">
        <is>
          <t>stock_net</t>
        </is>
      </c>
      <c r="J545" t="inlineStr"/>
      <c r="K545" t="inlineStr"/>
      <c r="L545" t="inlineStr"/>
      <c r="M545" t="b">
        <v>1</v>
      </c>
      <c r="N545" t="inlineStr">
        <is>
          <t>consider_stock=false</t>
        </is>
      </c>
      <c r="O545" t="inlineStr"/>
      <c r="P545" t="inlineStr"/>
      <c r="Q545" t="inlineStr"/>
      <c r="R545" t="inlineStr">
        <is>
          <t>5565.223585640164886444395347</t>
        </is>
      </c>
      <c r="S545" t="inlineStr">
        <is>
          <t>5565.223585640164886444395347</t>
        </is>
      </c>
    </row>
    <row r="546">
      <c r="A546" t="n">
        <v>5</v>
      </c>
      <c r="B546" t="n">
        <v>68</v>
      </c>
      <c r="C546" t="inlineStr">
        <is>
          <t>VEGFRO-43</t>
        </is>
      </c>
      <c r="D546" t="inlineStr">
        <is>
          <t>LIME LEAVES MILLED (FROZEN)</t>
        </is>
      </c>
      <c r="E546" t="inlineStr">
        <is>
          <t>grams</t>
        </is>
      </c>
      <c r="F546" t="inlineStr">
        <is>
          <t>child</t>
        </is>
      </c>
      <c r="G546" t="inlineStr">
        <is>
          <t>5565.223585640164886444395347 from parent 42295.69925086525313697740464 × BOM 1600 / batch_quantity 12160. Stock not applied.</t>
        </is>
      </c>
      <c r="H546" t="n">
        <v>1</v>
      </c>
      <c r="I546" t="inlineStr">
        <is>
          <t>scale_bom</t>
        </is>
      </c>
      <c r="J546" t="inlineStr">
        <is>
          <t>parent_gross × bom_qty / batch_quantity</t>
        </is>
      </c>
      <c r="K546" t="inlineStr">
        <is>
          <t>42295.69925086525313697740464 × 1600 / 12160</t>
        </is>
      </c>
      <c r="L546" t="inlineStr">
        <is>
          <t>5565.223585640164886444395347</t>
        </is>
      </c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</v>
      </c>
      <c r="B547" t="n">
        <v>68</v>
      </c>
      <c r="C547" t="inlineStr">
        <is>
          <t>VEGFRO-43</t>
        </is>
      </c>
      <c r="D547" t="inlineStr">
        <is>
          <t>LIME LEAVES MILLED (FROZEN)</t>
        </is>
      </c>
      <c r="E547" t="inlineStr">
        <is>
          <t>grams</t>
        </is>
      </c>
      <c r="F547" t="inlineStr">
        <is>
          <t>child</t>
        </is>
      </c>
      <c r="G547" t="inlineStr"/>
      <c r="H547" t="n">
        <v>2</v>
      </c>
      <c r="I547" t="inlineStr">
        <is>
          <t>gross</t>
        </is>
      </c>
      <c r="J547" t="inlineStr">
        <is>
          <t>net / recipe_yield</t>
        </is>
      </c>
      <c r="K547" t="inlineStr">
        <is>
          <t>5565.223585640164886444395347 / 1 (recipe yield 100%)</t>
        </is>
      </c>
      <c r="L547" t="inlineStr">
        <is>
          <t>5565.223585640164886444395347</t>
        </is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</v>
      </c>
      <c r="B548" t="n">
        <v>68</v>
      </c>
      <c r="C548" t="inlineStr">
        <is>
          <t>VEGFRO-43</t>
        </is>
      </c>
      <c r="D548" t="inlineStr">
        <is>
          <t>LIME LEAVES MILLED (FROZEN)</t>
        </is>
      </c>
      <c r="E548" t="inlineStr">
        <is>
          <t>grams</t>
        </is>
      </c>
      <c r="F548" t="inlineStr">
        <is>
          <t>child</t>
        </is>
      </c>
      <c r="G548" t="inlineStr"/>
      <c r="H548" t="n">
        <v>3</v>
      </c>
      <c r="I548" t="inlineStr">
        <is>
          <t>stock_net</t>
        </is>
      </c>
      <c r="J548" t="inlineStr"/>
      <c r="K548" t="inlineStr"/>
      <c r="L548" t="inlineStr"/>
      <c r="M548" t="b">
        <v>1</v>
      </c>
      <c r="N548" t="inlineStr">
        <is>
          <t>consider_stock=false</t>
        </is>
      </c>
      <c r="O548" t="inlineStr"/>
      <c r="P548" t="inlineStr"/>
      <c r="Q548" t="inlineStr"/>
      <c r="R548" t="inlineStr">
        <is>
          <t>5565.223585640164886444395347</t>
        </is>
      </c>
      <c r="S548" t="inlineStr">
        <is>
          <t>5565.223585640164886444395347</t>
        </is>
      </c>
    </row>
    <row r="549">
      <c r="A549" t="n">
        <v>5</v>
      </c>
      <c r="B549" t="n">
        <v>60</v>
      </c>
      <c r="C549" t="inlineStr">
        <is>
          <t>VEGFRO-38</t>
        </is>
      </c>
      <c r="D549" t="inlineStr">
        <is>
          <t>GALANGAL MILLED (FROZEN)</t>
        </is>
      </c>
      <c r="E549" t="inlineStr">
        <is>
          <t>grams</t>
        </is>
      </c>
      <c r="F549" t="inlineStr">
        <is>
          <t>child</t>
        </is>
      </c>
      <c r="G549" t="inlineStr">
        <is>
          <t>1391.305896410041221611098837 from parent 42295.69925086525313697740464 × BOM 400 / batch_quantity 12160. Stock not applied.</t>
        </is>
      </c>
      <c r="H549" t="n">
        <v>1</v>
      </c>
      <c r="I549" t="inlineStr">
        <is>
          <t>scale_bom</t>
        </is>
      </c>
      <c r="J549" t="inlineStr">
        <is>
          <t>parent_gross × bom_qty / batch_quantity</t>
        </is>
      </c>
      <c r="K549" t="inlineStr">
        <is>
          <t>42295.69925086525313697740464 × 400 / 12160</t>
        </is>
      </c>
      <c r="L549" t="inlineStr">
        <is>
          <t>1391.305896410041221611098837</t>
        </is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</v>
      </c>
      <c r="B550" t="n">
        <v>60</v>
      </c>
      <c r="C550" t="inlineStr">
        <is>
          <t>VEGFRO-38</t>
        </is>
      </c>
      <c r="D550" t="inlineStr">
        <is>
          <t>GALANGAL MILLED (FROZEN)</t>
        </is>
      </c>
      <c r="E550" t="inlineStr">
        <is>
          <t>grams</t>
        </is>
      </c>
      <c r="F550" t="inlineStr">
        <is>
          <t>child</t>
        </is>
      </c>
      <c r="G550" t="inlineStr"/>
      <c r="H550" t="n">
        <v>2</v>
      </c>
      <c r="I550" t="inlineStr">
        <is>
          <t>gross</t>
        </is>
      </c>
      <c r="J550" t="inlineStr">
        <is>
          <t>net / recipe_yield</t>
        </is>
      </c>
      <c r="K550" t="inlineStr">
        <is>
          <t>1391.305896410041221611098837 / 1 (recipe yield 100%)</t>
        </is>
      </c>
      <c r="L550" t="inlineStr">
        <is>
          <t>1391.305896410041221611098837</t>
        </is>
      </c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</v>
      </c>
      <c r="B551" t="n">
        <v>60</v>
      </c>
      <c r="C551" t="inlineStr">
        <is>
          <t>VEGFRO-38</t>
        </is>
      </c>
      <c r="D551" t="inlineStr">
        <is>
          <t>GALANGAL MILLED (FROZEN)</t>
        </is>
      </c>
      <c r="E551" t="inlineStr">
        <is>
          <t>grams</t>
        </is>
      </c>
      <c r="F551" t="inlineStr">
        <is>
          <t>child</t>
        </is>
      </c>
      <c r="G551" t="inlineStr"/>
      <c r="H551" t="n">
        <v>3</v>
      </c>
      <c r="I551" t="inlineStr">
        <is>
          <t>stock_net</t>
        </is>
      </c>
      <c r="J551" t="inlineStr"/>
      <c r="K551" t="inlineStr"/>
      <c r="L551" t="inlineStr"/>
      <c r="M551" t="b">
        <v>1</v>
      </c>
      <c r="N551" t="inlineStr">
        <is>
          <t>consider_stock=false</t>
        </is>
      </c>
      <c r="O551" t="inlineStr"/>
      <c r="P551" t="inlineStr"/>
      <c r="Q551" t="inlineStr"/>
      <c r="R551" t="inlineStr">
        <is>
          <t>1391.305896410041221611098837</t>
        </is>
      </c>
      <c r="S551" t="inlineStr">
        <is>
          <t>1391.305896410041221611098837</t>
        </is>
      </c>
    </row>
    <row r="552">
      <c r="A552" t="n">
        <v>5</v>
      </c>
      <c r="B552" t="n">
        <v>70</v>
      </c>
      <c r="C552" t="inlineStr">
        <is>
          <t>SPICE0-15</t>
        </is>
      </c>
      <c r="D552" t="inlineStr">
        <is>
          <t>PAPRIKA POWDER HT</t>
        </is>
      </c>
      <c r="E552" t="inlineStr">
        <is>
          <t>grams</t>
        </is>
      </c>
      <c r="F552" t="inlineStr">
        <is>
          <t>child</t>
        </is>
      </c>
      <c r="G552" t="inlineStr">
        <is>
          <t>1391.305896410041221611098837 from parent 42295.69925086525313697740464 × BOM 400 / batch_quantity 12160. Stock not applied.</t>
        </is>
      </c>
      <c r="H552" t="n">
        <v>1</v>
      </c>
      <c r="I552" t="inlineStr">
        <is>
          <t>scale_bom</t>
        </is>
      </c>
      <c r="J552" t="inlineStr">
        <is>
          <t>parent_gross × bom_qty / batch_quantity</t>
        </is>
      </c>
      <c r="K552" t="inlineStr">
        <is>
          <t>42295.69925086525313697740464 × 400 / 12160</t>
        </is>
      </c>
      <c r="L552" t="inlineStr">
        <is>
          <t>1391.305896410041221611098837</t>
        </is>
      </c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</v>
      </c>
      <c r="B553" t="n">
        <v>70</v>
      </c>
      <c r="C553" t="inlineStr">
        <is>
          <t>SPICE0-15</t>
        </is>
      </c>
      <c r="D553" t="inlineStr">
        <is>
          <t>PAPRIKA POWDER HT</t>
        </is>
      </c>
      <c r="E553" t="inlineStr">
        <is>
          <t>grams</t>
        </is>
      </c>
      <c r="F553" t="inlineStr">
        <is>
          <t>child</t>
        </is>
      </c>
      <c r="G553" t="inlineStr"/>
      <c r="H553" t="n">
        <v>2</v>
      </c>
      <c r="I553" t="inlineStr">
        <is>
          <t>gross</t>
        </is>
      </c>
      <c r="J553" t="inlineStr">
        <is>
          <t>net / recipe_yield</t>
        </is>
      </c>
      <c r="K553" t="inlineStr">
        <is>
          <t>1391.305896410041221611098837 / 1 (recipe yield 100%)</t>
        </is>
      </c>
      <c r="L553" t="inlineStr">
        <is>
          <t>1391.305896410041221611098837</t>
        </is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</v>
      </c>
      <c r="B554" t="n">
        <v>70</v>
      </c>
      <c r="C554" t="inlineStr">
        <is>
          <t>SPICE0-15</t>
        </is>
      </c>
      <c r="D554" t="inlineStr">
        <is>
          <t>PAPRIKA POWDER HT</t>
        </is>
      </c>
      <c r="E554" t="inlineStr">
        <is>
          <t>grams</t>
        </is>
      </c>
      <c r="F554" t="inlineStr">
        <is>
          <t>child</t>
        </is>
      </c>
      <c r="G554" t="inlineStr"/>
      <c r="H554" t="n">
        <v>3</v>
      </c>
      <c r="I554" t="inlineStr">
        <is>
          <t>stock_net</t>
        </is>
      </c>
      <c r="J554" t="inlineStr"/>
      <c r="K554" t="inlineStr"/>
      <c r="L554" t="inlineStr"/>
      <c r="M554" t="b">
        <v>1</v>
      </c>
      <c r="N554" t="inlineStr">
        <is>
          <t>consider_stock=false</t>
        </is>
      </c>
      <c r="O554" t="inlineStr"/>
      <c r="P554" t="inlineStr"/>
      <c r="Q554" t="inlineStr"/>
      <c r="R554" t="inlineStr">
        <is>
          <t>1391.305896410041221611098837</t>
        </is>
      </c>
      <c r="S554" t="inlineStr">
        <is>
          <t>1391.305896410041221611098837</t>
        </is>
      </c>
    </row>
    <row r="555">
      <c r="A555" t="n">
        <v>5</v>
      </c>
      <c r="B555" t="n">
        <v>47</v>
      </c>
      <c r="C555" t="inlineStr">
        <is>
          <t>SPICE0-02</t>
        </is>
      </c>
      <c r="D555" t="inlineStr">
        <is>
          <t>SALT</t>
        </is>
      </c>
      <c r="E555" t="inlineStr">
        <is>
          <t>grams</t>
        </is>
      </c>
      <c r="F555" t="inlineStr">
        <is>
          <t>child</t>
        </is>
      </c>
      <c r="G555" t="inlineStr">
        <is>
          <t>556.5223585640164886444395347 from parent 42295.69925086525313697740464 × BOM 160 / batch_quantity 12160. Stock not applied.</t>
        </is>
      </c>
      <c r="H555" t="n">
        <v>1</v>
      </c>
      <c r="I555" t="inlineStr">
        <is>
          <t>scale_bom</t>
        </is>
      </c>
      <c r="J555" t="inlineStr">
        <is>
          <t>parent_gross × bom_qty / batch_quantity</t>
        </is>
      </c>
      <c r="K555" t="inlineStr">
        <is>
          <t>42295.69925086525313697740464 × 160 / 12160</t>
        </is>
      </c>
      <c r="L555" t="inlineStr">
        <is>
          <t>556.5223585640164886444395347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</v>
      </c>
      <c r="B556" t="n">
        <v>47</v>
      </c>
      <c r="C556" t="inlineStr">
        <is>
          <t>SPICE0-02</t>
        </is>
      </c>
      <c r="D556" t="inlineStr">
        <is>
          <t>SALT</t>
        </is>
      </c>
      <c r="E556" t="inlineStr">
        <is>
          <t>grams</t>
        </is>
      </c>
      <c r="F556" t="inlineStr">
        <is>
          <t>child</t>
        </is>
      </c>
      <c r="G556" t="inlineStr"/>
      <c r="H556" t="n">
        <v>2</v>
      </c>
      <c r="I556" t="inlineStr">
        <is>
          <t>gross</t>
        </is>
      </c>
      <c r="J556" t="inlineStr">
        <is>
          <t>net / recipe_yield</t>
        </is>
      </c>
      <c r="K556" t="inlineStr">
        <is>
          <t>556.5223585640164886444395347 / 1 (recipe yield 100%)</t>
        </is>
      </c>
      <c r="L556" t="inlineStr">
        <is>
          <t>556.5223585640164886444395347</t>
        </is>
      </c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</v>
      </c>
      <c r="B557" t="n">
        <v>47</v>
      </c>
      <c r="C557" t="inlineStr">
        <is>
          <t>SPICE0-02</t>
        </is>
      </c>
      <c r="D557" t="inlineStr">
        <is>
          <t>SALT</t>
        </is>
      </c>
      <c r="E557" t="inlineStr">
        <is>
          <t>grams</t>
        </is>
      </c>
      <c r="F557" t="inlineStr">
        <is>
          <t>child</t>
        </is>
      </c>
      <c r="G557" t="inlineStr"/>
      <c r="H557" t="n">
        <v>3</v>
      </c>
      <c r="I557" t="inlineStr">
        <is>
          <t>stock_net</t>
        </is>
      </c>
      <c r="J557" t="inlineStr"/>
      <c r="K557" t="inlineStr"/>
      <c r="L557" t="inlineStr"/>
      <c r="M557" t="b">
        <v>1</v>
      </c>
      <c r="N557" t="inlineStr">
        <is>
          <t>consider_stock=false</t>
        </is>
      </c>
      <c r="O557" t="inlineStr"/>
      <c r="P557" t="inlineStr"/>
      <c r="Q557" t="inlineStr"/>
      <c r="R557" t="inlineStr">
        <is>
          <t>556.5223585640164886444395347</t>
        </is>
      </c>
      <c r="S557" t="inlineStr">
        <is>
          <t>556.5223585640164886444395347</t>
        </is>
      </c>
    </row>
    <row r="558">
      <c r="A558" t="n">
        <v>5</v>
      </c>
      <c r="B558" t="n">
        <v>463</v>
      </c>
      <c r="C558" t="inlineStr">
        <is>
          <t>PROTEIN-37</t>
        </is>
      </c>
      <c r="D558" t="inlineStr">
        <is>
          <t>EU CHICKEN BREAST DICED 12-15g</t>
        </is>
      </c>
      <c r="E558" t="inlineStr">
        <is>
          <t>grams</t>
        </is>
      </c>
      <c r="F558" t="inlineStr">
        <is>
          <t>child</t>
        </is>
      </c>
      <c r="G558" t="inlineStr">
        <is>
          <t>195676.8462110440012001513234 from parent 214592.274678111587982832618 × BOM 150000 / batch_quantity 164500. Stock not applied.</t>
        </is>
      </c>
      <c r="H558" t="n">
        <v>1</v>
      </c>
      <c r="I558" t="inlineStr">
        <is>
          <t>scale_bom</t>
        </is>
      </c>
      <c r="J558" t="inlineStr">
        <is>
          <t>parent_gross × bom_qty / batch_quantity</t>
        </is>
      </c>
      <c r="K558" t="inlineStr">
        <is>
          <t>214592.274678111587982832618 × 150000 / 164500</t>
        </is>
      </c>
      <c r="L558" t="inlineStr">
        <is>
          <t>195676.8462110440012001513234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</v>
      </c>
      <c r="B559" t="n">
        <v>463</v>
      </c>
      <c r="C559" t="inlineStr">
        <is>
          <t>PROTEIN-37</t>
        </is>
      </c>
      <c r="D559" t="inlineStr">
        <is>
          <t>EU CHICKEN BREAST DICED 12-15g</t>
        </is>
      </c>
      <c r="E559" t="inlineStr">
        <is>
          <t>grams</t>
        </is>
      </c>
      <c r="F559" t="inlineStr">
        <is>
          <t>child</t>
        </is>
      </c>
      <c r="G559" t="inlineStr"/>
      <c r="H559" t="n">
        <v>2</v>
      </c>
      <c r="I559" t="inlineStr">
        <is>
          <t>gross</t>
        </is>
      </c>
      <c r="J559" t="inlineStr">
        <is>
          <t>net / recipe_yield</t>
        </is>
      </c>
      <c r="K559" t="inlineStr">
        <is>
          <t>195676.8462110440012001513234 / 1 (recipe yield 100%)</t>
        </is>
      </c>
      <c r="L559" t="inlineStr">
        <is>
          <t>195676.8462110440012001513234</t>
        </is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</v>
      </c>
      <c r="B560" t="n">
        <v>463</v>
      </c>
      <c r="C560" t="inlineStr">
        <is>
          <t>PROTEIN-37</t>
        </is>
      </c>
      <c r="D560" t="inlineStr">
        <is>
          <t>EU CHICKEN BREAST DICED 12-15g</t>
        </is>
      </c>
      <c r="E560" t="inlineStr">
        <is>
          <t>grams</t>
        </is>
      </c>
      <c r="F560" t="inlineStr">
        <is>
          <t>child</t>
        </is>
      </c>
      <c r="G560" t="inlineStr"/>
      <c r="H560" t="n">
        <v>3</v>
      </c>
      <c r="I560" t="inlineStr">
        <is>
          <t>stock_net</t>
        </is>
      </c>
      <c r="J560" t="inlineStr"/>
      <c r="K560" t="inlineStr"/>
      <c r="L560" t="inlineStr"/>
      <c r="M560" t="b">
        <v>1</v>
      </c>
      <c r="N560" t="inlineStr">
        <is>
          <t>consider_stock=false</t>
        </is>
      </c>
      <c r="O560" t="inlineStr"/>
      <c r="P560" t="inlineStr"/>
      <c r="Q560" t="inlineStr"/>
      <c r="R560" t="inlineStr">
        <is>
          <t>195676.8462110440012001513234</t>
        </is>
      </c>
      <c r="S560" t="inlineStr">
        <is>
          <t>195676.8462110440012001513234</t>
        </is>
      </c>
    </row>
    <row r="561">
      <c r="A561" t="n">
        <v>5</v>
      </c>
      <c r="B561" t="n">
        <v>213</v>
      </c>
      <c r="C561" t="inlineStr">
        <is>
          <t>INGRAD-38</t>
        </is>
      </c>
      <c r="D561" t="inlineStr">
        <is>
          <t>OLIVE OIL</t>
        </is>
      </c>
      <c r="E561" t="inlineStr">
        <is>
          <t>grams</t>
        </is>
      </c>
      <c r="F561" t="inlineStr">
        <is>
          <t>child</t>
        </is>
      </c>
      <c r="G561" t="inlineStr">
        <is>
          <t>3913.536924220880024003026468 from parent 214592.274678111587982832618 × BOM 3000 / batch_quantity 164500. Stock not applied.</t>
        </is>
      </c>
      <c r="H561" t="n">
        <v>1</v>
      </c>
      <c r="I561" t="inlineStr">
        <is>
          <t>scale_bom</t>
        </is>
      </c>
      <c r="J561" t="inlineStr">
        <is>
          <t>parent_gross × bom_qty / batch_quantity</t>
        </is>
      </c>
      <c r="K561" t="inlineStr">
        <is>
          <t>214592.274678111587982832618 × 3000 / 164500</t>
        </is>
      </c>
      <c r="L561" t="inlineStr">
        <is>
          <t>3913.536924220880024003026468</t>
        </is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</v>
      </c>
      <c r="B562" t="n">
        <v>213</v>
      </c>
      <c r="C562" t="inlineStr">
        <is>
          <t>INGRAD-38</t>
        </is>
      </c>
      <c r="D562" t="inlineStr">
        <is>
          <t>OLIVE OIL</t>
        </is>
      </c>
      <c r="E562" t="inlineStr">
        <is>
          <t>grams</t>
        </is>
      </c>
      <c r="F562" t="inlineStr">
        <is>
          <t>child</t>
        </is>
      </c>
      <c r="G562" t="inlineStr"/>
      <c r="H562" t="n">
        <v>2</v>
      </c>
      <c r="I562" t="inlineStr">
        <is>
          <t>gross</t>
        </is>
      </c>
      <c r="J562" t="inlineStr">
        <is>
          <t>net / recipe_yield</t>
        </is>
      </c>
      <c r="K562" t="inlineStr">
        <is>
          <t>3913.536924220880024003026468 / 1 (recipe yield 100%)</t>
        </is>
      </c>
      <c r="L562" t="inlineStr">
        <is>
          <t>3913.536924220880024003026468</t>
        </is>
      </c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</v>
      </c>
      <c r="B563" t="n">
        <v>213</v>
      </c>
      <c r="C563" t="inlineStr">
        <is>
          <t>INGRAD-38</t>
        </is>
      </c>
      <c r="D563" t="inlineStr">
        <is>
          <t>OLIVE OIL</t>
        </is>
      </c>
      <c r="E563" t="inlineStr">
        <is>
          <t>grams</t>
        </is>
      </c>
      <c r="F563" t="inlineStr">
        <is>
          <t>child</t>
        </is>
      </c>
      <c r="G563" t="inlineStr"/>
      <c r="H563" t="n">
        <v>3</v>
      </c>
      <c r="I563" t="inlineStr">
        <is>
          <t>stock_net</t>
        </is>
      </c>
      <c r="J563" t="inlineStr"/>
      <c r="K563" t="inlineStr"/>
      <c r="L563" t="inlineStr"/>
      <c r="M563" t="b">
        <v>1</v>
      </c>
      <c r="N563" t="inlineStr">
        <is>
          <t>consider_stock=false</t>
        </is>
      </c>
      <c r="O563" t="inlineStr"/>
      <c r="P563" t="inlineStr"/>
      <c r="Q563" t="inlineStr"/>
      <c r="R563" t="inlineStr">
        <is>
          <t>3913.536924220880024003026468</t>
        </is>
      </c>
      <c r="S563" t="inlineStr">
        <is>
          <t>3913.536924220880024003026468</t>
        </is>
      </c>
    </row>
    <row r="564">
      <c r="A564" t="n">
        <v>5</v>
      </c>
      <c r="B564" t="n">
        <v>29</v>
      </c>
      <c r="C564" t="inlineStr">
        <is>
          <t>VEGFRO-11</t>
        </is>
      </c>
      <c r="D564" t="inlineStr">
        <is>
          <t>GARLIC PUREE (FROZEN)</t>
        </is>
      </c>
      <c r="E564" t="inlineStr">
        <is>
          <t>grams</t>
        </is>
      </c>
      <c r="F564" t="inlineStr">
        <is>
          <t>child</t>
        </is>
      </c>
      <c r="G564" t="inlineStr">
        <is>
          <t>3913.536924220880024003026468 from parent 214592.274678111587982832618 × BOM 3000 / batch_quantity 164500. Stock not applied.</t>
        </is>
      </c>
      <c r="H564" t="n">
        <v>1</v>
      </c>
      <c r="I564" t="inlineStr">
        <is>
          <t>scale_bom</t>
        </is>
      </c>
      <c r="J564" t="inlineStr">
        <is>
          <t>parent_gross × bom_qty / batch_quantity</t>
        </is>
      </c>
      <c r="K564" t="inlineStr">
        <is>
          <t>214592.274678111587982832618 × 3000 / 164500</t>
        </is>
      </c>
      <c r="L564" t="inlineStr">
        <is>
          <t>3913.536924220880024003026468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</v>
      </c>
      <c r="B565" t="n">
        <v>29</v>
      </c>
      <c r="C565" t="inlineStr">
        <is>
          <t>VEGFRO-11</t>
        </is>
      </c>
      <c r="D565" t="inlineStr">
        <is>
          <t>GARLIC PUREE (FROZEN)</t>
        </is>
      </c>
      <c r="E565" t="inlineStr">
        <is>
          <t>grams</t>
        </is>
      </c>
      <c r="F565" t="inlineStr">
        <is>
          <t>child</t>
        </is>
      </c>
      <c r="G565" t="inlineStr"/>
      <c r="H565" t="n">
        <v>2</v>
      </c>
      <c r="I565" t="inlineStr">
        <is>
          <t>gross</t>
        </is>
      </c>
      <c r="J565" t="inlineStr">
        <is>
          <t>net / recipe_yield</t>
        </is>
      </c>
      <c r="K565" t="inlineStr">
        <is>
          <t>3913.536924220880024003026468 / 1 (recipe yield 100%)</t>
        </is>
      </c>
      <c r="L565" t="inlineStr">
        <is>
          <t>3913.536924220880024003026468</t>
        </is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</v>
      </c>
      <c r="B566" t="n">
        <v>29</v>
      </c>
      <c r="C566" t="inlineStr">
        <is>
          <t>VEGFRO-11</t>
        </is>
      </c>
      <c r="D566" t="inlineStr">
        <is>
          <t>GARLIC PUREE (FROZEN)</t>
        </is>
      </c>
      <c r="E566" t="inlineStr">
        <is>
          <t>grams</t>
        </is>
      </c>
      <c r="F566" t="inlineStr">
        <is>
          <t>child</t>
        </is>
      </c>
      <c r="G566" t="inlineStr"/>
      <c r="H566" t="n">
        <v>3</v>
      </c>
      <c r="I566" t="inlineStr">
        <is>
          <t>stock_net</t>
        </is>
      </c>
      <c r="J566" t="inlineStr"/>
      <c r="K566" t="inlineStr"/>
      <c r="L566" t="inlineStr"/>
      <c r="M566" t="b">
        <v>1</v>
      </c>
      <c r="N566" t="inlineStr">
        <is>
          <t>consider_stock=false</t>
        </is>
      </c>
      <c r="O566" t="inlineStr"/>
      <c r="P566" t="inlineStr"/>
      <c r="Q566" t="inlineStr"/>
      <c r="R566" t="inlineStr">
        <is>
          <t>3913.536924220880024003026468</t>
        </is>
      </c>
      <c r="S566" t="inlineStr">
        <is>
          <t>3913.536924220880024003026468</t>
        </is>
      </c>
    </row>
    <row r="567">
      <c r="A567" t="n">
        <v>5</v>
      </c>
      <c r="B567" t="n">
        <v>128</v>
      </c>
      <c r="C567" t="inlineStr">
        <is>
          <t>SAUCE0-02</t>
        </is>
      </c>
      <c r="D567" t="inlineStr">
        <is>
          <t>LEMON JUICE</t>
        </is>
      </c>
      <c r="E567" t="inlineStr">
        <is>
          <t>grams</t>
        </is>
      </c>
      <c r="F567" t="inlineStr">
        <is>
          <t>child</t>
        </is>
      </c>
      <c r="G567" t="inlineStr">
        <is>
          <t>3913.536924220880024003026468 from parent 214592.274678111587982832618 × BOM 3000 / batch_quantity 164500. Stock not applied.</t>
        </is>
      </c>
      <c r="H567" t="n">
        <v>1</v>
      </c>
      <c r="I567" t="inlineStr">
        <is>
          <t>scale_bom</t>
        </is>
      </c>
      <c r="J567" t="inlineStr">
        <is>
          <t>parent_gross × bom_qty / batch_quantity</t>
        </is>
      </c>
      <c r="K567" t="inlineStr">
        <is>
          <t>214592.274678111587982832618 × 3000 / 164500</t>
        </is>
      </c>
      <c r="L567" t="inlineStr">
        <is>
          <t>3913.536924220880024003026468</t>
        </is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</v>
      </c>
      <c r="B568" t="n">
        <v>128</v>
      </c>
      <c r="C568" t="inlineStr">
        <is>
          <t>SAUCE0-02</t>
        </is>
      </c>
      <c r="D568" t="inlineStr">
        <is>
          <t>LEMON JUICE</t>
        </is>
      </c>
      <c r="E568" t="inlineStr">
        <is>
          <t>grams</t>
        </is>
      </c>
      <c r="F568" t="inlineStr">
        <is>
          <t>child</t>
        </is>
      </c>
      <c r="G568" t="inlineStr"/>
      <c r="H568" t="n">
        <v>2</v>
      </c>
      <c r="I568" t="inlineStr">
        <is>
          <t>gross</t>
        </is>
      </c>
      <c r="J568" t="inlineStr">
        <is>
          <t>net / recipe_yield</t>
        </is>
      </c>
      <c r="K568" t="inlineStr">
        <is>
          <t>3913.536924220880024003026468 / 1 (recipe yield 100%)</t>
        </is>
      </c>
      <c r="L568" t="inlineStr">
        <is>
          <t>3913.536924220880024003026468</t>
        </is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</v>
      </c>
      <c r="B569" t="n">
        <v>128</v>
      </c>
      <c r="C569" t="inlineStr">
        <is>
          <t>SAUCE0-02</t>
        </is>
      </c>
      <c r="D569" t="inlineStr">
        <is>
          <t>LEMON JUICE</t>
        </is>
      </c>
      <c r="E569" t="inlineStr">
        <is>
          <t>grams</t>
        </is>
      </c>
      <c r="F569" t="inlineStr">
        <is>
          <t>child</t>
        </is>
      </c>
      <c r="G569" t="inlineStr"/>
      <c r="H569" t="n">
        <v>3</v>
      </c>
      <c r="I569" t="inlineStr">
        <is>
          <t>stock_net</t>
        </is>
      </c>
      <c r="J569" t="inlineStr"/>
      <c r="K569" t="inlineStr"/>
      <c r="L569" t="inlineStr"/>
      <c r="M569" t="b">
        <v>1</v>
      </c>
      <c r="N569" t="inlineStr">
        <is>
          <t>consider_stock=false</t>
        </is>
      </c>
      <c r="O569" t="inlineStr"/>
      <c r="P569" t="inlineStr"/>
      <c r="Q569" t="inlineStr"/>
      <c r="R569" t="inlineStr">
        <is>
          <t>3913.536924220880024003026468</t>
        </is>
      </c>
      <c r="S569" t="inlineStr">
        <is>
          <t>3913.536924220880024003026468</t>
        </is>
      </c>
    </row>
    <row r="570">
      <c r="A570" t="n">
        <v>5</v>
      </c>
      <c r="B570" t="n">
        <v>291</v>
      </c>
      <c r="C570" t="inlineStr">
        <is>
          <t>INGRAD-17</t>
        </is>
      </c>
      <c r="D570" t="inlineStr">
        <is>
          <t>CORN FLOUR</t>
        </is>
      </c>
      <c r="E570" t="inlineStr">
        <is>
          <t>grams</t>
        </is>
      </c>
      <c r="F570" t="inlineStr">
        <is>
          <t>child</t>
        </is>
      </c>
      <c r="G570" t="inlineStr">
        <is>
          <t>2609.024616147253349335350979 from parent 214592.274678111587982832618 × BOM 2000 / batch_quantity 164500. Stock not applied.</t>
        </is>
      </c>
      <c r="H570" t="n">
        <v>1</v>
      </c>
      <c r="I570" t="inlineStr">
        <is>
          <t>scale_bom</t>
        </is>
      </c>
      <c r="J570" t="inlineStr">
        <is>
          <t>parent_gross × bom_qty / batch_quantity</t>
        </is>
      </c>
      <c r="K570" t="inlineStr">
        <is>
          <t>214592.274678111587982832618 × 2000 / 164500</t>
        </is>
      </c>
      <c r="L570" t="inlineStr">
        <is>
          <t>2609.024616147253349335350979</t>
        </is>
      </c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</v>
      </c>
      <c r="B571" t="n">
        <v>291</v>
      </c>
      <c r="C571" t="inlineStr">
        <is>
          <t>INGRAD-17</t>
        </is>
      </c>
      <c r="D571" t="inlineStr">
        <is>
          <t>CORN FLOUR</t>
        </is>
      </c>
      <c r="E571" t="inlineStr">
        <is>
          <t>grams</t>
        </is>
      </c>
      <c r="F571" t="inlineStr">
        <is>
          <t>child</t>
        </is>
      </c>
      <c r="G571" t="inlineStr"/>
      <c r="H571" t="n">
        <v>2</v>
      </c>
      <c r="I571" t="inlineStr">
        <is>
          <t>gross</t>
        </is>
      </c>
      <c r="J571" t="inlineStr">
        <is>
          <t>net / recipe_yield</t>
        </is>
      </c>
      <c r="K571" t="inlineStr">
        <is>
          <t>2609.024616147253349335350979 / 1 (recipe yield 100%)</t>
        </is>
      </c>
      <c r="L571" t="inlineStr">
        <is>
          <t>2609.024616147253349335350979</t>
        </is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</v>
      </c>
      <c r="B572" t="n">
        <v>291</v>
      </c>
      <c r="C572" t="inlineStr">
        <is>
          <t>INGRAD-17</t>
        </is>
      </c>
      <c r="D572" t="inlineStr">
        <is>
          <t>CORN FLOUR</t>
        </is>
      </c>
      <c r="E572" t="inlineStr">
        <is>
          <t>grams</t>
        </is>
      </c>
      <c r="F572" t="inlineStr">
        <is>
          <t>child</t>
        </is>
      </c>
      <c r="G572" t="inlineStr"/>
      <c r="H572" t="n">
        <v>3</v>
      </c>
      <c r="I572" t="inlineStr">
        <is>
          <t>stock_net</t>
        </is>
      </c>
      <c r="J572" t="inlineStr"/>
      <c r="K572" t="inlineStr"/>
      <c r="L572" t="inlineStr"/>
      <c r="M572" t="b">
        <v>1</v>
      </c>
      <c r="N572" t="inlineStr">
        <is>
          <t>consider_stock=false</t>
        </is>
      </c>
      <c r="O572" t="inlineStr"/>
      <c r="P572" t="inlineStr"/>
      <c r="Q572" t="inlineStr"/>
      <c r="R572" t="inlineStr">
        <is>
          <t>2609.024616147253349335350979</t>
        </is>
      </c>
      <c r="S572" t="inlineStr">
        <is>
          <t>2609.024616147253349335350979</t>
        </is>
      </c>
    </row>
    <row r="573">
      <c r="A573" t="n">
        <v>5</v>
      </c>
      <c r="B573" t="n">
        <v>28</v>
      </c>
      <c r="C573" t="inlineStr">
        <is>
          <t>VEGFRO-10</t>
        </is>
      </c>
      <c r="D573" t="inlineStr">
        <is>
          <t>CORIANDER CHOPPED (FROZEN)</t>
        </is>
      </c>
      <c r="E573" t="inlineStr">
        <is>
          <t>grams</t>
        </is>
      </c>
      <c r="F573" t="inlineStr">
        <is>
          <t>child</t>
        </is>
      </c>
      <c r="G573" t="inlineStr">
        <is>
          <t>1956.768462110440012001513234 from parent 214592.274678111587982832618 × BOM 1500 / batch_quantity 164500. Stock not applied.</t>
        </is>
      </c>
      <c r="H573" t="n">
        <v>1</v>
      </c>
      <c r="I573" t="inlineStr">
        <is>
          <t>scale_bom</t>
        </is>
      </c>
      <c r="J573" t="inlineStr">
        <is>
          <t>parent_gross × bom_qty / batch_quantity</t>
        </is>
      </c>
      <c r="K573" t="inlineStr">
        <is>
          <t>214592.274678111587982832618 × 1500 / 164500</t>
        </is>
      </c>
      <c r="L573" t="inlineStr">
        <is>
          <t>1956.768462110440012001513234</t>
        </is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</v>
      </c>
      <c r="B574" t="n">
        <v>28</v>
      </c>
      <c r="C574" t="inlineStr">
        <is>
          <t>VEGFRO-10</t>
        </is>
      </c>
      <c r="D574" t="inlineStr">
        <is>
          <t>CORIANDER CHOPPED (FROZEN)</t>
        </is>
      </c>
      <c r="E574" t="inlineStr">
        <is>
          <t>grams</t>
        </is>
      </c>
      <c r="F574" t="inlineStr">
        <is>
          <t>child</t>
        </is>
      </c>
      <c r="G574" t="inlineStr"/>
      <c r="H574" t="n">
        <v>2</v>
      </c>
      <c r="I574" t="inlineStr">
        <is>
          <t>gross</t>
        </is>
      </c>
      <c r="J574" t="inlineStr">
        <is>
          <t>net / recipe_yield</t>
        </is>
      </c>
      <c r="K574" t="inlineStr">
        <is>
          <t>1956.768462110440012001513234 / 1 (recipe yield 100%)</t>
        </is>
      </c>
      <c r="L574" t="inlineStr">
        <is>
          <t>1956.768462110440012001513234</t>
        </is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</v>
      </c>
      <c r="B575" t="n">
        <v>28</v>
      </c>
      <c r="C575" t="inlineStr">
        <is>
          <t>VEGFRO-10</t>
        </is>
      </c>
      <c r="D575" t="inlineStr">
        <is>
          <t>CORIANDER CHOPPED (FROZEN)</t>
        </is>
      </c>
      <c r="E575" t="inlineStr">
        <is>
          <t>grams</t>
        </is>
      </c>
      <c r="F575" t="inlineStr">
        <is>
          <t>child</t>
        </is>
      </c>
      <c r="G575" t="inlineStr"/>
      <c r="H575" t="n">
        <v>3</v>
      </c>
      <c r="I575" t="inlineStr">
        <is>
          <t>stock_net</t>
        </is>
      </c>
      <c r="J575" t="inlineStr"/>
      <c r="K575" t="inlineStr"/>
      <c r="L575" t="inlineStr"/>
      <c r="M575" t="b">
        <v>1</v>
      </c>
      <c r="N575" t="inlineStr">
        <is>
          <t>consider_stock=false</t>
        </is>
      </c>
      <c r="O575" t="inlineStr"/>
      <c r="P575" t="inlineStr"/>
      <c r="Q575" t="inlineStr"/>
      <c r="R575" t="inlineStr">
        <is>
          <t>1956.768462110440012001513234</t>
        </is>
      </c>
      <c r="S575" t="inlineStr">
        <is>
          <t>1956.768462110440012001513234</t>
        </is>
      </c>
    </row>
    <row r="576">
      <c r="A576" t="n">
        <v>5</v>
      </c>
      <c r="B576" t="n">
        <v>43</v>
      </c>
      <c r="C576" t="inlineStr">
        <is>
          <t>VEGFRO-28</t>
        </is>
      </c>
      <c r="D576" t="inlineStr">
        <is>
          <t>RED CHILLI PUREE (FROZEN)</t>
        </is>
      </c>
      <c r="E576" t="inlineStr">
        <is>
          <t>grams</t>
        </is>
      </c>
      <c r="F576" t="inlineStr">
        <is>
          <t>child</t>
        </is>
      </c>
      <c r="G576" t="inlineStr">
        <is>
          <t>1956.768462110440012001513234 from parent 214592.274678111587982832618 × BOM 1500 / batch_quantity 164500. Stock not applied.</t>
        </is>
      </c>
      <c r="H576" t="n">
        <v>1</v>
      </c>
      <c r="I576" t="inlineStr">
        <is>
          <t>scale_bom</t>
        </is>
      </c>
      <c r="J576" t="inlineStr">
        <is>
          <t>parent_gross × bom_qty / batch_quantity</t>
        </is>
      </c>
      <c r="K576" t="inlineStr">
        <is>
          <t>214592.274678111587982832618 × 1500 / 164500</t>
        </is>
      </c>
      <c r="L576" t="inlineStr">
        <is>
          <t>1956.768462110440012001513234</t>
        </is>
      </c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</v>
      </c>
      <c r="B577" t="n">
        <v>43</v>
      </c>
      <c r="C577" t="inlineStr">
        <is>
          <t>VEGFRO-28</t>
        </is>
      </c>
      <c r="D577" t="inlineStr">
        <is>
          <t>RED CHILLI PUREE (FROZEN)</t>
        </is>
      </c>
      <c r="E577" t="inlineStr">
        <is>
          <t>grams</t>
        </is>
      </c>
      <c r="F577" t="inlineStr">
        <is>
          <t>child</t>
        </is>
      </c>
      <c r="G577" t="inlineStr"/>
      <c r="H577" t="n">
        <v>2</v>
      </c>
      <c r="I577" t="inlineStr">
        <is>
          <t>gross</t>
        </is>
      </c>
      <c r="J577" t="inlineStr">
        <is>
          <t>net / recipe_yield</t>
        </is>
      </c>
      <c r="K577" t="inlineStr">
        <is>
          <t>1956.768462110440012001513234 / 1 (recipe yield 100%)</t>
        </is>
      </c>
      <c r="L577" t="inlineStr">
        <is>
          <t>1956.768462110440012001513234</t>
        </is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</v>
      </c>
      <c r="B578" t="n">
        <v>43</v>
      </c>
      <c r="C578" t="inlineStr">
        <is>
          <t>VEGFRO-28</t>
        </is>
      </c>
      <c r="D578" t="inlineStr">
        <is>
          <t>RED CHILLI PUREE (FROZEN)</t>
        </is>
      </c>
      <c r="E578" t="inlineStr">
        <is>
          <t>grams</t>
        </is>
      </c>
      <c r="F578" t="inlineStr">
        <is>
          <t>child</t>
        </is>
      </c>
      <c r="G578" t="inlineStr"/>
      <c r="H578" t="n">
        <v>3</v>
      </c>
      <c r="I578" t="inlineStr">
        <is>
          <t>stock_net</t>
        </is>
      </c>
      <c r="J578" t="inlineStr"/>
      <c r="K578" t="inlineStr"/>
      <c r="L578" t="inlineStr"/>
      <c r="M578" t="b">
        <v>1</v>
      </c>
      <c r="N578" t="inlineStr">
        <is>
          <t>consider_stock=false</t>
        </is>
      </c>
      <c r="O578" t="inlineStr"/>
      <c r="P578" t="inlineStr"/>
      <c r="Q578" t="inlineStr"/>
      <c r="R578" t="inlineStr">
        <is>
          <t>1956.768462110440012001513234</t>
        </is>
      </c>
      <c r="S578" t="inlineStr">
        <is>
          <t>1956.768462110440012001513234</t>
        </is>
      </c>
    </row>
    <row r="579">
      <c r="A579" t="n">
        <v>5</v>
      </c>
      <c r="B579" t="n">
        <v>595</v>
      </c>
      <c r="C579" t="inlineStr">
        <is>
          <t>GFF560R-S</t>
        </is>
      </c>
      <c r="D579" t="inlineStr">
        <is>
          <t>Coriander Marinated Chicken (Simmers) - 560 - Spices</t>
        </is>
      </c>
      <c r="E579" t="inlineStr">
        <is>
          <t>grams</t>
        </is>
      </c>
      <c r="F579" t="inlineStr">
        <is>
          <t>child</t>
        </is>
      </c>
      <c r="G579" t="inlineStr">
        <is>
          <t>652.2561540368133373338377447 from parent 214592.274678111587982832618 × BOM 500 / batch_quantity 164500. Stock not applied.</t>
        </is>
      </c>
      <c r="H579" t="n">
        <v>1</v>
      </c>
      <c r="I579" t="inlineStr">
        <is>
          <t>scale_bom</t>
        </is>
      </c>
      <c r="J579" t="inlineStr">
        <is>
          <t>parent_gross × bom_qty / batch_quantity</t>
        </is>
      </c>
      <c r="K579" t="inlineStr">
        <is>
          <t>214592.274678111587982832618 × 500 / 164500</t>
        </is>
      </c>
      <c r="L579" t="inlineStr">
        <is>
          <t>652.2561540368133373338377447</t>
        </is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</v>
      </c>
      <c r="B580" t="n">
        <v>595</v>
      </c>
      <c r="C580" t="inlineStr">
        <is>
          <t>GFF560R-S</t>
        </is>
      </c>
      <c r="D580" t="inlineStr">
        <is>
          <t>Coriander Marinated Chicken (Simmers) - 560 - Spices</t>
        </is>
      </c>
      <c r="E580" t="inlineStr">
        <is>
          <t>grams</t>
        </is>
      </c>
      <c r="F580" t="inlineStr">
        <is>
          <t>child</t>
        </is>
      </c>
      <c r="G580" t="inlineStr"/>
      <c r="H580" t="n">
        <v>2</v>
      </c>
      <c r="I580" t="inlineStr">
        <is>
          <t>gross</t>
        </is>
      </c>
      <c r="J580" t="inlineStr">
        <is>
          <t>net / recipe_yield</t>
        </is>
      </c>
      <c r="K580" t="inlineStr">
        <is>
          <t>652.2561540368133373338377447 / 1 (recipe yield 100%)</t>
        </is>
      </c>
      <c r="L580" t="inlineStr">
        <is>
          <t>652.2561540368133373338377447</t>
        </is>
      </c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</v>
      </c>
      <c r="B581" t="n">
        <v>595</v>
      </c>
      <c r="C581" t="inlineStr">
        <is>
          <t>GFF560R-S</t>
        </is>
      </c>
      <c r="D581" t="inlineStr">
        <is>
          <t>Coriander Marinated Chicken (Simmers) - 560 - Spices</t>
        </is>
      </c>
      <c r="E581" t="inlineStr">
        <is>
          <t>grams</t>
        </is>
      </c>
      <c r="F581" t="inlineStr">
        <is>
          <t>child</t>
        </is>
      </c>
      <c r="G581" t="inlineStr"/>
      <c r="H581" t="n">
        <v>3</v>
      </c>
      <c r="I581" t="inlineStr">
        <is>
          <t>stock_net</t>
        </is>
      </c>
      <c r="J581" t="inlineStr"/>
      <c r="K581" t="inlineStr"/>
      <c r="L581" t="inlineStr"/>
      <c r="M581" t="b">
        <v>1</v>
      </c>
      <c r="N581" t="inlineStr">
        <is>
          <t>consider_stock=false</t>
        </is>
      </c>
      <c r="O581" t="inlineStr"/>
      <c r="P581" t="inlineStr"/>
      <c r="Q581" t="inlineStr"/>
      <c r="R581" t="inlineStr">
        <is>
          <t>652.2561540368133373338377447</t>
        </is>
      </c>
      <c r="S581" t="inlineStr">
        <is>
          <t>652.2561540368133373338377447</t>
        </is>
      </c>
    </row>
    <row r="582">
      <c r="A582" t="n">
        <v>5</v>
      </c>
      <c r="B582" t="n">
        <v>68</v>
      </c>
      <c r="C582" t="inlineStr">
        <is>
          <t>VEGFRO-43</t>
        </is>
      </c>
      <c r="D582" t="inlineStr">
        <is>
          <t>LIME LEAVES MILLED (FROZEN)</t>
        </is>
      </c>
      <c r="E582" t="inlineStr">
        <is>
          <t>grams</t>
        </is>
      </c>
      <c r="F582" t="inlineStr">
        <is>
          <t>child</t>
        </is>
      </c>
      <c r="G582" t="inlineStr">
        <is>
          <t>703.1257031257031257031257033 from parent 1546.876546876546876546876547 × BOM 1800 / batch_quantity 3960. Stock not applied.</t>
        </is>
      </c>
      <c r="H582" t="n">
        <v>1</v>
      </c>
      <c r="I582" t="inlineStr">
        <is>
          <t>scale_bom</t>
        </is>
      </c>
      <c r="J582" t="inlineStr">
        <is>
          <t>parent_gross × bom_qty / batch_quantity</t>
        </is>
      </c>
      <c r="K582" t="inlineStr">
        <is>
          <t>1546.876546876546876546876547 × 1800 / 3960</t>
        </is>
      </c>
      <c r="L582" t="inlineStr">
        <is>
          <t>703.1257031257031257031257033</t>
        </is>
      </c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</v>
      </c>
      <c r="B583" t="n">
        <v>68</v>
      </c>
      <c r="C583" t="inlineStr">
        <is>
          <t>VEGFRO-43</t>
        </is>
      </c>
      <c r="D583" t="inlineStr">
        <is>
          <t>LIME LEAVES MILLED (FROZEN)</t>
        </is>
      </c>
      <c r="E583" t="inlineStr">
        <is>
          <t>grams</t>
        </is>
      </c>
      <c r="F583" t="inlineStr">
        <is>
          <t>child</t>
        </is>
      </c>
      <c r="G583" t="inlineStr"/>
      <c r="H583" t="n">
        <v>2</v>
      </c>
      <c r="I583" t="inlineStr">
        <is>
          <t>gross</t>
        </is>
      </c>
      <c r="J583" t="inlineStr">
        <is>
          <t>net / recipe_yield</t>
        </is>
      </c>
      <c r="K583" t="inlineStr">
        <is>
          <t>703.1257031257031257031257033 / 1 (recipe yield 100%)</t>
        </is>
      </c>
      <c r="L583" t="inlineStr">
        <is>
          <t>703.1257031257031257031257033</t>
        </is>
      </c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</v>
      </c>
      <c r="B584" t="n">
        <v>68</v>
      </c>
      <c r="C584" t="inlineStr">
        <is>
          <t>VEGFRO-43</t>
        </is>
      </c>
      <c r="D584" t="inlineStr">
        <is>
          <t>LIME LEAVES MILLED (FROZEN)</t>
        </is>
      </c>
      <c r="E584" t="inlineStr">
        <is>
          <t>grams</t>
        </is>
      </c>
      <c r="F584" t="inlineStr">
        <is>
          <t>child</t>
        </is>
      </c>
      <c r="G584" t="inlineStr"/>
      <c r="H584" t="n">
        <v>3</v>
      </c>
      <c r="I584" t="inlineStr">
        <is>
          <t>stock_net</t>
        </is>
      </c>
      <c r="J584" t="inlineStr"/>
      <c r="K584" t="inlineStr"/>
      <c r="L584" t="inlineStr"/>
      <c r="M584" t="b">
        <v>1</v>
      </c>
      <c r="N584" t="inlineStr">
        <is>
          <t>consider_stock=false</t>
        </is>
      </c>
      <c r="O584" t="inlineStr"/>
      <c r="P584" t="inlineStr"/>
      <c r="Q584" t="inlineStr"/>
      <c r="R584" t="inlineStr">
        <is>
          <t>703.1257031257031257031257033</t>
        </is>
      </c>
      <c r="S584" t="inlineStr">
        <is>
          <t>703.1257031257031257031257033</t>
        </is>
      </c>
    </row>
    <row r="585">
      <c r="A585" t="n">
        <v>5</v>
      </c>
      <c r="B585" t="n">
        <v>53</v>
      </c>
      <c r="C585" t="inlineStr">
        <is>
          <t>VEGFRO-33</t>
        </is>
      </c>
      <c r="D585" t="inlineStr">
        <is>
          <t>LEMON GRASS MILLED (FROZEN)</t>
        </is>
      </c>
      <c r="E585" t="inlineStr">
        <is>
          <t>grams</t>
        </is>
      </c>
      <c r="F585" t="inlineStr">
        <is>
          <t>child</t>
        </is>
      </c>
      <c r="G585" t="inlineStr">
        <is>
          <t>703.1257031257031257031257033 from parent 1546.876546876546876546876547 × BOM 1800 / batch_quantity 3960. Stock not applied.</t>
        </is>
      </c>
      <c r="H585" t="n">
        <v>1</v>
      </c>
      <c r="I585" t="inlineStr">
        <is>
          <t>scale_bom</t>
        </is>
      </c>
      <c r="J585" t="inlineStr">
        <is>
          <t>parent_gross × bom_qty / batch_quantity</t>
        </is>
      </c>
      <c r="K585" t="inlineStr">
        <is>
          <t>1546.876546876546876546876547 × 1800 / 3960</t>
        </is>
      </c>
      <c r="L585" t="inlineStr">
        <is>
          <t>703.1257031257031257031257033</t>
        </is>
      </c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</v>
      </c>
      <c r="B586" t="n">
        <v>53</v>
      </c>
      <c r="C586" t="inlineStr">
        <is>
          <t>VEGFRO-33</t>
        </is>
      </c>
      <c r="D586" t="inlineStr">
        <is>
          <t>LEMON GRASS MILLED (FROZEN)</t>
        </is>
      </c>
      <c r="E586" t="inlineStr">
        <is>
          <t>grams</t>
        </is>
      </c>
      <c r="F586" t="inlineStr">
        <is>
          <t>child</t>
        </is>
      </c>
      <c r="G586" t="inlineStr"/>
      <c r="H586" t="n">
        <v>2</v>
      </c>
      <c r="I586" t="inlineStr">
        <is>
          <t>gross</t>
        </is>
      </c>
      <c r="J586" t="inlineStr">
        <is>
          <t>net / recipe_yield</t>
        </is>
      </c>
      <c r="K586" t="inlineStr">
        <is>
          <t>703.1257031257031257031257033 / 1 (recipe yield 100%)</t>
        </is>
      </c>
      <c r="L586" t="inlineStr">
        <is>
          <t>703.1257031257031257031257033</t>
        </is>
      </c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</v>
      </c>
      <c r="B587" t="n">
        <v>53</v>
      </c>
      <c r="C587" t="inlineStr">
        <is>
          <t>VEGFRO-33</t>
        </is>
      </c>
      <c r="D587" t="inlineStr">
        <is>
          <t>LEMON GRASS MILLED (FROZEN)</t>
        </is>
      </c>
      <c r="E587" t="inlineStr">
        <is>
          <t>grams</t>
        </is>
      </c>
      <c r="F587" t="inlineStr">
        <is>
          <t>child</t>
        </is>
      </c>
      <c r="G587" t="inlineStr"/>
      <c r="H587" t="n">
        <v>3</v>
      </c>
      <c r="I587" t="inlineStr">
        <is>
          <t>stock_net</t>
        </is>
      </c>
      <c r="J587" t="inlineStr"/>
      <c r="K587" t="inlineStr"/>
      <c r="L587" t="inlineStr"/>
      <c r="M587" t="b">
        <v>1</v>
      </c>
      <c r="N587" t="inlineStr">
        <is>
          <t>consider_stock=false</t>
        </is>
      </c>
      <c r="O587" t="inlineStr"/>
      <c r="P587" t="inlineStr"/>
      <c r="Q587" t="inlineStr"/>
      <c r="R587" t="inlineStr">
        <is>
          <t>703.1257031257031257031257033</t>
        </is>
      </c>
      <c r="S587" t="inlineStr">
        <is>
          <t>703.1257031257031257031257033</t>
        </is>
      </c>
    </row>
    <row r="588">
      <c r="A588" t="n">
        <v>5</v>
      </c>
      <c r="B588" t="n">
        <v>47</v>
      </c>
      <c r="C588" t="inlineStr">
        <is>
          <t>SPICE0-02</t>
        </is>
      </c>
      <c r="D588" t="inlineStr">
        <is>
          <t>SALT</t>
        </is>
      </c>
      <c r="E588" t="inlineStr">
        <is>
          <t>grams</t>
        </is>
      </c>
      <c r="F588" t="inlineStr">
        <is>
          <t>child</t>
        </is>
      </c>
      <c r="G588" t="inlineStr">
        <is>
          <t>140.6251406251406251406251406 from parent 1546.876546876546876546876547 × BOM 360 / batch_quantity 3960. Stock not applied.</t>
        </is>
      </c>
      <c r="H588" t="n">
        <v>1</v>
      </c>
      <c r="I588" t="inlineStr">
        <is>
          <t>scale_bom</t>
        </is>
      </c>
      <c r="J588" t="inlineStr">
        <is>
          <t>parent_gross × bom_qty / batch_quantity</t>
        </is>
      </c>
      <c r="K588" t="inlineStr">
        <is>
          <t>1546.876546876546876546876547 × 360 / 3960</t>
        </is>
      </c>
      <c r="L588" t="inlineStr">
        <is>
          <t>140.6251406251406251406251406</t>
        </is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</v>
      </c>
      <c r="B589" t="n">
        <v>47</v>
      </c>
      <c r="C589" t="inlineStr">
        <is>
          <t>SPICE0-02</t>
        </is>
      </c>
      <c r="D589" t="inlineStr">
        <is>
          <t>SALT</t>
        </is>
      </c>
      <c r="E589" t="inlineStr">
        <is>
          <t>grams</t>
        </is>
      </c>
      <c r="F589" t="inlineStr">
        <is>
          <t>child</t>
        </is>
      </c>
      <c r="G589" t="inlineStr"/>
      <c r="H589" t="n">
        <v>2</v>
      </c>
      <c r="I589" t="inlineStr">
        <is>
          <t>gross</t>
        </is>
      </c>
      <c r="J589" t="inlineStr">
        <is>
          <t>net / recipe_yield</t>
        </is>
      </c>
      <c r="K589" t="inlineStr">
        <is>
          <t>140.6251406251406251406251406 / 1 (recipe yield 100%)</t>
        </is>
      </c>
      <c r="L589" t="inlineStr">
        <is>
          <t>140.6251406251406251406251406</t>
        </is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</v>
      </c>
      <c r="B590" t="n">
        <v>47</v>
      </c>
      <c r="C590" t="inlineStr">
        <is>
          <t>SPICE0-02</t>
        </is>
      </c>
      <c r="D590" t="inlineStr">
        <is>
          <t>SALT</t>
        </is>
      </c>
      <c r="E590" t="inlineStr">
        <is>
          <t>grams</t>
        </is>
      </c>
      <c r="F590" t="inlineStr">
        <is>
          <t>child</t>
        </is>
      </c>
      <c r="G590" t="inlineStr"/>
      <c r="H590" t="n">
        <v>3</v>
      </c>
      <c r="I590" t="inlineStr">
        <is>
          <t>stock_net</t>
        </is>
      </c>
      <c r="J590" t="inlineStr"/>
      <c r="K590" t="inlineStr"/>
      <c r="L590" t="inlineStr"/>
      <c r="M590" t="b">
        <v>1</v>
      </c>
      <c r="N590" t="inlineStr">
        <is>
          <t>consider_stock=false</t>
        </is>
      </c>
      <c r="O590" t="inlineStr"/>
      <c r="P590" t="inlineStr"/>
      <c r="Q590" t="inlineStr"/>
      <c r="R590" t="inlineStr">
        <is>
          <t>140.6251406251406251406251406</t>
        </is>
      </c>
      <c r="S590" t="inlineStr">
        <is>
          <t>140.6251406251406251406251406</t>
        </is>
      </c>
    </row>
    <row r="591">
      <c r="A591" t="n">
        <v>5</v>
      </c>
      <c r="B591" t="n">
        <v>161</v>
      </c>
      <c r="C591" t="inlineStr">
        <is>
          <t>SAUCE0-35</t>
        </is>
      </c>
      <c r="D591" t="inlineStr">
        <is>
          <t>SOY SAUCE LIGHT</t>
        </is>
      </c>
      <c r="E591" t="inlineStr">
        <is>
          <t>grams</t>
        </is>
      </c>
      <c r="F591" t="inlineStr">
        <is>
          <t>child</t>
        </is>
      </c>
      <c r="G591" t="inlineStr">
        <is>
          <t>3756.52592030711129834996686 from parent 9516.532331444681955819916045 × BOM 4800 / batch_quantity 12160. Stock not applied.</t>
        </is>
      </c>
      <c r="H591" t="n">
        <v>1</v>
      </c>
      <c r="I591" t="inlineStr">
        <is>
          <t>scale_bom</t>
        </is>
      </c>
      <c r="J591" t="inlineStr">
        <is>
          <t>parent_gross × bom_qty / batch_quantity</t>
        </is>
      </c>
      <c r="K591" t="inlineStr">
        <is>
          <t>9516.532331444681955819916045 × 4800 / 12160</t>
        </is>
      </c>
      <c r="L591" t="inlineStr">
        <is>
          <t>3756.52592030711129834996686</t>
        </is>
      </c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</v>
      </c>
      <c r="B592" t="n">
        <v>161</v>
      </c>
      <c r="C592" t="inlineStr">
        <is>
          <t>SAUCE0-35</t>
        </is>
      </c>
      <c r="D592" t="inlineStr">
        <is>
          <t>SOY SAUCE LIGHT</t>
        </is>
      </c>
      <c r="E592" t="inlineStr">
        <is>
          <t>grams</t>
        </is>
      </c>
      <c r="F592" t="inlineStr">
        <is>
          <t>child</t>
        </is>
      </c>
      <c r="G592" t="inlineStr"/>
      <c r="H592" t="n">
        <v>2</v>
      </c>
      <c r="I592" t="inlineStr">
        <is>
          <t>gross</t>
        </is>
      </c>
      <c r="J592" t="inlineStr">
        <is>
          <t>net / recipe_yield</t>
        </is>
      </c>
      <c r="K592" t="inlineStr">
        <is>
          <t>3756.52592030711129834996686 / 1 (recipe yield 100%)</t>
        </is>
      </c>
      <c r="L592" t="inlineStr">
        <is>
          <t>3756.52592030711129834996686</t>
        </is>
      </c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</v>
      </c>
      <c r="B593" t="n">
        <v>161</v>
      </c>
      <c r="C593" t="inlineStr">
        <is>
          <t>SAUCE0-35</t>
        </is>
      </c>
      <c r="D593" t="inlineStr">
        <is>
          <t>SOY SAUCE LIGHT</t>
        </is>
      </c>
      <c r="E593" t="inlineStr">
        <is>
          <t>grams</t>
        </is>
      </c>
      <c r="F593" t="inlineStr">
        <is>
          <t>child</t>
        </is>
      </c>
      <c r="G593" t="inlineStr"/>
      <c r="H593" t="n">
        <v>3</v>
      </c>
      <c r="I593" t="inlineStr">
        <is>
          <t>stock_net</t>
        </is>
      </c>
      <c r="J593" t="inlineStr"/>
      <c r="K593" t="inlineStr"/>
      <c r="L593" t="inlineStr"/>
      <c r="M593" t="b">
        <v>1</v>
      </c>
      <c r="N593" t="inlineStr">
        <is>
          <t>consider_stock=false</t>
        </is>
      </c>
      <c r="O593" t="inlineStr"/>
      <c r="P593" t="inlineStr"/>
      <c r="Q593" t="inlineStr"/>
      <c r="R593" t="inlineStr">
        <is>
          <t>3756.52592030711129834996686</t>
        </is>
      </c>
      <c r="S593" t="inlineStr">
        <is>
          <t>3756.52592030711129834996686</t>
        </is>
      </c>
    </row>
    <row r="594">
      <c r="A594" t="n">
        <v>5</v>
      </c>
      <c r="B594" t="n">
        <v>149</v>
      </c>
      <c r="C594" t="inlineStr">
        <is>
          <t>SAUCE0-22</t>
        </is>
      </c>
      <c r="D594" t="inlineStr">
        <is>
          <t>THAI RED CURRY PASTE</t>
        </is>
      </c>
      <c r="E594" t="inlineStr">
        <is>
          <t>grams</t>
        </is>
      </c>
      <c r="F594" t="inlineStr">
        <is>
          <t>child</t>
        </is>
      </c>
      <c r="G594" t="inlineStr">
        <is>
          <t>2504.350613538074198899977906 from parent 9516.532331444681955819916045 × BOM 3200 / batch_quantity 12160. Stock not applied.</t>
        </is>
      </c>
      <c r="H594" t="n">
        <v>1</v>
      </c>
      <c r="I594" t="inlineStr">
        <is>
          <t>scale_bom</t>
        </is>
      </c>
      <c r="J594" t="inlineStr">
        <is>
          <t>parent_gross × bom_qty / batch_quantity</t>
        </is>
      </c>
      <c r="K594" t="inlineStr">
        <is>
          <t>9516.532331444681955819916045 × 3200 / 12160</t>
        </is>
      </c>
      <c r="L594" t="inlineStr">
        <is>
          <t>2504.350613538074198899977906</t>
        </is>
      </c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</v>
      </c>
      <c r="B595" t="n">
        <v>149</v>
      </c>
      <c r="C595" t="inlineStr">
        <is>
          <t>SAUCE0-22</t>
        </is>
      </c>
      <c r="D595" t="inlineStr">
        <is>
          <t>THAI RED CURRY PASTE</t>
        </is>
      </c>
      <c r="E595" t="inlineStr">
        <is>
          <t>grams</t>
        </is>
      </c>
      <c r="F595" t="inlineStr">
        <is>
          <t>child</t>
        </is>
      </c>
      <c r="G595" t="inlineStr"/>
      <c r="H595" t="n">
        <v>2</v>
      </c>
      <c r="I595" t="inlineStr">
        <is>
          <t>gross</t>
        </is>
      </c>
      <c r="J595" t="inlineStr">
        <is>
          <t>net / recipe_yield</t>
        </is>
      </c>
      <c r="K595" t="inlineStr">
        <is>
          <t>2504.350613538074198899977906 / 1 (recipe yield 100%)</t>
        </is>
      </c>
      <c r="L595" t="inlineStr">
        <is>
          <t>2504.350613538074198899977906</t>
        </is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</v>
      </c>
      <c r="B596" t="n">
        <v>149</v>
      </c>
      <c r="C596" t="inlineStr">
        <is>
          <t>SAUCE0-22</t>
        </is>
      </c>
      <c r="D596" t="inlineStr">
        <is>
          <t>THAI RED CURRY PASTE</t>
        </is>
      </c>
      <c r="E596" t="inlineStr">
        <is>
          <t>grams</t>
        </is>
      </c>
      <c r="F596" t="inlineStr">
        <is>
          <t>child</t>
        </is>
      </c>
      <c r="G596" t="inlineStr"/>
      <c r="H596" t="n">
        <v>3</v>
      </c>
      <c r="I596" t="inlineStr">
        <is>
          <t>stock_net</t>
        </is>
      </c>
      <c r="J596" t="inlineStr"/>
      <c r="K596" t="inlineStr"/>
      <c r="L596" t="inlineStr"/>
      <c r="M596" t="b">
        <v>1</v>
      </c>
      <c r="N596" t="inlineStr">
        <is>
          <t>consider_stock=false</t>
        </is>
      </c>
      <c r="O596" t="inlineStr"/>
      <c r="P596" t="inlineStr"/>
      <c r="Q596" t="inlineStr"/>
      <c r="R596" t="inlineStr">
        <is>
          <t>2504.350613538074198899977906</t>
        </is>
      </c>
      <c r="S596" t="inlineStr">
        <is>
          <t>2504.350613538074198899977906</t>
        </is>
      </c>
    </row>
    <row r="597">
      <c r="A597" t="n">
        <v>5</v>
      </c>
      <c r="B597" t="n">
        <v>53</v>
      </c>
      <c r="C597" t="inlineStr">
        <is>
          <t>VEGFRO-33</t>
        </is>
      </c>
      <c r="D597" t="inlineStr">
        <is>
          <t>LEMON GRASS MILLED (FROZEN)</t>
        </is>
      </c>
      <c r="E597" t="inlineStr">
        <is>
          <t>grams</t>
        </is>
      </c>
      <c r="F597" t="inlineStr">
        <is>
          <t>child</t>
        </is>
      </c>
      <c r="G597" t="inlineStr">
        <is>
          <t>1252.175306769037099449988953 from parent 9516.532331444681955819916045 × BOM 1600 / batch_quantity 12160. Stock not applied.</t>
        </is>
      </c>
      <c r="H597" t="n">
        <v>1</v>
      </c>
      <c r="I597" t="inlineStr">
        <is>
          <t>scale_bom</t>
        </is>
      </c>
      <c r="J597" t="inlineStr">
        <is>
          <t>parent_gross × bom_qty / batch_quantity</t>
        </is>
      </c>
      <c r="K597" t="inlineStr">
        <is>
          <t>9516.532331444681955819916045 × 1600 / 12160</t>
        </is>
      </c>
      <c r="L597" t="inlineStr">
        <is>
          <t>1252.175306769037099449988953</t>
        </is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</v>
      </c>
      <c r="B598" t="n">
        <v>53</v>
      </c>
      <c r="C598" t="inlineStr">
        <is>
          <t>VEGFRO-33</t>
        </is>
      </c>
      <c r="D598" t="inlineStr">
        <is>
          <t>LEMON GRASS MILLED (FROZEN)</t>
        </is>
      </c>
      <c r="E598" t="inlineStr">
        <is>
          <t>grams</t>
        </is>
      </c>
      <c r="F598" t="inlineStr">
        <is>
          <t>child</t>
        </is>
      </c>
      <c r="G598" t="inlineStr"/>
      <c r="H598" t="n">
        <v>2</v>
      </c>
      <c r="I598" t="inlineStr">
        <is>
          <t>gross</t>
        </is>
      </c>
      <c r="J598" t="inlineStr">
        <is>
          <t>net / recipe_yield</t>
        </is>
      </c>
      <c r="K598" t="inlineStr">
        <is>
          <t>1252.175306769037099449988953 / 1 (recipe yield 100%)</t>
        </is>
      </c>
      <c r="L598" t="inlineStr">
        <is>
          <t>1252.175306769037099449988953</t>
        </is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</v>
      </c>
      <c r="B599" t="n">
        <v>53</v>
      </c>
      <c r="C599" t="inlineStr">
        <is>
          <t>VEGFRO-33</t>
        </is>
      </c>
      <c r="D599" t="inlineStr">
        <is>
          <t>LEMON GRASS MILLED (FROZEN)</t>
        </is>
      </c>
      <c r="E599" t="inlineStr">
        <is>
          <t>grams</t>
        </is>
      </c>
      <c r="F599" t="inlineStr">
        <is>
          <t>child</t>
        </is>
      </c>
      <c r="G599" t="inlineStr"/>
      <c r="H599" t="n">
        <v>3</v>
      </c>
      <c r="I599" t="inlineStr">
        <is>
          <t>stock_net</t>
        </is>
      </c>
      <c r="J599" t="inlineStr"/>
      <c r="K599" t="inlineStr"/>
      <c r="L599" t="inlineStr"/>
      <c r="M599" t="b">
        <v>1</v>
      </c>
      <c r="N599" t="inlineStr">
        <is>
          <t>consider_stock=false</t>
        </is>
      </c>
      <c r="O599" t="inlineStr"/>
      <c r="P599" t="inlineStr"/>
      <c r="Q599" t="inlineStr"/>
      <c r="R599" t="inlineStr">
        <is>
          <t>1252.175306769037099449988953</t>
        </is>
      </c>
      <c r="S599" t="inlineStr">
        <is>
          <t>1252.175306769037099449988953</t>
        </is>
      </c>
    </row>
    <row r="600">
      <c r="A600" t="n">
        <v>5</v>
      </c>
      <c r="B600" t="n">
        <v>68</v>
      </c>
      <c r="C600" t="inlineStr">
        <is>
          <t>VEGFRO-43</t>
        </is>
      </c>
      <c r="D600" t="inlineStr">
        <is>
          <t>LIME LEAVES MILLED (FROZEN)</t>
        </is>
      </c>
      <c r="E600" t="inlineStr">
        <is>
          <t>grams</t>
        </is>
      </c>
      <c r="F600" t="inlineStr">
        <is>
          <t>child</t>
        </is>
      </c>
      <c r="G600" t="inlineStr">
        <is>
          <t>1252.175306769037099449988953 from parent 9516.532331444681955819916045 × BOM 1600 / batch_quantity 12160. Stock not applied.</t>
        </is>
      </c>
      <c r="H600" t="n">
        <v>1</v>
      </c>
      <c r="I600" t="inlineStr">
        <is>
          <t>scale_bom</t>
        </is>
      </c>
      <c r="J600" t="inlineStr">
        <is>
          <t>parent_gross × bom_qty / batch_quantity</t>
        </is>
      </c>
      <c r="K600" t="inlineStr">
        <is>
          <t>9516.532331444681955819916045 × 1600 / 12160</t>
        </is>
      </c>
      <c r="L600" t="inlineStr">
        <is>
          <t>1252.175306769037099449988953</t>
        </is>
      </c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</v>
      </c>
      <c r="B601" t="n">
        <v>68</v>
      </c>
      <c r="C601" t="inlineStr">
        <is>
          <t>VEGFRO-43</t>
        </is>
      </c>
      <c r="D601" t="inlineStr">
        <is>
          <t>LIME LEAVES MILLED (FROZEN)</t>
        </is>
      </c>
      <c r="E601" t="inlineStr">
        <is>
          <t>grams</t>
        </is>
      </c>
      <c r="F601" t="inlineStr">
        <is>
          <t>child</t>
        </is>
      </c>
      <c r="G601" t="inlineStr"/>
      <c r="H601" t="n">
        <v>2</v>
      </c>
      <c r="I601" t="inlineStr">
        <is>
          <t>gross</t>
        </is>
      </c>
      <c r="J601" t="inlineStr">
        <is>
          <t>net / recipe_yield</t>
        </is>
      </c>
      <c r="K601" t="inlineStr">
        <is>
          <t>1252.175306769037099449988953 / 1 (recipe yield 100%)</t>
        </is>
      </c>
      <c r="L601" t="inlineStr">
        <is>
          <t>1252.175306769037099449988953</t>
        </is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5</v>
      </c>
      <c r="B602" t="n">
        <v>68</v>
      </c>
      <c r="C602" t="inlineStr">
        <is>
          <t>VEGFRO-43</t>
        </is>
      </c>
      <c r="D602" t="inlineStr">
        <is>
          <t>LIME LEAVES MILLED (FROZEN)</t>
        </is>
      </c>
      <c r="E602" t="inlineStr">
        <is>
          <t>grams</t>
        </is>
      </c>
      <c r="F602" t="inlineStr">
        <is>
          <t>child</t>
        </is>
      </c>
      <c r="G602" t="inlineStr"/>
      <c r="H602" t="n">
        <v>3</v>
      </c>
      <c r="I602" t="inlineStr">
        <is>
          <t>stock_net</t>
        </is>
      </c>
      <c r="J602" t="inlineStr"/>
      <c r="K602" t="inlineStr"/>
      <c r="L602" t="inlineStr"/>
      <c r="M602" t="b">
        <v>1</v>
      </c>
      <c r="N602" t="inlineStr">
        <is>
          <t>consider_stock=false</t>
        </is>
      </c>
      <c r="O602" t="inlineStr"/>
      <c r="P602" t="inlineStr"/>
      <c r="Q602" t="inlineStr"/>
      <c r="R602" t="inlineStr">
        <is>
          <t>1252.175306769037099449988953</t>
        </is>
      </c>
      <c r="S602" t="inlineStr">
        <is>
          <t>1252.175306769037099449988953</t>
        </is>
      </c>
    </row>
    <row r="603">
      <c r="A603" t="n">
        <v>5</v>
      </c>
      <c r="B603" t="n">
        <v>60</v>
      </c>
      <c r="C603" t="inlineStr">
        <is>
          <t>VEGFRO-38</t>
        </is>
      </c>
      <c r="D603" t="inlineStr">
        <is>
          <t>GALANGAL MILLED (FROZEN)</t>
        </is>
      </c>
      <c r="E603" t="inlineStr">
        <is>
          <t>grams</t>
        </is>
      </c>
      <c r="F603" t="inlineStr">
        <is>
          <t>child</t>
        </is>
      </c>
      <c r="G603" t="inlineStr">
        <is>
          <t>313.0438266922592748624972383 from parent 9516.532331444681955819916045 × BOM 400 / batch_quantity 12160. Stock not applied.</t>
        </is>
      </c>
      <c r="H603" t="n">
        <v>1</v>
      </c>
      <c r="I603" t="inlineStr">
        <is>
          <t>scale_bom</t>
        </is>
      </c>
      <c r="J603" t="inlineStr">
        <is>
          <t>parent_gross × bom_qty / batch_quantity</t>
        </is>
      </c>
      <c r="K603" t="inlineStr">
        <is>
          <t>9516.532331444681955819916045 × 400 / 12160</t>
        </is>
      </c>
      <c r="L603" t="inlineStr">
        <is>
          <t>313.0438266922592748624972383</t>
        </is>
      </c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5</v>
      </c>
      <c r="B604" t="n">
        <v>60</v>
      </c>
      <c r="C604" t="inlineStr">
        <is>
          <t>VEGFRO-38</t>
        </is>
      </c>
      <c r="D604" t="inlineStr">
        <is>
          <t>GALANGAL MILLED (FROZEN)</t>
        </is>
      </c>
      <c r="E604" t="inlineStr">
        <is>
          <t>grams</t>
        </is>
      </c>
      <c r="F604" t="inlineStr">
        <is>
          <t>child</t>
        </is>
      </c>
      <c r="G604" t="inlineStr"/>
      <c r="H604" t="n">
        <v>2</v>
      </c>
      <c r="I604" t="inlineStr">
        <is>
          <t>gross</t>
        </is>
      </c>
      <c r="J604" t="inlineStr">
        <is>
          <t>net / recipe_yield</t>
        </is>
      </c>
      <c r="K604" t="inlineStr">
        <is>
          <t>313.0438266922592748624972383 / 1 (recipe yield 100%)</t>
        </is>
      </c>
      <c r="L604" t="inlineStr">
        <is>
          <t>313.0438266922592748624972383</t>
        </is>
      </c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5</v>
      </c>
      <c r="B605" t="n">
        <v>60</v>
      </c>
      <c r="C605" t="inlineStr">
        <is>
          <t>VEGFRO-38</t>
        </is>
      </c>
      <c r="D605" t="inlineStr">
        <is>
          <t>GALANGAL MILLED (FROZEN)</t>
        </is>
      </c>
      <c r="E605" t="inlineStr">
        <is>
          <t>grams</t>
        </is>
      </c>
      <c r="F605" t="inlineStr">
        <is>
          <t>child</t>
        </is>
      </c>
      <c r="G605" t="inlineStr"/>
      <c r="H605" t="n">
        <v>3</v>
      </c>
      <c r="I605" t="inlineStr">
        <is>
          <t>stock_net</t>
        </is>
      </c>
      <c r="J605" t="inlineStr"/>
      <c r="K605" t="inlineStr"/>
      <c r="L605" t="inlineStr"/>
      <c r="M605" t="b">
        <v>1</v>
      </c>
      <c r="N605" t="inlineStr">
        <is>
          <t>consider_stock=false</t>
        </is>
      </c>
      <c r="O605" t="inlineStr"/>
      <c r="P605" t="inlineStr"/>
      <c r="Q605" t="inlineStr"/>
      <c r="R605" t="inlineStr">
        <is>
          <t>313.0438266922592748624972383</t>
        </is>
      </c>
      <c r="S605" t="inlineStr">
        <is>
          <t>313.0438266922592748624972383</t>
        </is>
      </c>
    </row>
    <row r="606">
      <c r="A606" t="n">
        <v>5</v>
      </c>
      <c r="B606" t="n">
        <v>70</v>
      </c>
      <c r="C606" t="inlineStr">
        <is>
          <t>SPICE0-15</t>
        </is>
      </c>
      <c r="D606" t="inlineStr">
        <is>
          <t>PAPRIKA POWDER HT</t>
        </is>
      </c>
      <c r="E606" t="inlineStr">
        <is>
          <t>grams</t>
        </is>
      </c>
      <c r="F606" t="inlineStr">
        <is>
          <t>child</t>
        </is>
      </c>
      <c r="G606" t="inlineStr">
        <is>
          <t>313.0438266922592748624972383 from parent 9516.532331444681955819916045 × BOM 400 / batch_quantity 12160. Stock not applied.</t>
        </is>
      </c>
      <c r="H606" t="n">
        <v>1</v>
      </c>
      <c r="I606" t="inlineStr">
        <is>
          <t>scale_bom</t>
        </is>
      </c>
      <c r="J606" t="inlineStr">
        <is>
          <t>parent_gross × bom_qty / batch_quantity</t>
        </is>
      </c>
      <c r="K606" t="inlineStr">
        <is>
          <t>9516.532331444681955819916045 × 400 / 12160</t>
        </is>
      </c>
      <c r="L606" t="inlineStr">
        <is>
          <t>313.0438266922592748624972383</t>
        </is>
      </c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5</v>
      </c>
      <c r="B607" t="n">
        <v>70</v>
      </c>
      <c r="C607" t="inlineStr">
        <is>
          <t>SPICE0-15</t>
        </is>
      </c>
      <c r="D607" t="inlineStr">
        <is>
          <t>PAPRIKA POWDER HT</t>
        </is>
      </c>
      <c r="E607" t="inlineStr">
        <is>
          <t>grams</t>
        </is>
      </c>
      <c r="F607" t="inlineStr">
        <is>
          <t>child</t>
        </is>
      </c>
      <c r="G607" t="inlineStr"/>
      <c r="H607" t="n">
        <v>2</v>
      </c>
      <c r="I607" t="inlineStr">
        <is>
          <t>gross</t>
        </is>
      </c>
      <c r="J607" t="inlineStr">
        <is>
          <t>net / recipe_yield</t>
        </is>
      </c>
      <c r="K607" t="inlineStr">
        <is>
          <t>313.0438266922592748624972383 / 1 (recipe yield 100%)</t>
        </is>
      </c>
      <c r="L607" t="inlineStr">
        <is>
          <t>313.0438266922592748624972383</t>
        </is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5</v>
      </c>
      <c r="B608" t="n">
        <v>70</v>
      </c>
      <c r="C608" t="inlineStr">
        <is>
          <t>SPICE0-15</t>
        </is>
      </c>
      <c r="D608" t="inlineStr">
        <is>
          <t>PAPRIKA POWDER HT</t>
        </is>
      </c>
      <c r="E608" t="inlineStr">
        <is>
          <t>grams</t>
        </is>
      </c>
      <c r="F608" t="inlineStr">
        <is>
          <t>child</t>
        </is>
      </c>
      <c r="G608" t="inlineStr"/>
      <c r="H608" t="n">
        <v>3</v>
      </c>
      <c r="I608" t="inlineStr">
        <is>
          <t>stock_net</t>
        </is>
      </c>
      <c r="J608" t="inlineStr"/>
      <c r="K608" t="inlineStr"/>
      <c r="L608" t="inlineStr"/>
      <c r="M608" t="b">
        <v>1</v>
      </c>
      <c r="N608" t="inlineStr">
        <is>
          <t>consider_stock=false</t>
        </is>
      </c>
      <c r="O608" t="inlineStr"/>
      <c r="P608" t="inlineStr"/>
      <c r="Q608" t="inlineStr"/>
      <c r="R608" t="inlineStr">
        <is>
          <t>313.0438266922592748624972383</t>
        </is>
      </c>
      <c r="S608" t="inlineStr">
        <is>
          <t>313.0438266922592748624972383</t>
        </is>
      </c>
    </row>
    <row r="609">
      <c r="A609" t="n">
        <v>5</v>
      </c>
      <c r="B609" t="n">
        <v>47</v>
      </c>
      <c r="C609" t="inlineStr">
        <is>
          <t>SPICE0-02</t>
        </is>
      </c>
      <c r="D609" t="inlineStr">
        <is>
          <t>SALT</t>
        </is>
      </c>
      <c r="E609" t="inlineStr">
        <is>
          <t>grams</t>
        </is>
      </c>
      <c r="F609" t="inlineStr">
        <is>
          <t>child</t>
        </is>
      </c>
      <c r="G609" t="inlineStr">
        <is>
          <t>125.2175306769037099449988953 from parent 9516.532331444681955819916045 × BOM 160 / batch_quantity 12160. Stock not applied.</t>
        </is>
      </c>
      <c r="H609" t="n">
        <v>1</v>
      </c>
      <c r="I609" t="inlineStr">
        <is>
          <t>scale_bom</t>
        </is>
      </c>
      <c r="J609" t="inlineStr">
        <is>
          <t>parent_gross × bom_qty / batch_quantity</t>
        </is>
      </c>
      <c r="K609" t="inlineStr">
        <is>
          <t>9516.532331444681955819916045 × 160 / 12160</t>
        </is>
      </c>
      <c r="L609" t="inlineStr">
        <is>
          <t>125.2175306769037099449988953</t>
        </is>
      </c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5</v>
      </c>
      <c r="B610" t="n">
        <v>47</v>
      </c>
      <c r="C610" t="inlineStr">
        <is>
          <t>SPICE0-02</t>
        </is>
      </c>
      <c r="D610" t="inlineStr">
        <is>
          <t>SALT</t>
        </is>
      </c>
      <c r="E610" t="inlineStr">
        <is>
          <t>grams</t>
        </is>
      </c>
      <c r="F610" t="inlineStr">
        <is>
          <t>child</t>
        </is>
      </c>
      <c r="G610" t="inlineStr"/>
      <c r="H610" t="n">
        <v>2</v>
      </c>
      <c r="I610" t="inlineStr">
        <is>
          <t>gross</t>
        </is>
      </c>
      <c r="J610" t="inlineStr">
        <is>
          <t>net / recipe_yield</t>
        </is>
      </c>
      <c r="K610" t="inlineStr">
        <is>
          <t>125.2175306769037099449988953 / 1 (recipe yield 100%)</t>
        </is>
      </c>
      <c r="L610" t="inlineStr">
        <is>
          <t>125.2175306769037099449988953</t>
        </is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5</v>
      </c>
      <c r="B611" t="n">
        <v>47</v>
      </c>
      <c r="C611" t="inlineStr">
        <is>
          <t>SPICE0-02</t>
        </is>
      </c>
      <c r="D611" t="inlineStr">
        <is>
          <t>SALT</t>
        </is>
      </c>
      <c r="E611" t="inlineStr">
        <is>
          <t>grams</t>
        </is>
      </c>
      <c r="F611" t="inlineStr">
        <is>
          <t>child</t>
        </is>
      </c>
      <c r="G611" t="inlineStr"/>
      <c r="H611" t="n">
        <v>3</v>
      </c>
      <c r="I611" t="inlineStr">
        <is>
          <t>stock_net</t>
        </is>
      </c>
      <c r="J611" t="inlineStr"/>
      <c r="K611" t="inlineStr"/>
      <c r="L611" t="inlineStr"/>
      <c r="M611" t="b">
        <v>1</v>
      </c>
      <c r="N611" t="inlineStr">
        <is>
          <t>consider_stock=false</t>
        </is>
      </c>
      <c r="O611" t="inlineStr"/>
      <c r="P611" t="inlineStr"/>
      <c r="Q611" t="inlineStr"/>
      <c r="R611" t="inlineStr">
        <is>
          <t>125.2175306769037099449988953</t>
        </is>
      </c>
      <c r="S611" t="inlineStr">
        <is>
          <t>125.2175306769037099449988953</t>
        </is>
      </c>
    </row>
    <row r="612">
      <c r="A612" t="n">
        <v>5</v>
      </c>
      <c r="B612" t="n">
        <v>463</v>
      </c>
      <c r="C612" t="inlineStr">
        <is>
          <t>PROTEIN-37</t>
        </is>
      </c>
      <c r="D612" t="inlineStr">
        <is>
          <t>EU CHICKEN BREAST DICED 12-15g</t>
        </is>
      </c>
      <c r="E612" t="inlineStr">
        <is>
          <t>grams</t>
        </is>
      </c>
      <c r="F612" t="inlineStr">
        <is>
          <t>child</t>
        </is>
      </c>
      <c r="G612" t="inlineStr">
        <is>
          <t>221767.0923725165346935048333 from parent 243204.5779685264663805436338 × BOM 150000 / batch_quantity 164500. Stock not applied.</t>
        </is>
      </c>
      <c r="H612" t="n">
        <v>1</v>
      </c>
      <c r="I612" t="inlineStr">
        <is>
          <t>scale_bom</t>
        </is>
      </c>
      <c r="J612" t="inlineStr">
        <is>
          <t>parent_gross × bom_qty / batch_quantity</t>
        </is>
      </c>
      <c r="K612" t="inlineStr">
        <is>
          <t>243204.5779685264663805436338 × 150000 / 164500</t>
        </is>
      </c>
      <c r="L612" t="inlineStr">
        <is>
          <t>221767.0923725165346935048333</t>
        </is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5</v>
      </c>
      <c r="B613" t="n">
        <v>463</v>
      </c>
      <c r="C613" t="inlineStr">
        <is>
          <t>PROTEIN-37</t>
        </is>
      </c>
      <c r="D613" t="inlineStr">
        <is>
          <t>EU CHICKEN BREAST DICED 12-15g</t>
        </is>
      </c>
      <c r="E613" t="inlineStr">
        <is>
          <t>grams</t>
        </is>
      </c>
      <c r="F613" t="inlineStr">
        <is>
          <t>child</t>
        </is>
      </c>
      <c r="G613" t="inlineStr"/>
      <c r="H613" t="n">
        <v>2</v>
      </c>
      <c r="I613" t="inlineStr">
        <is>
          <t>gross</t>
        </is>
      </c>
      <c r="J613" t="inlineStr">
        <is>
          <t>net / recipe_yield</t>
        </is>
      </c>
      <c r="K613" t="inlineStr">
        <is>
          <t>221767.0923725165346935048333 / 1 (recipe yield 100%)</t>
        </is>
      </c>
      <c r="L613" t="inlineStr">
        <is>
          <t>221767.0923725165346935048333</t>
        </is>
      </c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5</v>
      </c>
      <c r="B614" t="n">
        <v>463</v>
      </c>
      <c r="C614" t="inlineStr">
        <is>
          <t>PROTEIN-37</t>
        </is>
      </c>
      <c r="D614" t="inlineStr">
        <is>
          <t>EU CHICKEN BREAST DICED 12-15g</t>
        </is>
      </c>
      <c r="E614" t="inlineStr">
        <is>
          <t>grams</t>
        </is>
      </c>
      <c r="F614" t="inlineStr">
        <is>
          <t>child</t>
        </is>
      </c>
      <c r="G614" t="inlineStr"/>
      <c r="H614" t="n">
        <v>3</v>
      </c>
      <c r="I614" t="inlineStr">
        <is>
          <t>stock_net</t>
        </is>
      </c>
      <c r="J614" t="inlineStr"/>
      <c r="K614" t="inlineStr"/>
      <c r="L614" t="inlineStr"/>
      <c r="M614" t="b">
        <v>1</v>
      </c>
      <c r="N614" t="inlineStr">
        <is>
          <t>consider_stock=false</t>
        </is>
      </c>
      <c r="O614" t="inlineStr"/>
      <c r="P614" t="inlineStr"/>
      <c r="Q614" t="inlineStr"/>
      <c r="R614" t="inlineStr">
        <is>
          <t>221767.0923725165346935048333</t>
        </is>
      </c>
      <c r="S614" t="inlineStr">
        <is>
          <t>221767.0923725165346935048333</t>
        </is>
      </c>
    </row>
    <row r="615">
      <c r="A615" t="n">
        <v>5</v>
      </c>
      <c r="B615" t="n">
        <v>213</v>
      </c>
      <c r="C615" t="inlineStr">
        <is>
          <t>INGRAD-38</t>
        </is>
      </c>
      <c r="D615" t="inlineStr">
        <is>
          <t>OLIVE OIL</t>
        </is>
      </c>
      <c r="E615" t="inlineStr">
        <is>
          <t>grams</t>
        </is>
      </c>
      <c r="F615" t="inlineStr">
        <is>
          <t>child</t>
        </is>
      </c>
      <c r="G615" t="inlineStr">
        <is>
          <t>4435.341847450330693870096665 from parent 243204.5779685264663805436338 × BOM 3000 / batch_quantity 164500. Stock not applied.</t>
        </is>
      </c>
      <c r="H615" t="n">
        <v>1</v>
      </c>
      <c r="I615" t="inlineStr">
        <is>
          <t>scale_bom</t>
        </is>
      </c>
      <c r="J615" t="inlineStr">
        <is>
          <t>parent_gross × bom_qty / batch_quantity</t>
        </is>
      </c>
      <c r="K615" t="inlineStr">
        <is>
          <t>243204.5779685264663805436338 × 3000 / 164500</t>
        </is>
      </c>
      <c r="L615" t="inlineStr">
        <is>
          <t>4435.341847450330693870096665</t>
        </is>
      </c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5</v>
      </c>
      <c r="B616" t="n">
        <v>213</v>
      </c>
      <c r="C616" t="inlineStr">
        <is>
          <t>INGRAD-38</t>
        </is>
      </c>
      <c r="D616" t="inlineStr">
        <is>
          <t>OLIVE OIL</t>
        </is>
      </c>
      <c r="E616" t="inlineStr">
        <is>
          <t>grams</t>
        </is>
      </c>
      <c r="F616" t="inlineStr">
        <is>
          <t>child</t>
        </is>
      </c>
      <c r="G616" t="inlineStr"/>
      <c r="H616" t="n">
        <v>2</v>
      </c>
      <c r="I616" t="inlineStr">
        <is>
          <t>gross</t>
        </is>
      </c>
      <c r="J616" t="inlineStr">
        <is>
          <t>net / recipe_yield</t>
        </is>
      </c>
      <c r="K616" t="inlineStr">
        <is>
          <t>4435.341847450330693870096665 / 1 (recipe yield 100%)</t>
        </is>
      </c>
      <c r="L616" t="inlineStr">
        <is>
          <t>4435.341847450330693870096665</t>
        </is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5</v>
      </c>
      <c r="B617" t="n">
        <v>213</v>
      </c>
      <c r="C617" t="inlineStr">
        <is>
          <t>INGRAD-38</t>
        </is>
      </c>
      <c r="D617" t="inlineStr">
        <is>
          <t>OLIVE OIL</t>
        </is>
      </c>
      <c r="E617" t="inlineStr">
        <is>
          <t>grams</t>
        </is>
      </c>
      <c r="F617" t="inlineStr">
        <is>
          <t>child</t>
        </is>
      </c>
      <c r="G617" t="inlineStr"/>
      <c r="H617" t="n">
        <v>3</v>
      </c>
      <c r="I617" t="inlineStr">
        <is>
          <t>stock_net</t>
        </is>
      </c>
      <c r="J617" t="inlineStr"/>
      <c r="K617" t="inlineStr"/>
      <c r="L617" t="inlineStr"/>
      <c r="M617" t="b">
        <v>1</v>
      </c>
      <c r="N617" t="inlineStr">
        <is>
          <t>consider_stock=false</t>
        </is>
      </c>
      <c r="O617" t="inlineStr"/>
      <c r="P617" t="inlineStr"/>
      <c r="Q617" t="inlineStr"/>
      <c r="R617" t="inlineStr">
        <is>
          <t>4435.341847450330693870096665</t>
        </is>
      </c>
      <c r="S617" t="inlineStr">
        <is>
          <t>4435.341847450330693870096665</t>
        </is>
      </c>
    </row>
    <row r="618">
      <c r="A618" t="n">
        <v>5</v>
      </c>
      <c r="B618" t="n">
        <v>29</v>
      </c>
      <c r="C618" t="inlineStr">
        <is>
          <t>VEGFRO-11</t>
        </is>
      </c>
      <c r="D618" t="inlineStr">
        <is>
          <t>GARLIC PUREE (FROZEN)</t>
        </is>
      </c>
      <c r="E618" t="inlineStr">
        <is>
          <t>grams</t>
        </is>
      </c>
      <c r="F618" t="inlineStr">
        <is>
          <t>child</t>
        </is>
      </c>
      <c r="G618" t="inlineStr">
        <is>
          <t>4435.341847450330693870096665 from parent 243204.5779685264663805436338 × BOM 3000 / batch_quantity 164500. Stock not applied.</t>
        </is>
      </c>
      <c r="H618" t="n">
        <v>1</v>
      </c>
      <c r="I618" t="inlineStr">
        <is>
          <t>scale_bom</t>
        </is>
      </c>
      <c r="J618" t="inlineStr">
        <is>
          <t>parent_gross × bom_qty / batch_quantity</t>
        </is>
      </c>
      <c r="K618" t="inlineStr">
        <is>
          <t>243204.5779685264663805436338 × 3000 / 164500</t>
        </is>
      </c>
      <c r="L618" t="inlineStr">
        <is>
          <t>4435.341847450330693870096665</t>
        </is>
      </c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5</v>
      </c>
      <c r="B619" t="n">
        <v>29</v>
      </c>
      <c r="C619" t="inlineStr">
        <is>
          <t>VEGFRO-11</t>
        </is>
      </c>
      <c r="D619" t="inlineStr">
        <is>
          <t>GARLIC PUREE (FROZEN)</t>
        </is>
      </c>
      <c r="E619" t="inlineStr">
        <is>
          <t>grams</t>
        </is>
      </c>
      <c r="F619" t="inlineStr">
        <is>
          <t>child</t>
        </is>
      </c>
      <c r="G619" t="inlineStr"/>
      <c r="H619" t="n">
        <v>2</v>
      </c>
      <c r="I619" t="inlineStr">
        <is>
          <t>gross</t>
        </is>
      </c>
      <c r="J619" t="inlineStr">
        <is>
          <t>net / recipe_yield</t>
        </is>
      </c>
      <c r="K619" t="inlineStr">
        <is>
          <t>4435.341847450330693870096665 / 1 (recipe yield 100%)</t>
        </is>
      </c>
      <c r="L619" t="inlineStr">
        <is>
          <t>4435.341847450330693870096665</t>
        </is>
      </c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5</v>
      </c>
      <c r="B620" t="n">
        <v>29</v>
      </c>
      <c r="C620" t="inlineStr">
        <is>
          <t>VEGFRO-11</t>
        </is>
      </c>
      <c r="D620" t="inlineStr">
        <is>
          <t>GARLIC PUREE (FROZEN)</t>
        </is>
      </c>
      <c r="E620" t="inlineStr">
        <is>
          <t>grams</t>
        </is>
      </c>
      <c r="F620" t="inlineStr">
        <is>
          <t>child</t>
        </is>
      </c>
      <c r="G620" t="inlineStr"/>
      <c r="H620" t="n">
        <v>3</v>
      </c>
      <c r="I620" t="inlineStr">
        <is>
          <t>stock_net</t>
        </is>
      </c>
      <c r="J620" t="inlineStr"/>
      <c r="K620" t="inlineStr"/>
      <c r="L620" t="inlineStr"/>
      <c r="M620" t="b">
        <v>1</v>
      </c>
      <c r="N620" t="inlineStr">
        <is>
          <t>consider_stock=false</t>
        </is>
      </c>
      <c r="O620" t="inlineStr"/>
      <c r="P620" t="inlineStr"/>
      <c r="Q620" t="inlineStr"/>
      <c r="R620" t="inlineStr">
        <is>
          <t>4435.341847450330693870096665</t>
        </is>
      </c>
      <c r="S620" t="inlineStr">
        <is>
          <t>4435.341847450330693870096665</t>
        </is>
      </c>
    </row>
    <row r="621">
      <c r="A621" t="n">
        <v>5</v>
      </c>
      <c r="B621" t="n">
        <v>128</v>
      </c>
      <c r="C621" t="inlineStr">
        <is>
          <t>SAUCE0-02</t>
        </is>
      </c>
      <c r="D621" t="inlineStr">
        <is>
          <t>LEMON JUICE</t>
        </is>
      </c>
      <c r="E621" t="inlineStr">
        <is>
          <t>grams</t>
        </is>
      </c>
      <c r="F621" t="inlineStr">
        <is>
          <t>child</t>
        </is>
      </c>
      <c r="G621" t="inlineStr">
        <is>
          <t>4435.341847450330693870096665 from parent 243204.5779685264663805436338 × BOM 3000 / batch_quantity 164500. Stock not applied.</t>
        </is>
      </c>
      <c r="H621" t="n">
        <v>1</v>
      </c>
      <c r="I621" t="inlineStr">
        <is>
          <t>scale_bom</t>
        </is>
      </c>
      <c r="J621" t="inlineStr">
        <is>
          <t>parent_gross × bom_qty / batch_quantity</t>
        </is>
      </c>
      <c r="K621" t="inlineStr">
        <is>
          <t>243204.5779685264663805436338 × 3000 / 164500</t>
        </is>
      </c>
      <c r="L621" t="inlineStr">
        <is>
          <t>4435.341847450330693870096665</t>
        </is>
      </c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5</v>
      </c>
      <c r="B622" t="n">
        <v>128</v>
      </c>
      <c r="C622" t="inlineStr">
        <is>
          <t>SAUCE0-02</t>
        </is>
      </c>
      <c r="D622" t="inlineStr">
        <is>
          <t>LEMON JUICE</t>
        </is>
      </c>
      <c r="E622" t="inlineStr">
        <is>
          <t>grams</t>
        </is>
      </c>
      <c r="F622" t="inlineStr">
        <is>
          <t>child</t>
        </is>
      </c>
      <c r="G622" t="inlineStr"/>
      <c r="H622" t="n">
        <v>2</v>
      </c>
      <c r="I622" t="inlineStr">
        <is>
          <t>gross</t>
        </is>
      </c>
      <c r="J622" t="inlineStr">
        <is>
          <t>net / recipe_yield</t>
        </is>
      </c>
      <c r="K622" t="inlineStr">
        <is>
          <t>4435.341847450330693870096665 / 1 (recipe yield 100%)</t>
        </is>
      </c>
      <c r="L622" t="inlineStr">
        <is>
          <t>4435.341847450330693870096665</t>
        </is>
      </c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5</v>
      </c>
      <c r="B623" t="n">
        <v>128</v>
      </c>
      <c r="C623" t="inlineStr">
        <is>
          <t>SAUCE0-02</t>
        </is>
      </c>
      <c r="D623" t="inlineStr">
        <is>
          <t>LEMON JUICE</t>
        </is>
      </c>
      <c r="E623" t="inlineStr">
        <is>
          <t>grams</t>
        </is>
      </c>
      <c r="F623" t="inlineStr">
        <is>
          <t>child</t>
        </is>
      </c>
      <c r="G623" t="inlineStr"/>
      <c r="H623" t="n">
        <v>3</v>
      </c>
      <c r="I623" t="inlineStr">
        <is>
          <t>stock_net</t>
        </is>
      </c>
      <c r="J623" t="inlineStr"/>
      <c r="K623" t="inlineStr"/>
      <c r="L623" t="inlineStr"/>
      <c r="M623" t="b">
        <v>1</v>
      </c>
      <c r="N623" t="inlineStr">
        <is>
          <t>consider_stock=false</t>
        </is>
      </c>
      <c r="O623" t="inlineStr"/>
      <c r="P623" t="inlineStr"/>
      <c r="Q623" t="inlineStr"/>
      <c r="R623" t="inlineStr">
        <is>
          <t>4435.341847450330693870096665</t>
        </is>
      </c>
      <c r="S623" t="inlineStr">
        <is>
          <t>4435.341847450330693870096665</t>
        </is>
      </c>
    </row>
    <row r="624">
      <c r="A624" t="n">
        <v>5</v>
      </c>
      <c r="B624" t="n">
        <v>291</v>
      </c>
      <c r="C624" t="inlineStr">
        <is>
          <t>INGRAD-17</t>
        </is>
      </c>
      <c r="D624" t="inlineStr">
        <is>
          <t>CORN FLOUR</t>
        </is>
      </c>
      <c r="E624" t="inlineStr">
        <is>
          <t>grams</t>
        </is>
      </c>
      <c r="F624" t="inlineStr">
        <is>
          <t>child</t>
        </is>
      </c>
      <c r="G624" t="inlineStr">
        <is>
          <t>2956.89456496688712924673111 from parent 243204.5779685264663805436338 × BOM 2000 / batch_quantity 164500. Stock not applied.</t>
        </is>
      </c>
      <c r="H624" t="n">
        <v>1</v>
      </c>
      <c r="I624" t="inlineStr">
        <is>
          <t>scale_bom</t>
        </is>
      </c>
      <c r="J624" t="inlineStr">
        <is>
          <t>parent_gross × bom_qty / batch_quantity</t>
        </is>
      </c>
      <c r="K624" t="inlineStr">
        <is>
          <t>243204.5779685264663805436338 × 2000 / 164500</t>
        </is>
      </c>
      <c r="L624" t="inlineStr">
        <is>
          <t>2956.89456496688712924673111</t>
        </is>
      </c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5</v>
      </c>
      <c r="B625" t="n">
        <v>291</v>
      </c>
      <c r="C625" t="inlineStr">
        <is>
          <t>INGRAD-17</t>
        </is>
      </c>
      <c r="D625" t="inlineStr">
        <is>
          <t>CORN FLOUR</t>
        </is>
      </c>
      <c r="E625" t="inlineStr">
        <is>
          <t>grams</t>
        </is>
      </c>
      <c r="F625" t="inlineStr">
        <is>
          <t>child</t>
        </is>
      </c>
      <c r="G625" t="inlineStr"/>
      <c r="H625" t="n">
        <v>2</v>
      </c>
      <c r="I625" t="inlineStr">
        <is>
          <t>gross</t>
        </is>
      </c>
      <c r="J625" t="inlineStr">
        <is>
          <t>net / recipe_yield</t>
        </is>
      </c>
      <c r="K625" t="inlineStr">
        <is>
          <t>2956.89456496688712924673111 / 1 (recipe yield 100%)</t>
        </is>
      </c>
      <c r="L625" t="inlineStr">
        <is>
          <t>2956.89456496688712924673111</t>
        </is>
      </c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5</v>
      </c>
      <c r="B626" t="n">
        <v>291</v>
      </c>
      <c r="C626" t="inlineStr">
        <is>
          <t>INGRAD-17</t>
        </is>
      </c>
      <c r="D626" t="inlineStr">
        <is>
          <t>CORN FLOUR</t>
        </is>
      </c>
      <c r="E626" t="inlineStr">
        <is>
          <t>grams</t>
        </is>
      </c>
      <c r="F626" t="inlineStr">
        <is>
          <t>child</t>
        </is>
      </c>
      <c r="G626" t="inlineStr"/>
      <c r="H626" t="n">
        <v>3</v>
      </c>
      <c r="I626" t="inlineStr">
        <is>
          <t>stock_net</t>
        </is>
      </c>
      <c r="J626" t="inlineStr"/>
      <c r="K626" t="inlineStr"/>
      <c r="L626" t="inlineStr"/>
      <c r="M626" t="b">
        <v>1</v>
      </c>
      <c r="N626" t="inlineStr">
        <is>
          <t>consider_stock=false</t>
        </is>
      </c>
      <c r="O626" t="inlineStr"/>
      <c r="P626" t="inlineStr"/>
      <c r="Q626" t="inlineStr"/>
      <c r="R626" t="inlineStr">
        <is>
          <t>2956.89456496688712924673111</t>
        </is>
      </c>
      <c r="S626" t="inlineStr">
        <is>
          <t>2956.89456496688712924673111</t>
        </is>
      </c>
    </row>
    <row r="627">
      <c r="A627" t="n">
        <v>5</v>
      </c>
      <c r="B627" t="n">
        <v>28</v>
      </c>
      <c r="C627" t="inlineStr">
        <is>
          <t>VEGFRO-10</t>
        </is>
      </c>
      <c r="D627" t="inlineStr">
        <is>
          <t>CORIANDER CHOPPED (FROZEN)</t>
        </is>
      </c>
      <c r="E627" t="inlineStr">
        <is>
          <t>grams</t>
        </is>
      </c>
      <c r="F627" t="inlineStr">
        <is>
          <t>child</t>
        </is>
      </c>
      <c r="G627" t="inlineStr">
        <is>
          <t>2217.670923725165346935048333 from parent 243204.5779685264663805436338 × BOM 1500 / batch_quantity 164500. Stock not applied.</t>
        </is>
      </c>
      <c r="H627" t="n">
        <v>1</v>
      </c>
      <c r="I627" t="inlineStr">
        <is>
          <t>scale_bom</t>
        </is>
      </c>
      <c r="J627" t="inlineStr">
        <is>
          <t>parent_gross × bom_qty / batch_quantity</t>
        </is>
      </c>
      <c r="K627" t="inlineStr">
        <is>
          <t>243204.5779685264663805436338 × 1500 / 164500</t>
        </is>
      </c>
      <c r="L627" t="inlineStr">
        <is>
          <t>2217.670923725165346935048333</t>
        </is>
      </c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5</v>
      </c>
      <c r="B628" t="n">
        <v>28</v>
      </c>
      <c r="C628" t="inlineStr">
        <is>
          <t>VEGFRO-10</t>
        </is>
      </c>
      <c r="D628" t="inlineStr">
        <is>
          <t>CORIANDER CHOPPED (FROZEN)</t>
        </is>
      </c>
      <c r="E628" t="inlineStr">
        <is>
          <t>grams</t>
        </is>
      </c>
      <c r="F628" t="inlineStr">
        <is>
          <t>child</t>
        </is>
      </c>
      <c r="G628" t="inlineStr"/>
      <c r="H628" t="n">
        <v>2</v>
      </c>
      <c r="I628" t="inlineStr">
        <is>
          <t>gross</t>
        </is>
      </c>
      <c r="J628" t="inlineStr">
        <is>
          <t>net / recipe_yield</t>
        </is>
      </c>
      <c r="K628" t="inlineStr">
        <is>
          <t>2217.670923725165346935048333 / 1 (recipe yield 100%)</t>
        </is>
      </c>
      <c r="L628" t="inlineStr">
        <is>
          <t>2217.670923725165346935048333</t>
        </is>
      </c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5</v>
      </c>
      <c r="B629" t="n">
        <v>28</v>
      </c>
      <c r="C629" t="inlineStr">
        <is>
          <t>VEGFRO-10</t>
        </is>
      </c>
      <c r="D629" t="inlineStr">
        <is>
          <t>CORIANDER CHOPPED (FROZEN)</t>
        </is>
      </c>
      <c r="E629" t="inlineStr">
        <is>
          <t>grams</t>
        </is>
      </c>
      <c r="F629" t="inlineStr">
        <is>
          <t>child</t>
        </is>
      </c>
      <c r="G629" t="inlineStr"/>
      <c r="H629" t="n">
        <v>3</v>
      </c>
      <c r="I629" t="inlineStr">
        <is>
          <t>stock_net</t>
        </is>
      </c>
      <c r="J629" t="inlineStr"/>
      <c r="K629" t="inlineStr"/>
      <c r="L629" t="inlineStr"/>
      <c r="M629" t="b">
        <v>1</v>
      </c>
      <c r="N629" t="inlineStr">
        <is>
          <t>consider_stock=false</t>
        </is>
      </c>
      <c r="O629" t="inlineStr"/>
      <c r="P629" t="inlineStr"/>
      <c r="Q629" t="inlineStr"/>
      <c r="R629" t="inlineStr">
        <is>
          <t>2217.670923725165346935048333</t>
        </is>
      </c>
      <c r="S629" t="inlineStr">
        <is>
          <t>2217.670923725165346935048333</t>
        </is>
      </c>
    </row>
    <row r="630">
      <c r="A630" t="n">
        <v>5</v>
      </c>
      <c r="B630" t="n">
        <v>43</v>
      </c>
      <c r="C630" t="inlineStr">
        <is>
          <t>VEGFRO-28</t>
        </is>
      </c>
      <c r="D630" t="inlineStr">
        <is>
          <t>RED CHILLI PUREE (FROZEN)</t>
        </is>
      </c>
      <c r="E630" t="inlineStr">
        <is>
          <t>grams</t>
        </is>
      </c>
      <c r="F630" t="inlineStr">
        <is>
          <t>child</t>
        </is>
      </c>
      <c r="G630" t="inlineStr">
        <is>
          <t>2217.670923725165346935048333 from parent 243204.5779685264663805436338 × BOM 1500 / batch_quantity 164500. Stock not applied.</t>
        </is>
      </c>
      <c r="H630" t="n">
        <v>1</v>
      </c>
      <c r="I630" t="inlineStr">
        <is>
          <t>scale_bom</t>
        </is>
      </c>
      <c r="J630" t="inlineStr">
        <is>
          <t>parent_gross × bom_qty / batch_quantity</t>
        </is>
      </c>
      <c r="K630" t="inlineStr">
        <is>
          <t>243204.5779685264663805436338 × 1500 / 164500</t>
        </is>
      </c>
      <c r="L630" t="inlineStr">
        <is>
          <t>2217.670923725165346935048333</t>
        </is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5</v>
      </c>
      <c r="B631" t="n">
        <v>43</v>
      </c>
      <c r="C631" t="inlineStr">
        <is>
          <t>VEGFRO-28</t>
        </is>
      </c>
      <c r="D631" t="inlineStr">
        <is>
          <t>RED CHILLI PUREE (FROZEN)</t>
        </is>
      </c>
      <c r="E631" t="inlineStr">
        <is>
          <t>grams</t>
        </is>
      </c>
      <c r="F631" t="inlineStr">
        <is>
          <t>child</t>
        </is>
      </c>
      <c r="G631" t="inlineStr"/>
      <c r="H631" t="n">
        <v>2</v>
      </c>
      <c r="I631" t="inlineStr">
        <is>
          <t>gross</t>
        </is>
      </c>
      <c r="J631" t="inlineStr">
        <is>
          <t>net / recipe_yield</t>
        </is>
      </c>
      <c r="K631" t="inlineStr">
        <is>
          <t>2217.670923725165346935048333 / 1 (recipe yield 100%)</t>
        </is>
      </c>
      <c r="L631" t="inlineStr">
        <is>
          <t>2217.670923725165346935048333</t>
        </is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5</v>
      </c>
      <c r="B632" t="n">
        <v>43</v>
      </c>
      <c r="C632" t="inlineStr">
        <is>
          <t>VEGFRO-28</t>
        </is>
      </c>
      <c r="D632" t="inlineStr">
        <is>
          <t>RED CHILLI PUREE (FROZEN)</t>
        </is>
      </c>
      <c r="E632" t="inlineStr">
        <is>
          <t>grams</t>
        </is>
      </c>
      <c r="F632" t="inlineStr">
        <is>
          <t>child</t>
        </is>
      </c>
      <c r="G632" t="inlineStr"/>
      <c r="H632" t="n">
        <v>3</v>
      </c>
      <c r="I632" t="inlineStr">
        <is>
          <t>stock_net</t>
        </is>
      </c>
      <c r="J632" t="inlineStr"/>
      <c r="K632" t="inlineStr"/>
      <c r="L632" t="inlineStr"/>
      <c r="M632" t="b">
        <v>1</v>
      </c>
      <c r="N632" t="inlineStr">
        <is>
          <t>consider_stock=false</t>
        </is>
      </c>
      <c r="O632" t="inlineStr"/>
      <c r="P632" t="inlineStr"/>
      <c r="Q632" t="inlineStr"/>
      <c r="R632" t="inlineStr">
        <is>
          <t>2217.670923725165346935048333</t>
        </is>
      </c>
      <c r="S632" t="inlineStr">
        <is>
          <t>2217.670923725165346935048333</t>
        </is>
      </c>
    </row>
    <row r="633">
      <c r="A633" t="n">
        <v>5</v>
      </c>
      <c r="B633" t="n">
        <v>595</v>
      </c>
      <c r="C633" t="inlineStr">
        <is>
          <t>GFF560R-S</t>
        </is>
      </c>
      <c r="D633" t="inlineStr">
        <is>
          <t>Coriander Marinated Chicken (Simmers) - 560 - Spices</t>
        </is>
      </c>
      <c r="E633" t="inlineStr">
        <is>
          <t>grams</t>
        </is>
      </c>
      <c r="F633" t="inlineStr">
        <is>
          <t>child</t>
        </is>
      </c>
      <c r="G633" t="inlineStr">
        <is>
          <t>739.2236412417217823116827775 from parent 243204.5779685264663805436338 × BOM 500 / batch_quantity 164500. Stock not applied.</t>
        </is>
      </c>
      <c r="H633" t="n">
        <v>1</v>
      </c>
      <c r="I633" t="inlineStr">
        <is>
          <t>scale_bom</t>
        </is>
      </c>
      <c r="J633" t="inlineStr">
        <is>
          <t>parent_gross × bom_qty / batch_quantity</t>
        </is>
      </c>
      <c r="K633" t="inlineStr">
        <is>
          <t>243204.5779685264663805436338 × 500 / 164500</t>
        </is>
      </c>
      <c r="L633" t="inlineStr">
        <is>
          <t>739.2236412417217823116827775</t>
        </is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5</v>
      </c>
      <c r="B634" t="n">
        <v>595</v>
      </c>
      <c r="C634" t="inlineStr">
        <is>
          <t>GFF560R-S</t>
        </is>
      </c>
      <c r="D634" t="inlineStr">
        <is>
          <t>Coriander Marinated Chicken (Simmers) - 560 - Spices</t>
        </is>
      </c>
      <c r="E634" t="inlineStr">
        <is>
          <t>grams</t>
        </is>
      </c>
      <c r="F634" t="inlineStr">
        <is>
          <t>child</t>
        </is>
      </c>
      <c r="G634" t="inlineStr"/>
      <c r="H634" t="n">
        <v>2</v>
      </c>
      <c r="I634" t="inlineStr">
        <is>
          <t>gross</t>
        </is>
      </c>
      <c r="J634" t="inlineStr">
        <is>
          <t>net / recipe_yield</t>
        </is>
      </c>
      <c r="K634" t="inlineStr">
        <is>
          <t>739.2236412417217823116827775 / 1 (recipe yield 100%)</t>
        </is>
      </c>
      <c r="L634" t="inlineStr">
        <is>
          <t>739.2236412417217823116827775</t>
        </is>
      </c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5</v>
      </c>
      <c r="B635" t="n">
        <v>595</v>
      </c>
      <c r="C635" t="inlineStr">
        <is>
          <t>GFF560R-S</t>
        </is>
      </c>
      <c r="D635" t="inlineStr">
        <is>
          <t>Coriander Marinated Chicken (Simmers) - 560 - Spices</t>
        </is>
      </c>
      <c r="E635" t="inlineStr">
        <is>
          <t>grams</t>
        </is>
      </c>
      <c r="F635" t="inlineStr">
        <is>
          <t>child</t>
        </is>
      </c>
      <c r="G635" t="inlineStr"/>
      <c r="H635" t="n">
        <v>3</v>
      </c>
      <c r="I635" t="inlineStr">
        <is>
          <t>stock_net</t>
        </is>
      </c>
      <c r="J635" t="inlineStr"/>
      <c r="K635" t="inlineStr"/>
      <c r="L635" t="inlineStr"/>
      <c r="M635" t="b">
        <v>1</v>
      </c>
      <c r="N635" t="inlineStr">
        <is>
          <t>consider_stock=false</t>
        </is>
      </c>
      <c r="O635" t="inlineStr"/>
      <c r="P635" t="inlineStr"/>
      <c r="Q635" t="inlineStr"/>
      <c r="R635" t="inlineStr">
        <is>
          <t>739.2236412417217823116827775</t>
        </is>
      </c>
      <c r="S635" t="inlineStr">
        <is>
          <t>739.2236412417217823116827775</t>
        </is>
      </c>
    </row>
    <row r="636">
      <c r="A636" t="n">
        <v>5</v>
      </c>
      <c r="B636" t="n">
        <v>68</v>
      </c>
      <c r="C636" t="inlineStr">
        <is>
          <t>VEGFRO-43</t>
        </is>
      </c>
      <c r="D636" t="inlineStr">
        <is>
          <t>LIME LEAVES MILLED (FROZEN)</t>
        </is>
      </c>
      <c r="E636" t="inlineStr">
        <is>
          <t>grams</t>
        </is>
      </c>
      <c r="F636" t="inlineStr">
        <is>
          <t>child</t>
        </is>
      </c>
      <c r="G636" t="inlineStr">
        <is>
          <t>1968.751968751968751968751969 from parent 4331.254331254331254331254331 × BOM 1800 / batch_quantity 3960. Stock not applied.</t>
        </is>
      </c>
      <c r="H636" t="n">
        <v>1</v>
      </c>
      <c r="I636" t="inlineStr">
        <is>
          <t>scale_bom</t>
        </is>
      </c>
      <c r="J636" t="inlineStr">
        <is>
          <t>parent_gross × bom_qty / batch_quantity</t>
        </is>
      </c>
      <c r="K636" t="inlineStr">
        <is>
          <t>4331.254331254331254331254331 × 1800 / 3960</t>
        </is>
      </c>
      <c r="L636" t="inlineStr">
        <is>
          <t>1968.751968751968751968751969</t>
        </is>
      </c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5</v>
      </c>
      <c r="B637" t="n">
        <v>68</v>
      </c>
      <c r="C637" t="inlineStr">
        <is>
          <t>VEGFRO-43</t>
        </is>
      </c>
      <c r="D637" t="inlineStr">
        <is>
          <t>LIME LEAVES MILLED (FROZEN)</t>
        </is>
      </c>
      <c r="E637" t="inlineStr">
        <is>
          <t>grams</t>
        </is>
      </c>
      <c r="F637" t="inlineStr">
        <is>
          <t>child</t>
        </is>
      </c>
      <c r="G637" t="inlineStr"/>
      <c r="H637" t="n">
        <v>2</v>
      </c>
      <c r="I637" t="inlineStr">
        <is>
          <t>gross</t>
        </is>
      </c>
      <c r="J637" t="inlineStr">
        <is>
          <t>net / recipe_yield</t>
        </is>
      </c>
      <c r="K637" t="inlineStr">
        <is>
          <t>1968.751968751968751968751969 / 1 (recipe yield 100%)</t>
        </is>
      </c>
      <c r="L637" t="inlineStr">
        <is>
          <t>1968.751968751968751968751969</t>
        </is>
      </c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5</v>
      </c>
      <c r="B638" t="n">
        <v>68</v>
      </c>
      <c r="C638" t="inlineStr">
        <is>
          <t>VEGFRO-43</t>
        </is>
      </c>
      <c r="D638" t="inlineStr">
        <is>
          <t>LIME LEAVES MILLED (FROZEN)</t>
        </is>
      </c>
      <c r="E638" t="inlineStr">
        <is>
          <t>grams</t>
        </is>
      </c>
      <c r="F638" t="inlineStr">
        <is>
          <t>child</t>
        </is>
      </c>
      <c r="G638" t="inlineStr"/>
      <c r="H638" t="n">
        <v>3</v>
      </c>
      <c r="I638" t="inlineStr">
        <is>
          <t>stock_net</t>
        </is>
      </c>
      <c r="J638" t="inlineStr"/>
      <c r="K638" t="inlineStr"/>
      <c r="L638" t="inlineStr"/>
      <c r="M638" t="b">
        <v>1</v>
      </c>
      <c r="N638" t="inlineStr">
        <is>
          <t>consider_stock=false</t>
        </is>
      </c>
      <c r="O638" t="inlineStr"/>
      <c r="P638" t="inlineStr"/>
      <c r="Q638" t="inlineStr"/>
      <c r="R638" t="inlineStr">
        <is>
          <t>1968.751968751968751968751969</t>
        </is>
      </c>
      <c r="S638" t="inlineStr">
        <is>
          <t>1968.751968751968751968751969</t>
        </is>
      </c>
    </row>
    <row r="639">
      <c r="A639" t="n">
        <v>5</v>
      </c>
      <c r="B639" t="n">
        <v>53</v>
      </c>
      <c r="C639" t="inlineStr">
        <is>
          <t>VEGFRO-33</t>
        </is>
      </c>
      <c r="D639" t="inlineStr">
        <is>
          <t>LEMON GRASS MILLED (FROZEN)</t>
        </is>
      </c>
      <c r="E639" t="inlineStr">
        <is>
          <t>grams</t>
        </is>
      </c>
      <c r="F639" t="inlineStr">
        <is>
          <t>child</t>
        </is>
      </c>
      <c r="G639" t="inlineStr">
        <is>
          <t>1968.751968751968751968751969 from parent 4331.254331254331254331254331 × BOM 1800 / batch_quantity 3960. Stock not applied.</t>
        </is>
      </c>
      <c r="H639" t="n">
        <v>1</v>
      </c>
      <c r="I639" t="inlineStr">
        <is>
          <t>scale_bom</t>
        </is>
      </c>
      <c r="J639" t="inlineStr">
        <is>
          <t>parent_gross × bom_qty / batch_quantity</t>
        </is>
      </c>
      <c r="K639" t="inlineStr">
        <is>
          <t>4331.254331254331254331254331 × 1800 / 3960</t>
        </is>
      </c>
      <c r="L639" t="inlineStr">
        <is>
          <t>1968.751968751968751968751969</t>
        </is>
      </c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5</v>
      </c>
      <c r="B640" t="n">
        <v>53</v>
      </c>
      <c r="C640" t="inlineStr">
        <is>
          <t>VEGFRO-33</t>
        </is>
      </c>
      <c r="D640" t="inlineStr">
        <is>
          <t>LEMON GRASS MILLED (FROZEN)</t>
        </is>
      </c>
      <c r="E640" t="inlineStr">
        <is>
          <t>grams</t>
        </is>
      </c>
      <c r="F640" t="inlineStr">
        <is>
          <t>child</t>
        </is>
      </c>
      <c r="G640" t="inlineStr"/>
      <c r="H640" t="n">
        <v>2</v>
      </c>
      <c r="I640" t="inlineStr">
        <is>
          <t>gross</t>
        </is>
      </c>
      <c r="J640" t="inlineStr">
        <is>
          <t>net / recipe_yield</t>
        </is>
      </c>
      <c r="K640" t="inlineStr">
        <is>
          <t>1968.751968751968751968751969 / 1 (recipe yield 100%)</t>
        </is>
      </c>
      <c r="L640" t="inlineStr">
        <is>
          <t>1968.751968751968751968751969</t>
        </is>
      </c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5</v>
      </c>
      <c r="B641" t="n">
        <v>53</v>
      </c>
      <c r="C641" t="inlineStr">
        <is>
          <t>VEGFRO-33</t>
        </is>
      </c>
      <c r="D641" t="inlineStr">
        <is>
          <t>LEMON GRASS MILLED (FROZEN)</t>
        </is>
      </c>
      <c r="E641" t="inlineStr">
        <is>
          <t>grams</t>
        </is>
      </c>
      <c r="F641" t="inlineStr">
        <is>
          <t>child</t>
        </is>
      </c>
      <c r="G641" t="inlineStr"/>
      <c r="H641" t="n">
        <v>3</v>
      </c>
      <c r="I641" t="inlineStr">
        <is>
          <t>stock_net</t>
        </is>
      </c>
      <c r="J641" t="inlineStr"/>
      <c r="K641" t="inlineStr"/>
      <c r="L641" t="inlineStr"/>
      <c r="M641" t="b">
        <v>1</v>
      </c>
      <c r="N641" t="inlineStr">
        <is>
          <t>consider_stock=false</t>
        </is>
      </c>
      <c r="O641" t="inlineStr"/>
      <c r="P641" t="inlineStr"/>
      <c r="Q641" t="inlineStr"/>
      <c r="R641" t="inlineStr">
        <is>
          <t>1968.751968751968751968751969</t>
        </is>
      </c>
      <c r="S641" t="inlineStr">
        <is>
          <t>1968.751968751968751968751969</t>
        </is>
      </c>
    </row>
    <row r="642">
      <c r="A642" t="n">
        <v>5</v>
      </c>
      <c r="B642" t="n">
        <v>47</v>
      </c>
      <c r="C642" t="inlineStr">
        <is>
          <t>SPICE0-02</t>
        </is>
      </c>
      <c r="D642" t="inlineStr">
        <is>
          <t>SALT</t>
        </is>
      </c>
      <c r="E642" t="inlineStr">
        <is>
          <t>grams</t>
        </is>
      </c>
      <c r="F642" t="inlineStr">
        <is>
          <t>child</t>
        </is>
      </c>
      <c r="G642" t="inlineStr">
        <is>
          <t>393.7503937503937503937503937 from parent 4331.254331254331254331254331 × BOM 360 / batch_quantity 3960. Stock not applied.</t>
        </is>
      </c>
      <c r="H642" t="n">
        <v>1</v>
      </c>
      <c r="I642" t="inlineStr">
        <is>
          <t>scale_bom</t>
        </is>
      </c>
      <c r="J642" t="inlineStr">
        <is>
          <t>parent_gross × bom_qty / batch_quantity</t>
        </is>
      </c>
      <c r="K642" t="inlineStr">
        <is>
          <t>4331.254331254331254331254331 × 360 / 3960</t>
        </is>
      </c>
      <c r="L642" t="inlineStr">
        <is>
          <t>393.7503937503937503937503937</t>
        </is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5</v>
      </c>
      <c r="B643" t="n">
        <v>47</v>
      </c>
      <c r="C643" t="inlineStr">
        <is>
          <t>SPICE0-02</t>
        </is>
      </c>
      <c r="D643" t="inlineStr">
        <is>
          <t>SALT</t>
        </is>
      </c>
      <c r="E643" t="inlineStr">
        <is>
          <t>grams</t>
        </is>
      </c>
      <c r="F643" t="inlineStr">
        <is>
          <t>child</t>
        </is>
      </c>
      <c r="G643" t="inlineStr"/>
      <c r="H643" t="n">
        <v>2</v>
      </c>
      <c r="I643" t="inlineStr">
        <is>
          <t>gross</t>
        </is>
      </c>
      <c r="J643" t="inlineStr">
        <is>
          <t>net / recipe_yield</t>
        </is>
      </c>
      <c r="K643" t="inlineStr">
        <is>
          <t>393.7503937503937503937503937 / 1 (recipe yield 100%)</t>
        </is>
      </c>
      <c r="L643" t="inlineStr">
        <is>
          <t>393.7503937503937503937503937</t>
        </is>
      </c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5</v>
      </c>
      <c r="B644" t="n">
        <v>47</v>
      </c>
      <c r="C644" t="inlineStr">
        <is>
          <t>SPICE0-02</t>
        </is>
      </c>
      <c r="D644" t="inlineStr">
        <is>
          <t>SALT</t>
        </is>
      </c>
      <c r="E644" t="inlineStr">
        <is>
          <t>grams</t>
        </is>
      </c>
      <c r="F644" t="inlineStr">
        <is>
          <t>child</t>
        </is>
      </c>
      <c r="G644" t="inlineStr"/>
      <c r="H644" t="n">
        <v>3</v>
      </c>
      <c r="I644" t="inlineStr">
        <is>
          <t>stock_net</t>
        </is>
      </c>
      <c r="J644" t="inlineStr"/>
      <c r="K644" t="inlineStr"/>
      <c r="L644" t="inlineStr"/>
      <c r="M644" t="b">
        <v>1</v>
      </c>
      <c r="N644" t="inlineStr">
        <is>
          <t>consider_stock=false</t>
        </is>
      </c>
      <c r="O644" t="inlineStr"/>
      <c r="P644" t="inlineStr"/>
      <c r="Q644" t="inlineStr"/>
      <c r="R644" t="inlineStr">
        <is>
          <t>393.7503937503937503937503937</t>
        </is>
      </c>
      <c r="S644" t="inlineStr">
        <is>
          <t>393.7503937503937503937503937</t>
        </is>
      </c>
    </row>
    <row r="645">
      <c r="A645" t="n">
        <v>5</v>
      </c>
      <c r="B645" t="n">
        <v>161</v>
      </c>
      <c r="C645" t="inlineStr">
        <is>
          <t>SAUCE0-35</t>
        </is>
      </c>
      <c r="D645" t="inlineStr">
        <is>
          <t>SOY SAUCE LIGHT</t>
        </is>
      </c>
      <c r="E645" t="inlineStr">
        <is>
          <t>grams</t>
        </is>
      </c>
      <c r="F645" t="inlineStr">
        <is>
          <t>child</t>
        </is>
      </c>
      <c r="G645" t="inlineStr">
        <is>
          <t>5426.092995999160764283285465 from parent 13746.10225653120726951765651 × BOM 4800 / batch_quantity 12160. Stock not applied.</t>
        </is>
      </c>
      <c r="H645" t="n">
        <v>1</v>
      </c>
      <c r="I645" t="inlineStr">
        <is>
          <t>scale_bom</t>
        </is>
      </c>
      <c r="J645" t="inlineStr">
        <is>
          <t>parent_gross × bom_qty / batch_quantity</t>
        </is>
      </c>
      <c r="K645" t="inlineStr">
        <is>
          <t>13746.10225653120726951765651 × 4800 / 12160</t>
        </is>
      </c>
      <c r="L645" t="inlineStr">
        <is>
          <t>5426.092995999160764283285465</t>
        </is>
      </c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5</v>
      </c>
      <c r="B646" t="n">
        <v>161</v>
      </c>
      <c r="C646" t="inlineStr">
        <is>
          <t>SAUCE0-35</t>
        </is>
      </c>
      <c r="D646" t="inlineStr">
        <is>
          <t>SOY SAUCE LIGHT</t>
        </is>
      </c>
      <c r="E646" t="inlineStr">
        <is>
          <t>grams</t>
        </is>
      </c>
      <c r="F646" t="inlineStr">
        <is>
          <t>child</t>
        </is>
      </c>
      <c r="G646" t="inlineStr"/>
      <c r="H646" t="n">
        <v>2</v>
      </c>
      <c r="I646" t="inlineStr">
        <is>
          <t>gross</t>
        </is>
      </c>
      <c r="J646" t="inlineStr">
        <is>
          <t>net / recipe_yield</t>
        </is>
      </c>
      <c r="K646" t="inlineStr">
        <is>
          <t>5426.092995999160764283285465 / 1 (recipe yield 100%)</t>
        </is>
      </c>
      <c r="L646" t="inlineStr">
        <is>
          <t>5426.092995999160764283285465</t>
        </is>
      </c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5</v>
      </c>
      <c r="B647" t="n">
        <v>161</v>
      </c>
      <c r="C647" t="inlineStr">
        <is>
          <t>SAUCE0-35</t>
        </is>
      </c>
      <c r="D647" t="inlineStr">
        <is>
          <t>SOY SAUCE LIGHT</t>
        </is>
      </c>
      <c r="E647" t="inlineStr">
        <is>
          <t>grams</t>
        </is>
      </c>
      <c r="F647" t="inlineStr">
        <is>
          <t>child</t>
        </is>
      </c>
      <c r="G647" t="inlineStr"/>
      <c r="H647" t="n">
        <v>3</v>
      </c>
      <c r="I647" t="inlineStr">
        <is>
          <t>stock_net</t>
        </is>
      </c>
      <c r="J647" t="inlineStr"/>
      <c r="K647" t="inlineStr"/>
      <c r="L647" t="inlineStr"/>
      <c r="M647" t="b">
        <v>1</v>
      </c>
      <c r="N647" t="inlineStr">
        <is>
          <t>consider_stock=false</t>
        </is>
      </c>
      <c r="O647" t="inlineStr"/>
      <c r="P647" t="inlineStr"/>
      <c r="Q647" t="inlineStr"/>
      <c r="R647" t="inlineStr">
        <is>
          <t>5426.092995999160764283285465</t>
        </is>
      </c>
      <c r="S647" t="inlineStr">
        <is>
          <t>5426.092995999160764283285465</t>
        </is>
      </c>
    </row>
    <row r="648">
      <c r="A648" t="n">
        <v>5</v>
      </c>
      <c r="B648" t="n">
        <v>149</v>
      </c>
      <c r="C648" t="inlineStr">
        <is>
          <t>SAUCE0-22</t>
        </is>
      </c>
      <c r="D648" t="inlineStr">
        <is>
          <t>THAI RED CURRY PASTE</t>
        </is>
      </c>
      <c r="E648" t="inlineStr">
        <is>
          <t>grams</t>
        </is>
      </c>
      <c r="F648" t="inlineStr">
        <is>
          <t>child</t>
        </is>
      </c>
      <c r="G648" t="inlineStr">
        <is>
          <t>3617.395330666107176188856976 from parent 13746.10225653120726951765651 × BOM 3200 / batch_quantity 12160. Stock not applied.</t>
        </is>
      </c>
      <c r="H648" t="n">
        <v>1</v>
      </c>
      <c r="I648" t="inlineStr">
        <is>
          <t>scale_bom</t>
        </is>
      </c>
      <c r="J648" t="inlineStr">
        <is>
          <t>parent_gross × bom_qty / batch_quantity</t>
        </is>
      </c>
      <c r="K648" t="inlineStr">
        <is>
          <t>13746.10225653120726951765651 × 3200 / 12160</t>
        </is>
      </c>
      <c r="L648" t="inlineStr">
        <is>
          <t>3617.395330666107176188856976</t>
        </is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5</v>
      </c>
      <c r="B649" t="n">
        <v>149</v>
      </c>
      <c r="C649" t="inlineStr">
        <is>
          <t>SAUCE0-22</t>
        </is>
      </c>
      <c r="D649" t="inlineStr">
        <is>
          <t>THAI RED CURRY PASTE</t>
        </is>
      </c>
      <c r="E649" t="inlineStr">
        <is>
          <t>grams</t>
        </is>
      </c>
      <c r="F649" t="inlineStr">
        <is>
          <t>child</t>
        </is>
      </c>
      <c r="G649" t="inlineStr"/>
      <c r="H649" t="n">
        <v>2</v>
      </c>
      <c r="I649" t="inlineStr">
        <is>
          <t>gross</t>
        </is>
      </c>
      <c r="J649" t="inlineStr">
        <is>
          <t>net / recipe_yield</t>
        </is>
      </c>
      <c r="K649" t="inlineStr">
        <is>
          <t>3617.395330666107176188856976 / 1 (recipe yield 100%)</t>
        </is>
      </c>
      <c r="L649" t="inlineStr">
        <is>
          <t>3617.395330666107176188856976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</v>
      </c>
      <c r="B650" t="n">
        <v>149</v>
      </c>
      <c r="C650" t="inlineStr">
        <is>
          <t>SAUCE0-22</t>
        </is>
      </c>
      <c r="D650" t="inlineStr">
        <is>
          <t>THAI RED CURRY PASTE</t>
        </is>
      </c>
      <c r="E650" t="inlineStr">
        <is>
          <t>grams</t>
        </is>
      </c>
      <c r="F650" t="inlineStr">
        <is>
          <t>child</t>
        </is>
      </c>
      <c r="G650" t="inlineStr"/>
      <c r="H650" t="n">
        <v>3</v>
      </c>
      <c r="I650" t="inlineStr">
        <is>
          <t>stock_net</t>
        </is>
      </c>
      <c r="J650" t="inlineStr"/>
      <c r="K650" t="inlineStr"/>
      <c r="L650" t="inlineStr"/>
      <c r="M650" t="b">
        <v>1</v>
      </c>
      <c r="N650" t="inlineStr">
        <is>
          <t>consider_stock=false</t>
        </is>
      </c>
      <c r="O650" t="inlineStr"/>
      <c r="P650" t="inlineStr"/>
      <c r="Q650" t="inlineStr"/>
      <c r="R650" t="inlineStr">
        <is>
          <t>3617.395330666107176188856976</t>
        </is>
      </c>
      <c r="S650" t="inlineStr">
        <is>
          <t>3617.395330666107176188856976</t>
        </is>
      </c>
    </row>
    <row r="651">
      <c r="A651" t="n">
        <v>5</v>
      </c>
      <c r="B651" t="n">
        <v>53</v>
      </c>
      <c r="C651" t="inlineStr">
        <is>
          <t>VEGFRO-33</t>
        </is>
      </c>
      <c r="D651" t="inlineStr">
        <is>
          <t>LEMON GRASS MILLED (FROZEN)</t>
        </is>
      </c>
      <c r="E651" t="inlineStr">
        <is>
          <t>grams</t>
        </is>
      </c>
      <c r="F651" t="inlineStr">
        <is>
          <t>child</t>
        </is>
      </c>
      <c r="G651" t="inlineStr">
        <is>
          <t>1808.697665333053588094428488 from parent 13746.10225653120726951765651 × BOM 1600 / batch_quantity 12160. Stock not applied.</t>
        </is>
      </c>
      <c r="H651" t="n">
        <v>1</v>
      </c>
      <c r="I651" t="inlineStr">
        <is>
          <t>scale_bom</t>
        </is>
      </c>
      <c r="J651" t="inlineStr">
        <is>
          <t>parent_gross × bom_qty / batch_quantity</t>
        </is>
      </c>
      <c r="K651" t="inlineStr">
        <is>
          <t>13746.10225653120726951765651 × 1600 / 12160</t>
        </is>
      </c>
      <c r="L651" t="inlineStr">
        <is>
          <t>1808.697665333053588094428488</t>
        </is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5</v>
      </c>
      <c r="B652" t="n">
        <v>53</v>
      </c>
      <c r="C652" t="inlineStr">
        <is>
          <t>VEGFRO-33</t>
        </is>
      </c>
      <c r="D652" t="inlineStr">
        <is>
          <t>LEMON GRASS MILLED (FROZEN)</t>
        </is>
      </c>
      <c r="E652" t="inlineStr">
        <is>
          <t>grams</t>
        </is>
      </c>
      <c r="F652" t="inlineStr">
        <is>
          <t>child</t>
        </is>
      </c>
      <c r="G652" t="inlineStr"/>
      <c r="H652" t="n">
        <v>2</v>
      </c>
      <c r="I652" t="inlineStr">
        <is>
          <t>gross</t>
        </is>
      </c>
      <c r="J652" t="inlineStr">
        <is>
          <t>net / recipe_yield</t>
        </is>
      </c>
      <c r="K652" t="inlineStr">
        <is>
          <t>1808.697665333053588094428488 / 1 (recipe yield 100%)</t>
        </is>
      </c>
      <c r="L652" t="inlineStr">
        <is>
          <t>1808.697665333053588094428488</t>
        </is>
      </c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5</v>
      </c>
      <c r="B653" t="n">
        <v>53</v>
      </c>
      <c r="C653" t="inlineStr">
        <is>
          <t>VEGFRO-33</t>
        </is>
      </c>
      <c r="D653" t="inlineStr">
        <is>
          <t>LEMON GRASS MILLED (FROZEN)</t>
        </is>
      </c>
      <c r="E653" t="inlineStr">
        <is>
          <t>grams</t>
        </is>
      </c>
      <c r="F653" t="inlineStr">
        <is>
          <t>child</t>
        </is>
      </c>
      <c r="G653" t="inlineStr"/>
      <c r="H653" t="n">
        <v>3</v>
      </c>
      <c r="I653" t="inlineStr">
        <is>
          <t>stock_net</t>
        </is>
      </c>
      <c r="J653" t="inlineStr"/>
      <c r="K653" t="inlineStr"/>
      <c r="L653" t="inlineStr"/>
      <c r="M653" t="b">
        <v>1</v>
      </c>
      <c r="N653" t="inlineStr">
        <is>
          <t>consider_stock=false</t>
        </is>
      </c>
      <c r="O653" t="inlineStr"/>
      <c r="P653" t="inlineStr"/>
      <c r="Q653" t="inlineStr"/>
      <c r="R653" t="inlineStr">
        <is>
          <t>1808.697665333053588094428488</t>
        </is>
      </c>
      <c r="S653" t="inlineStr">
        <is>
          <t>1808.697665333053588094428488</t>
        </is>
      </c>
    </row>
    <row r="654">
      <c r="A654" t="n">
        <v>5</v>
      </c>
      <c r="B654" t="n">
        <v>68</v>
      </c>
      <c r="C654" t="inlineStr">
        <is>
          <t>VEGFRO-43</t>
        </is>
      </c>
      <c r="D654" t="inlineStr">
        <is>
          <t>LIME LEAVES MILLED (FROZEN)</t>
        </is>
      </c>
      <c r="E654" t="inlineStr">
        <is>
          <t>grams</t>
        </is>
      </c>
      <c r="F654" t="inlineStr">
        <is>
          <t>child</t>
        </is>
      </c>
      <c r="G654" t="inlineStr">
        <is>
          <t>1808.697665333053588094428488 from parent 13746.10225653120726951765651 × BOM 1600 / batch_quantity 12160. Stock not applied.</t>
        </is>
      </c>
      <c r="H654" t="n">
        <v>1</v>
      </c>
      <c r="I654" t="inlineStr">
        <is>
          <t>scale_bom</t>
        </is>
      </c>
      <c r="J654" t="inlineStr">
        <is>
          <t>parent_gross × bom_qty / batch_quantity</t>
        </is>
      </c>
      <c r="K654" t="inlineStr">
        <is>
          <t>13746.10225653120726951765651 × 1600 / 12160</t>
        </is>
      </c>
      <c r="L654" t="inlineStr">
        <is>
          <t>1808.697665333053588094428488</t>
        </is>
      </c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5</v>
      </c>
      <c r="B655" t="n">
        <v>68</v>
      </c>
      <c r="C655" t="inlineStr">
        <is>
          <t>VEGFRO-43</t>
        </is>
      </c>
      <c r="D655" t="inlineStr">
        <is>
          <t>LIME LEAVES MILLED (FROZEN)</t>
        </is>
      </c>
      <c r="E655" t="inlineStr">
        <is>
          <t>grams</t>
        </is>
      </c>
      <c r="F655" t="inlineStr">
        <is>
          <t>child</t>
        </is>
      </c>
      <c r="G655" t="inlineStr"/>
      <c r="H655" t="n">
        <v>2</v>
      </c>
      <c r="I655" t="inlineStr">
        <is>
          <t>gross</t>
        </is>
      </c>
      <c r="J655" t="inlineStr">
        <is>
          <t>net / recipe_yield</t>
        </is>
      </c>
      <c r="K655" t="inlineStr">
        <is>
          <t>1808.697665333053588094428488 / 1 (recipe yield 100%)</t>
        </is>
      </c>
      <c r="L655" t="inlineStr">
        <is>
          <t>1808.697665333053588094428488</t>
        </is>
      </c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5</v>
      </c>
      <c r="B656" t="n">
        <v>68</v>
      </c>
      <c r="C656" t="inlineStr">
        <is>
          <t>VEGFRO-43</t>
        </is>
      </c>
      <c r="D656" t="inlineStr">
        <is>
          <t>LIME LEAVES MILLED (FROZEN)</t>
        </is>
      </c>
      <c r="E656" t="inlineStr">
        <is>
          <t>grams</t>
        </is>
      </c>
      <c r="F656" t="inlineStr">
        <is>
          <t>child</t>
        </is>
      </c>
      <c r="G656" t="inlineStr"/>
      <c r="H656" t="n">
        <v>3</v>
      </c>
      <c r="I656" t="inlineStr">
        <is>
          <t>stock_net</t>
        </is>
      </c>
      <c r="J656" t="inlineStr"/>
      <c r="K656" t="inlineStr"/>
      <c r="L656" t="inlineStr"/>
      <c r="M656" t="b">
        <v>1</v>
      </c>
      <c r="N656" t="inlineStr">
        <is>
          <t>consider_stock=false</t>
        </is>
      </c>
      <c r="O656" t="inlineStr"/>
      <c r="P656" t="inlineStr"/>
      <c r="Q656" t="inlineStr"/>
      <c r="R656" t="inlineStr">
        <is>
          <t>1808.697665333053588094428488</t>
        </is>
      </c>
      <c r="S656" t="inlineStr">
        <is>
          <t>1808.697665333053588094428488</t>
        </is>
      </c>
    </row>
    <row r="657">
      <c r="A657" t="n">
        <v>5</v>
      </c>
      <c r="B657" t="n">
        <v>60</v>
      </c>
      <c r="C657" t="inlineStr">
        <is>
          <t>VEGFRO-38</t>
        </is>
      </c>
      <c r="D657" t="inlineStr">
        <is>
          <t>GALANGAL MILLED (FROZEN)</t>
        </is>
      </c>
      <c r="E657" t="inlineStr">
        <is>
          <t>grams</t>
        </is>
      </c>
      <c r="F657" t="inlineStr">
        <is>
          <t>child</t>
        </is>
      </c>
      <c r="G657" t="inlineStr">
        <is>
          <t>452.174416333263397023607122 from parent 13746.10225653120726951765651 × BOM 400 / batch_quantity 12160. Stock not applied.</t>
        </is>
      </c>
      <c r="H657" t="n">
        <v>1</v>
      </c>
      <c r="I657" t="inlineStr">
        <is>
          <t>scale_bom</t>
        </is>
      </c>
      <c r="J657" t="inlineStr">
        <is>
          <t>parent_gross × bom_qty / batch_quantity</t>
        </is>
      </c>
      <c r="K657" t="inlineStr">
        <is>
          <t>13746.10225653120726951765651 × 400 / 12160</t>
        </is>
      </c>
      <c r="L657" t="inlineStr">
        <is>
          <t>452.174416333263397023607122</t>
        </is>
      </c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5</v>
      </c>
      <c r="B658" t="n">
        <v>60</v>
      </c>
      <c r="C658" t="inlineStr">
        <is>
          <t>VEGFRO-38</t>
        </is>
      </c>
      <c r="D658" t="inlineStr">
        <is>
          <t>GALANGAL MILLED (FROZEN)</t>
        </is>
      </c>
      <c r="E658" t="inlineStr">
        <is>
          <t>grams</t>
        </is>
      </c>
      <c r="F658" t="inlineStr">
        <is>
          <t>child</t>
        </is>
      </c>
      <c r="G658" t="inlineStr"/>
      <c r="H658" t="n">
        <v>2</v>
      </c>
      <c r="I658" t="inlineStr">
        <is>
          <t>gross</t>
        </is>
      </c>
      <c r="J658" t="inlineStr">
        <is>
          <t>net / recipe_yield</t>
        </is>
      </c>
      <c r="K658" t="inlineStr">
        <is>
          <t>452.174416333263397023607122 / 1 (recipe yield 100%)</t>
        </is>
      </c>
      <c r="L658" t="inlineStr">
        <is>
          <t>452.174416333263397023607122</t>
        </is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5</v>
      </c>
      <c r="B659" t="n">
        <v>60</v>
      </c>
      <c r="C659" t="inlineStr">
        <is>
          <t>VEGFRO-38</t>
        </is>
      </c>
      <c r="D659" t="inlineStr">
        <is>
          <t>GALANGAL MILLED (FROZEN)</t>
        </is>
      </c>
      <c r="E659" t="inlineStr">
        <is>
          <t>grams</t>
        </is>
      </c>
      <c r="F659" t="inlineStr">
        <is>
          <t>child</t>
        </is>
      </c>
      <c r="G659" t="inlineStr"/>
      <c r="H659" t="n">
        <v>3</v>
      </c>
      <c r="I659" t="inlineStr">
        <is>
          <t>stock_net</t>
        </is>
      </c>
      <c r="J659" t="inlineStr"/>
      <c r="K659" t="inlineStr"/>
      <c r="L659" t="inlineStr"/>
      <c r="M659" t="b">
        <v>1</v>
      </c>
      <c r="N659" t="inlineStr">
        <is>
          <t>consider_stock=false</t>
        </is>
      </c>
      <c r="O659" t="inlineStr"/>
      <c r="P659" t="inlineStr"/>
      <c r="Q659" t="inlineStr"/>
      <c r="R659" t="inlineStr">
        <is>
          <t>452.174416333263397023607122</t>
        </is>
      </c>
      <c r="S659" t="inlineStr">
        <is>
          <t>452.174416333263397023607122</t>
        </is>
      </c>
    </row>
    <row r="660">
      <c r="A660" t="n">
        <v>5</v>
      </c>
      <c r="B660" t="n">
        <v>70</v>
      </c>
      <c r="C660" t="inlineStr">
        <is>
          <t>SPICE0-15</t>
        </is>
      </c>
      <c r="D660" t="inlineStr">
        <is>
          <t>PAPRIKA POWDER HT</t>
        </is>
      </c>
      <c r="E660" t="inlineStr">
        <is>
          <t>grams</t>
        </is>
      </c>
      <c r="F660" t="inlineStr">
        <is>
          <t>child</t>
        </is>
      </c>
      <c r="G660" t="inlineStr">
        <is>
          <t>452.174416333263397023607122 from parent 13746.10225653120726951765651 × BOM 400 / batch_quantity 12160. Stock not applied.</t>
        </is>
      </c>
      <c r="H660" t="n">
        <v>1</v>
      </c>
      <c r="I660" t="inlineStr">
        <is>
          <t>scale_bom</t>
        </is>
      </c>
      <c r="J660" t="inlineStr">
        <is>
          <t>parent_gross × bom_qty / batch_quantity</t>
        </is>
      </c>
      <c r="K660" t="inlineStr">
        <is>
          <t>13746.10225653120726951765651 × 400 / 12160</t>
        </is>
      </c>
      <c r="L660" t="inlineStr">
        <is>
          <t>452.174416333263397023607122</t>
        </is>
      </c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5</v>
      </c>
      <c r="B661" t="n">
        <v>70</v>
      </c>
      <c r="C661" t="inlineStr">
        <is>
          <t>SPICE0-15</t>
        </is>
      </c>
      <c r="D661" t="inlineStr">
        <is>
          <t>PAPRIKA POWDER HT</t>
        </is>
      </c>
      <c r="E661" t="inlineStr">
        <is>
          <t>grams</t>
        </is>
      </c>
      <c r="F661" t="inlineStr">
        <is>
          <t>child</t>
        </is>
      </c>
      <c r="G661" t="inlineStr"/>
      <c r="H661" t="n">
        <v>2</v>
      </c>
      <c r="I661" t="inlineStr">
        <is>
          <t>gross</t>
        </is>
      </c>
      <c r="J661" t="inlineStr">
        <is>
          <t>net / recipe_yield</t>
        </is>
      </c>
      <c r="K661" t="inlineStr">
        <is>
          <t>452.174416333263397023607122 / 1 (recipe yield 100%)</t>
        </is>
      </c>
      <c r="L661" t="inlineStr">
        <is>
          <t>452.174416333263397023607122</t>
        </is>
      </c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5</v>
      </c>
      <c r="B662" t="n">
        <v>70</v>
      </c>
      <c r="C662" t="inlineStr">
        <is>
          <t>SPICE0-15</t>
        </is>
      </c>
      <c r="D662" t="inlineStr">
        <is>
          <t>PAPRIKA POWDER HT</t>
        </is>
      </c>
      <c r="E662" t="inlineStr">
        <is>
          <t>grams</t>
        </is>
      </c>
      <c r="F662" t="inlineStr">
        <is>
          <t>child</t>
        </is>
      </c>
      <c r="G662" t="inlineStr"/>
      <c r="H662" t="n">
        <v>3</v>
      </c>
      <c r="I662" t="inlineStr">
        <is>
          <t>stock_net</t>
        </is>
      </c>
      <c r="J662" t="inlineStr"/>
      <c r="K662" t="inlineStr"/>
      <c r="L662" t="inlineStr"/>
      <c r="M662" t="b">
        <v>1</v>
      </c>
      <c r="N662" t="inlineStr">
        <is>
          <t>consider_stock=false</t>
        </is>
      </c>
      <c r="O662" t="inlineStr"/>
      <c r="P662" t="inlineStr"/>
      <c r="Q662" t="inlineStr"/>
      <c r="R662" t="inlineStr">
        <is>
          <t>452.174416333263397023607122</t>
        </is>
      </c>
      <c r="S662" t="inlineStr">
        <is>
          <t>452.174416333263397023607122</t>
        </is>
      </c>
    </row>
    <row r="663">
      <c r="A663" t="n">
        <v>5</v>
      </c>
      <c r="B663" t="n">
        <v>47</v>
      </c>
      <c r="C663" t="inlineStr">
        <is>
          <t>SPICE0-02</t>
        </is>
      </c>
      <c r="D663" t="inlineStr">
        <is>
          <t>SALT</t>
        </is>
      </c>
      <c r="E663" t="inlineStr">
        <is>
          <t>grams</t>
        </is>
      </c>
      <c r="F663" t="inlineStr">
        <is>
          <t>child</t>
        </is>
      </c>
      <c r="G663" t="inlineStr">
        <is>
          <t>180.8697665333053588094428488 from parent 13746.10225653120726951765651 × BOM 160 / batch_quantity 12160. Stock not applied.</t>
        </is>
      </c>
      <c r="H663" t="n">
        <v>1</v>
      </c>
      <c r="I663" t="inlineStr">
        <is>
          <t>scale_bom</t>
        </is>
      </c>
      <c r="J663" t="inlineStr">
        <is>
          <t>parent_gross × bom_qty / batch_quantity</t>
        </is>
      </c>
      <c r="K663" t="inlineStr">
        <is>
          <t>13746.10225653120726951765651 × 160 / 12160</t>
        </is>
      </c>
      <c r="L663" t="inlineStr">
        <is>
          <t>180.8697665333053588094428488</t>
        </is>
      </c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5</v>
      </c>
      <c r="B664" t="n">
        <v>47</v>
      </c>
      <c r="C664" t="inlineStr">
        <is>
          <t>SPICE0-02</t>
        </is>
      </c>
      <c r="D664" t="inlineStr">
        <is>
          <t>SALT</t>
        </is>
      </c>
      <c r="E664" t="inlineStr">
        <is>
          <t>grams</t>
        </is>
      </c>
      <c r="F664" t="inlineStr">
        <is>
          <t>child</t>
        </is>
      </c>
      <c r="G664" t="inlineStr"/>
      <c r="H664" t="n">
        <v>2</v>
      </c>
      <c r="I664" t="inlineStr">
        <is>
          <t>gross</t>
        </is>
      </c>
      <c r="J664" t="inlineStr">
        <is>
          <t>net / recipe_yield</t>
        </is>
      </c>
      <c r="K664" t="inlineStr">
        <is>
          <t>180.8697665333053588094428488 / 1 (recipe yield 100%)</t>
        </is>
      </c>
      <c r="L664" t="inlineStr">
        <is>
          <t>180.8697665333053588094428488</t>
        </is>
      </c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5</v>
      </c>
      <c r="B665" t="n">
        <v>47</v>
      </c>
      <c r="C665" t="inlineStr">
        <is>
          <t>SPICE0-02</t>
        </is>
      </c>
      <c r="D665" t="inlineStr">
        <is>
          <t>SALT</t>
        </is>
      </c>
      <c r="E665" t="inlineStr">
        <is>
          <t>grams</t>
        </is>
      </c>
      <c r="F665" t="inlineStr">
        <is>
          <t>child</t>
        </is>
      </c>
      <c r="G665" t="inlineStr"/>
      <c r="H665" t="n">
        <v>3</v>
      </c>
      <c r="I665" t="inlineStr">
        <is>
          <t>stock_net</t>
        </is>
      </c>
      <c r="J665" t="inlineStr"/>
      <c r="K665" t="inlineStr"/>
      <c r="L665" t="inlineStr"/>
      <c r="M665" t="b">
        <v>1</v>
      </c>
      <c r="N665" t="inlineStr">
        <is>
          <t>consider_stock=false</t>
        </is>
      </c>
      <c r="O665" t="inlineStr"/>
      <c r="P665" t="inlineStr"/>
      <c r="Q665" t="inlineStr"/>
      <c r="R665" t="inlineStr">
        <is>
          <t>180.8697665333053588094428488</t>
        </is>
      </c>
      <c r="S665" t="inlineStr">
        <is>
          <t>180.8697665333053588094428488</t>
        </is>
      </c>
    </row>
    <row r="666">
      <c r="A666" t="n">
        <v>6</v>
      </c>
      <c r="B666" t="n">
        <v>47</v>
      </c>
      <c r="C666" t="inlineStr">
        <is>
          <t>SPICE0-02</t>
        </is>
      </c>
      <c r="D666" t="inlineStr">
        <is>
          <t>SALT</t>
        </is>
      </c>
      <c r="E666" t="inlineStr">
        <is>
          <t>grams</t>
        </is>
      </c>
      <c r="F666" t="inlineStr">
        <is>
          <t>child</t>
        </is>
      </c>
      <c r="G666" t="inlineStr">
        <is>
          <t>2869.860438686866657674437292 from parent 3587.325548358583322093046615 × BOM 600 / batch_quantity 750. Stock not applied.</t>
        </is>
      </c>
      <c r="H666" t="n">
        <v>1</v>
      </c>
      <c r="I666" t="inlineStr">
        <is>
          <t>scale_bom</t>
        </is>
      </c>
      <c r="J666" t="inlineStr">
        <is>
          <t>parent_gross × bom_qty / batch_quantity</t>
        </is>
      </c>
      <c r="K666" t="inlineStr">
        <is>
          <t>3587.325548358583322093046615 × 600 / 750</t>
        </is>
      </c>
      <c r="L666" t="inlineStr">
        <is>
          <t>2869.860438686866657674437292</t>
        </is>
      </c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</v>
      </c>
      <c r="B667" t="n">
        <v>47</v>
      </c>
      <c r="C667" t="inlineStr">
        <is>
          <t>SPICE0-02</t>
        </is>
      </c>
      <c r="D667" t="inlineStr">
        <is>
          <t>SALT</t>
        </is>
      </c>
      <c r="E667" t="inlineStr">
        <is>
          <t>grams</t>
        </is>
      </c>
      <c r="F667" t="inlineStr">
        <is>
          <t>child</t>
        </is>
      </c>
      <c r="G667" t="inlineStr"/>
      <c r="H667" t="n">
        <v>2</v>
      </c>
      <c r="I667" t="inlineStr">
        <is>
          <t>gross</t>
        </is>
      </c>
      <c r="J667" t="inlineStr">
        <is>
          <t>net / recipe_yield</t>
        </is>
      </c>
      <c r="K667" t="inlineStr">
        <is>
          <t>2869.860438686866657674437292 / 1 (recipe yield 100%)</t>
        </is>
      </c>
      <c r="L667" t="inlineStr">
        <is>
          <t>2869.860438686866657674437292</t>
        </is>
      </c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</v>
      </c>
      <c r="B668" t="n">
        <v>47</v>
      </c>
      <c r="C668" t="inlineStr">
        <is>
          <t>SPICE0-02</t>
        </is>
      </c>
      <c r="D668" t="inlineStr">
        <is>
          <t>SALT</t>
        </is>
      </c>
      <c r="E668" t="inlineStr">
        <is>
          <t>grams</t>
        </is>
      </c>
      <c r="F668" t="inlineStr">
        <is>
          <t>child</t>
        </is>
      </c>
      <c r="G668" t="inlineStr"/>
      <c r="H668" t="n">
        <v>3</v>
      </c>
      <c r="I668" t="inlineStr">
        <is>
          <t>stock_net</t>
        </is>
      </c>
      <c r="J668" t="inlineStr"/>
      <c r="K668" t="inlineStr"/>
      <c r="L668" t="inlineStr"/>
      <c r="M668" t="b">
        <v>1</v>
      </c>
      <c r="N668" t="inlineStr">
        <is>
          <t>consider_stock=false</t>
        </is>
      </c>
      <c r="O668" t="inlineStr"/>
      <c r="P668" t="inlineStr"/>
      <c r="Q668" t="inlineStr"/>
      <c r="R668" t="inlineStr">
        <is>
          <t>2869.860438686866657674437292</t>
        </is>
      </c>
      <c r="S668" t="inlineStr">
        <is>
          <t>2869.860438686866657674437292</t>
        </is>
      </c>
    </row>
    <row r="669">
      <c r="A669" t="n">
        <v>6</v>
      </c>
      <c r="B669" t="n">
        <v>94</v>
      </c>
      <c r="C669" t="inlineStr">
        <is>
          <t>SPICE0-35</t>
        </is>
      </c>
      <c r="D669" t="inlineStr">
        <is>
          <t>WHITE PEPPER POWDER HT</t>
        </is>
      </c>
      <c r="E669" t="inlineStr">
        <is>
          <t>grams</t>
        </is>
      </c>
      <c r="F669" t="inlineStr">
        <is>
          <t>child</t>
        </is>
      </c>
      <c r="G669" t="inlineStr">
        <is>
          <t>717.4651096717166644186093229 from parent 3587.325548358583322093046615 × BOM 150 / batch_quantity 750. Stock not applied.</t>
        </is>
      </c>
      <c r="H669" t="n">
        <v>1</v>
      </c>
      <c r="I669" t="inlineStr">
        <is>
          <t>scale_bom</t>
        </is>
      </c>
      <c r="J669" t="inlineStr">
        <is>
          <t>parent_gross × bom_qty / batch_quantity</t>
        </is>
      </c>
      <c r="K669" t="inlineStr">
        <is>
          <t>3587.325548358583322093046615 × 150 / 750</t>
        </is>
      </c>
      <c r="L669" t="inlineStr">
        <is>
          <t>717.4651096717166644186093229</t>
        </is>
      </c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</v>
      </c>
      <c r="B670" t="n">
        <v>94</v>
      </c>
      <c r="C670" t="inlineStr">
        <is>
          <t>SPICE0-35</t>
        </is>
      </c>
      <c r="D670" t="inlineStr">
        <is>
          <t>WHITE PEPPER POWDER HT</t>
        </is>
      </c>
      <c r="E670" t="inlineStr">
        <is>
          <t>grams</t>
        </is>
      </c>
      <c r="F670" t="inlineStr">
        <is>
          <t>child</t>
        </is>
      </c>
      <c r="G670" t="inlineStr"/>
      <c r="H670" t="n">
        <v>2</v>
      </c>
      <c r="I670" t="inlineStr">
        <is>
          <t>gross</t>
        </is>
      </c>
      <c r="J670" t="inlineStr">
        <is>
          <t>net / recipe_yield</t>
        </is>
      </c>
      <c r="K670" t="inlineStr">
        <is>
          <t>717.4651096717166644186093229 / 1 (recipe yield 100%)</t>
        </is>
      </c>
      <c r="L670" t="inlineStr">
        <is>
          <t>717.4651096717166644186093229</t>
        </is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</v>
      </c>
      <c r="B671" t="n">
        <v>94</v>
      </c>
      <c r="C671" t="inlineStr">
        <is>
          <t>SPICE0-35</t>
        </is>
      </c>
      <c r="D671" t="inlineStr">
        <is>
          <t>WHITE PEPPER POWDER HT</t>
        </is>
      </c>
      <c r="E671" t="inlineStr">
        <is>
          <t>grams</t>
        </is>
      </c>
      <c r="F671" t="inlineStr">
        <is>
          <t>child</t>
        </is>
      </c>
      <c r="G671" t="inlineStr"/>
      <c r="H671" t="n">
        <v>3</v>
      </c>
      <c r="I671" t="inlineStr">
        <is>
          <t>stock_net</t>
        </is>
      </c>
      <c r="J671" t="inlineStr"/>
      <c r="K671" t="inlineStr"/>
      <c r="L671" t="inlineStr"/>
      <c r="M671" t="b">
        <v>1</v>
      </c>
      <c r="N671" t="inlineStr">
        <is>
          <t>consider_stock=false</t>
        </is>
      </c>
      <c r="O671" t="inlineStr"/>
      <c r="P671" t="inlineStr"/>
      <c r="Q671" t="inlineStr"/>
      <c r="R671" t="inlineStr">
        <is>
          <t>717.4651096717166644186093229</t>
        </is>
      </c>
      <c r="S671" t="inlineStr">
        <is>
          <t>717.4651096717166644186093229</t>
        </is>
      </c>
    </row>
    <row r="672">
      <c r="A672" t="n">
        <v>6</v>
      </c>
      <c r="B672" t="n">
        <v>47</v>
      </c>
      <c r="C672" t="inlineStr">
        <is>
          <t>SPICE0-02</t>
        </is>
      </c>
      <c r="D672" t="inlineStr">
        <is>
          <t>SALT</t>
        </is>
      </c>
      <c r="E672" t="inlineStr">
        <is>
          <t>grams</t>
        </is>
      </c>
      <c r="F672" t="inlineStr">
        <is>
          <t>child</t>
        </is>
      </c>
      <c r="G672" t="inlineStr">
        <is>
          <t>730.5099298475660583171294921 from parent 913.1374123094575728964118652 × BOM 600 / batch_quantity 750. Stock not applied.</t>
        </is>
      </c>
      <c r="H672" t="n">
        <v>1</v>
      </c>
      <c r="I672" t="inlineStr">
        <is>
          <t>scale_bom</t>
        </is>
      </c>
      <c r="J672" t="inlineStr">
        <is>
          <t>parent_gross × bom_qty / batch_quantity</t>
        </is>
      </c>
      <c r="K672" t="inlineStr">
        <is>
          <t>913.1374123094575728964118652 × 600 / 750</t>
        </is>
      </c>
      <c r="L672" t="inlineStr">
        <is>
          <t>730.5099298475660583171294921</t>
        </is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</v>
      </c>
      <c r="B673" t="n">
        <v>47</v>
      </c>
      <c r="C673" t="inlineStr">
        <is>
          <t>SPICE0-02</t>
        </is>
      </c>
      <c r="D673" t="inlineStr">
        <is>
          <t>SALT</t>
        </is>
      </c>
      <c r="E673" t="inlineStr">
        <is>
          <t>grams</t>
        </is>
      </c>
      <c r="F673" t="inlineStr">
        <is>
          <t>child</t>
        </is>
      </c>
      <c r="G673" t="inlineStr"/>
      <c r="H673" t="n">
        <v>2</v>
      </c>
      <c r="I673" t="inlineStr">
        <is>
          <t>gross</t>
        </is>
      </c>
      <c r="J673" t="inlineStr">
        <is>
          <t>net / recipe_yield</t>
        </is>
      </c>
      <c r="K673" t="inlineStr">
        <is>
          <t>730.5099298475660583171294921 / 1 (recipe yield 100%)</t>
        </is>
      </c>
      <c r="L673" t="inlineStr">
        <is>
          <t>730.5099298475660583171294921</t>
        </is>
      </c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</v>
      </c>
      <c r="B674" t="n">
        <v>47</v>
      </c>
      <c r="C674" t="inlineStr">
        <is>
          <t>SPICE0-02</t>
        </is>
      </c>
      <c r="D674" t="inlineStr">
        <is>
          <t>SALT</t>
        </is>
      </c>
      <c r="E674" t="inlineStr">
        <is>
          <t>grams</t>
        </is>
      </c>
      <c r="F674" t="inlineStr">
        <is>
          <t>child</t>
        </is>
      </c>
      <c r="G674" t="inlineStr"/>
      <c r="H674" t="n">
        <v>3</v>
      </c>
      <c r="I674" t="inlineStr">
        <is>
          <t>stock_net</t>
        </is>
      </c>
      <c r="J674" t="inlineStr"/>
      <c r="K674" t="inlineStr"/>
      <c r="L674" t="inlineStr"/>
      <c r="M674" t="b">
        <v>1</v>
      </c>
      <c r="N674" t="inlineStr">
        <is>
          <t>consider_stock=false</t>
        </is>
      </c>
      <c r="O674" t="inlineStr"/>
      <c r="P674" t="inlineStr"/>
      <c r="Q674" t="inlineStr"/>
      <c r="R674" t="inlineStr">
        <is>
          <t>730.5099298475660583171294921</t>
        </is>
      </c>
      <c r="S674" t="inlineStr">
        <is>
          <t>730.5099298475660583171294921</t>
        </is>
      </c>
    </row>
    <row r="675">
      <c r="A675" t="n">
        <v>6</v>
      </c>
      <c r="B675" t="n">
        <v>94</v>
      </c>
      <c r="C675" t="inlineStr">
        <is>
          <t>SPICE0-35</t>
        </is>
      </c>
      <c r="D675" t="inlineStr">
        <is>
          <t>WHITE PEPPER POWDER HT</t>
        </is>
      </c>
      <c r="E675" t="inlineStr">
        <is>
          <t>grams</t>
        </is>
      </c>
      <c r="F675" t="inlineStr">
        <is>
          <t>child</t>
        </is>
      </c>
      <c r="G675" t="inlineStr">
        <is>
          <t>182.6274824618915145792823731 from parent 913.1374123094575728964118652 × BOM 150 / batch_quantity 750. Stock not applied.</t>
        </is>
      </c>
      <c r="H675" t="n">
        <v>1</v>
      </c>
      <c r="I675" t="inlineStr">
        <is>
          <t>scale_bom</t>
        </is>
      </c>
      <c r="J675" t="inlineStr">
        <is>
          <t>parent_gross × bom_qty / batch_quantity</t>
        </is>
      </c>
      <c r="K675" t="inlineStr">
        <is>
          <t>913.1374123094575728964118652 × 150 / 750</t>
        </is>
      </c>
      <c r="L675" t="inlineStr">
        <is>
          <t>182.6274824618915145792823731</t>
        </is>
      </c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</v>
      </c>
      <c r="B676" t="n">
        <v>94</v>
      </c>
      <c r="C676" t="inlineStr">
        <is>
          <t>SPICE0-35</t>
        </is>
      </c>
      <c r="D676" t="inlineStr">
        <is>
          <t>WHITE PEPPER POWDER HT</t>
        </is>
      </c>
      <c r="E676" t="inlineStr">
        <is>
          <t>grams</t>
        </is>
      </c>
      <c r="F676" t="inlineStr">
        <is>
          <t>child</t>
        </is>
      </c>
      <c r="G676" t="inlineStr"/>
      <c r="H676" t="n">
        <v>2</v>
      </c>
      <c r="I676" t="inlineStr">
        <is>
          <t>gross</t>
        </is>
      </c>
      <c r="J676" t="inlineStr">
        <is>
          <t>net / recipe_yield</t>
        </is>
      </c>
      <c r="K676" t="inlineStr">
        <is>
          <t>182.6274824618915145792823731 / 1 (recipe yield 100%)</t>
        </is>
      </c>
      <c r="L676" t="inlineStr">
        <is>
          <t>182.6274824618915145792823731</t>
        </is>
      </c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</v>
      </c>
      <c r="B677" t="n">
        <v>94</v>
      </c>
      <c r="C677" t="inlineStr">
        <is>
          <t>SPICE0-35</t>
        </is>
      </c>
      <c r="D677" t="inlineStr">
        <is>
          <t>WHITE PEPPER POWDER HT</t>
        </is>
      </c>
      <c r="E677" t="inlineStr">
        <is>
          <t>grams</t>
        </is>
      </c>
      <c r="F677" t="inlineStr">
        <is>
          <t>child</t>
        </is>
      </c>
      <c r="G677" t="inlineStr"/>
      <c r="H677" t="n">
        <v>3</v>
      </c>
      <c r="I677" t="inlineStr">
        <is>
          <t>stock_net</t>
        </is>
      </c>
      <c r="J677" t="inlineStr"/>
      <c r="K677" t="inlineStr"/>
      <c r="L677" t="inlineStr"/>
      <c r="M677" t="b">
        <v>1</v>
      </c>
      <c r="N677" t="inlineStr">
        <is>
          <t>consider_stock=false</t>
        </is>
      </c>
      <c r="O677" t="inlineStr"/>
      <c r="P677" t="inlineStr"/>
      <c r="Q677" t="inlineStr"/>
      <c r="R677" t="inlineStr">
        <is>
          <t>182.6274824618915145792823731</t>
        </is>
      </c>
      <c r="S677" t="inlineStr">
        <is>
          <t>182.6274824618915145792823731</t>
        </is>
      </c>
    </row>
    <row r="678">
      <c r="A678" t="n">
        <v>6</v>
      </c>
      <c r="B678" t="n">
        <v>47</v>
      </c>
      <c r="C678" t="inlineStr">
        <is>
          <t>SPICE0-02</t>
        </is>
      </c>
      <c r="D678" t="inlineStr">
        <is>
          <t>SALT</t>
        </is>
      </c>
      <c r="E678" t="inlineStr">
        <is>
          <t>grams</t>
        </is>
      </c>
      <c r="F678" t="inlineStr">
        <is>
          <t>child</t>
        </is>
      </c>
      <c r="G678" t="inlineStr">
        <is>
          <t>2391.605898134982236890738398 from parent 2391.605898134982236890738398 × BOM 500 / batch_quantity 500. Stock not applied.</t>
        </is>
      </c>
      <c r="H678" t="n">
        <v>1</v>
      </c>
      <c r="I678" t="inlineStr">
        <is>
          <t>scale_bom</t>
        </is>
      </c>
      <c r="J678" t="inlineStr">
        <is>
          <t>parent_gross × bom_qty / batch_quantity</t>
        </is>
      </c>
      <c r="K678" t="inlineStr">
        <is>
          <t>2391.605898134982236890738398 × 500 / 500</t>
        </is>
      </c>
      <c r="L678" t="inlineStr">
        <is>
          <t>2391.605898134982236890738398</t>
        </is>
      </c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</v>
      </c>
      <c r="B679" t="n">
        <v>47</v>
      </c>
      <c r="C679" t="inlineStr">
        <is>
          <t>SPICE0-02</t>
        </is>
      </c>
      <c r="D679" t="inlineStr">
        <is>
          <t>SALT</t>
        </is>
      </c>
      <c r="E679" t="inlineStr">
        <is>
          <t>grams</t>
        </is>
      </c>
      <c r="F679" t="inlineStr">
        <is>
          <t>child</t>
        </is>
      </c>
      <c r="G679" t="inlineStr"/>
      <c r="H679" t="n">
        <v>2</v>
      </c>
      <c r="I679" t="inlineStr">
        <is>
          <t>gross</t>
        </is>
      </c>
      <c r="J679" t="inlineStr">
        <is>
          <t>net / recipe_yield</t>
        </is>
      </c>
      <c r="K679" t="inlineStr">
        <is>
          <t>2391.605898134982236890738398 / 1 (recipe yield 100%)</t>
        </is>
      </c>
      <c r="L679" t="inlineStr">
        <is>
          <t>2391.605898134982236890738398</t>
        </is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</v>
      </c>
      <c r="B680" t="n">
        <v>47</v>
      </c>
      <c r="C680" t="inlineStr">
        <is>
          <t>SPICE0-02</t>
        </is>
      </c>
      <c r="D680" t="inlineStr">
        <is>
          <t>SALT</t>
        </is>
      </c>
      <c r="E680" t="inlineStr">
        <is>
          <t>grams</t>
        </is>
      </c>
      <c r="F680" t="inlineStr">
        <is>
          <t>child</t>
        </is>
      </c>
      <c r="G680" t="inlineStr"/>
      <c r="H680" t="n">
        <v>3</v>
      </c>
      <c r="I680" t="inlineStr">
        <is>
          <t>stock_net</t>
        </is>
      </c>
      <c r="J680" t="inlineStr"/>
      <c r="K680" t="inlineStr"/>
      <c r="L680" t="inlineStr"/>
      <c r="M680" t="b">
        <v>1</v>
      </c>
      <c r="N680" t="inlineStr">
        <is>
          <t>consider_stock=false</t>
        </is>
      </c>
      <c r="O680" t="inlineStr"/>
      <c r="P680" t="inlineStr"/>
      <c r="Q680" t="inlineStr"/>
      <c r="R680" t="inlineStr">
        <is>
          <t>2391.605898134982236890738398</t>
        </is>
      </c>
      <c r="S680" t="inlineStr">
        <is>
          <t>2391.605898134982236890738398</t>
        </is>
      </c>
    </row>
    <row r="681">
      <c r="A681" t="n">
        <v>6</v>
      </c>
      <c r="B681" t="n">
        <v>47</v>
      </c>
      <c r="C681" t="inlineStr">
        <is>
          <t>SPICE0-02</t>
        </is>
      </c>
      <c r="D681" t="inlineStr">
        <is>
          <t>SALT</t>
        </is>
      </c>
      <c r="E681" t="inlineStr">
        <is>
          <t>grams</t>
        </is>
      </c>
      <c r="F681" t="inlineStr">
        <is>
          <t>child</t>
        </is>
      </c>
      <c r="G681" t="inlineStr">
        <is>
          <t>652.2561540368133373338377448 from parent 652.2561540368133373338377447 × BOM 500 / batch_quantity 500. Stock not applied.</t>
        </is>
      </c>
      <c r="H681" t="n">
        <v>1</v>
      </c>
      <c r="I681" t="inlineStr">
        <is>
          <t>scale_bom</t>
        </is>
      </c>
      <c r="J681" t="inlineStr">
        <is>
          <t>parent_gross × bom_qty / batch_quantity</t>
        </is>
      </c>
      <c r="K681" t="inlineStr">
        <is>
          <t>652.2561540368133373338377447 × 500 / 500</t>
        </is>
      </c>
      <c r="L681" t="inlineStr">
        <is>
          <t>652.2561540368133373338377448</t>
        </is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</v>
      </c>
      <c r="B682" t="n">
        <v>47</v>
      </c>
      <c r="C682" t="inlineStr">
        <is>
          <t>SPICE0-02</t>
        </is>
      </c>
      <c r="D682" t="inlineStr">
        <is>
          <t>SALT</t>
        </is>
      </c>
      <c r="E682" t="inlineStr">
        <is>
          <t>grams</t>
        </is>
      </c>
      <c r="F682" t="inlineStr">
        <is>
          <t>child</t>
        </is>
      </c>
      <c r="G682" t="inlineStr"/>
      <c r="H682" t="n">
        <v>2</v>
      </c>
      <c r="I682" t="inlineStr">
        <is>
          <t>gross</t>
        </is>
      </c>
      <c r="J682" t="inlineStr">
        <is>
          <t>net / recipe_yield</t>
        </is>
      </c>
      <c r="K682" t="inlineStr">
        <is>
          <t>652.2561540368133373338377448 / 1 (recipe yield 100%)</t>
        </is>
      </c>
      <c r="L682" t="inlineStr">
        <is>
          <t>652.2561540368133373338377448</t>
        </is>
      </c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</v>
      </c>
      <c r="B683" t="n">
        <v>47</v>
      </c>
      <c r="C683" t="inlineStr">
        <is>
          <t>SPICE0-02</t>
        </is>
      </c>
      <c r="D683" t="inlineStr">
        <is>
          <t>SALT</t>
        </is>
      </c>
      <c r="E683" t="inlineStr">
        <is>
          <t>grams</t>
        </is>
      </c>
      <c r="F683" t="inlineStr">
        <is>
          <t>child</t>
        </is>
      </c>
      <c r="G683" t="inlineStr"/>
      <c r="H683" t="n">
        <v>3</v>
      </c>
      <c r="I683" t="inlineStr">
        <is>
          <t>stock_net</t>
        </is>
      </c>
      <c r="J683" t="inlineStr"/>
      <c r="K683" t="inlineStr"/>
      <c r="L683" t="inlineStr"/>
      <c r="M683" t="b">
        <v>1</v>
      </c>
      <c r="N683" t="inlineStr">
        <is>
          <t>consider_stock=false</t>
        </is>
      </c>
      <c r="O683" t="inlineStr"/>
      <c r="P683" t="inlineStr"/>
      <c r="Q683" t="inlineStr"/>
      <c r="R683" t="inlineStr">
        <is>
          <t>652.2561540368133373338377448</t>
        </is>
      </c>
      <c r="S683" t="inlineStr">
        <is>
          <t>652.2561540368133373338377448</t>
        </is>
      </c>
    </row>
    <row r="684">
      <c r="A684" t="n">
        <v>6</v>
      </c>
      <c r="B684" t="n">
        <v>47</v>
      </c>
      <c r="C684" t="inlineStr">
        <is>
          <t>SPICE0-02</t>
        </is>
      </c>
      <c r="D684" t="inlineStr">
        <is>
          <t>SALT</t>
        </is>
      </c>
      <c r="E684" t="inlineStr">
        <is>
          <t>grams</t>
        </is>
      </c>
      <c r="F684" t="inlineStr">
        <is>
          <t>child</t>
        </is>
      </c>
      <c r="G684" t="inlineStr">
        <is>
          <t>739.2236412417217823116827776 from parent 739.2236412417217823116827775 × BOM 500 / batch_quantity 500. Stock not applied.</t>
        </is>
      </c>
      <c r="H684" t="n">
        <v>1</v>
      </c>
      <c r="I684" t="inlineStr">
        <is>
          <t>scale_bom</t>
        </is>
      </c>
      <c r="J684" t="inlineStr">
        <is>
          <t>parent_gross × bom_qty / batch_quantity</t>
        </is>
      </c>
      <c r="K684" t="inlineStr">
        <is>
          <t>739.2236412417217823116827775 × 500 / 500</t>
        </is>
      </c>
      <c r="L684" t="inlineStr">
        <is>
          <t>739.2236412417217823116827776</t>
        </is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</v>
      </c>
      <c r="B685" t="n">
        <v>47</v>
      </c>
      <c r="C685" t="inlineStr">
        <is>
          <t>SPICE0-02</t>
        </is>
      </c>
      <c r="D685" t="inlineStr">
        <is>
          <t>SALT</t>
        </is>
      </c>
      <c r="E685" t="inlineStr">
        <is>
          <t>grams</t>
        </is>
      </c>
      <c r="F685" t="inlineStr">
        <is>
          <t>child</t>
        </is>
      </c>
      <c r="G685" t="inlineStr"/>
      <c r="H685" t="n">
        <v>2</v>
      </c>
      <c r="I685" t="inlineStr">
        <is>
          <t>gross</t>
        </is>
      </c>
      <c r="J685" t="inlineStr">
        <is>
          <t>net / recipe_yield</t>
        </is>
      </c>
      <c r="K685" t="inlineStr">
        <is>
          <t>739.2236412417217823116827776 / 1 (recipe yield 100%)</t>
        </is>
      </c>
      <c r="L685" t="inlineStr">
        <is>
          <t>739.2236412417217823116827776</t>
        </is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</v>
      </c>
      <c r="B686" t="n">
        <v>47</v>
      </c>
      <c r="C686" t="inlineStr">
        <is>
          <t>SPICE0-02</t>
        </is>
      </c>
      <c r="D686" t="inlineStr">
        <is>
          <t>SALT</t>
        </is>
      </c>
      <c r="E686" t="inlineStr">
        <is>
          <t>grams</t>
        </is>
      </c>
      <c r="F686" t="inlineStr">
        <is>
          <t>child</t>
        </is>
      </c>
      <c r="G686" t="inlineStr"/>
      <c r="H686" t="n">
        <v>3</v>
      </c>
      <c r="I686" t="inlineStr">
        <is>
          <t>stock_net</t>
        </is>
      </c>
      <c r="J686" t="inlineStr"/>
      <c r="K686" t="inlineStr"/>
      <c r="L686" t="inlineStr"/>
      <c r="M686" t="b">
        <v>1</v>
      </c>
      <c r="N686" t="inlineStr">
        <is>
          <t>consider_stock=false</t>
        </is>
      </c>
      <c r="O686" t="inlineStr"/>
      <c r="P686" t="inlineStr"/>
      <c r="Q686" t="inlineStr"/>
      <c r="R686" t="inlineStr">
        <is>
          <t>739.2236412417217823116827776</t>
        </is>
      </c>
      <c r="S686" t="inlineStr">
        <is>
          <t>739.2236412417217823116827776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recipe_code</t>
        </is>
      </c>
      <c r="C1" t="inlineStr">
        <is>
          <t>name</t>
        </is>
      </c>
      <c r="D1" t="inlineStr">
        <is>
          <t>system_kg</t>
        </is>
      </c>
      <c r="E1" t="inlineStr">
        <is>
          <t>unit</t>
        </is>
      </c>
      <c r="F1" t="inlineStr">
        <is>
          <t>fix</t>
        </is>
      </c>
    </row>
    <row r="2">
      <c r="A2" t="n">
        <v>31</v>
      </c>
      <c r="B2" t="inlineStr">
        <is>
          <t>VEGFRO-13</t>
        </is>
      </c>
      <c r="C2" t="inlineStr">
        <is>
          <t>RED PEPPER DICED 20MM (FROZEN)</t>
        </is>
      </c>
      <c r="D2" t="inlineStr">
        <is>
          <t>361.764705882</t>
        </is>
      </c>
      <c r="E2" t="inlineStr">
        <is>
          <t>grams</t>
        </is>
      </c>
      <c r="F2" t="inlineStr">
        <is>
          <t>in explode, not in Excel — extra BOM or code mismatch</t>
        </is>
      </c>
    </row>
    <row r="3">
      <c r="A3" t="n">
        <v>127</v>
      </c>
      <c r="B3" t="inlineStr">
        <is>
          <t>SAUCE0-01</t>
        </is>
      </c>
      <c r="C3" t="inlineStr">
        <is>
          <t>TOMATO CRUSHED (BLENDED)</t>
        </is>
      </c>
      <c r="D3" t="inlineStr">
        <is>
          <t>144.679506973</t>
        </is>
      </c>
      <c r="E3" t="inlineStr">
        <is>
          <t>grams</t>
        </is>
      </c>
      <c r="F3" t="inlineStr">
        <is>
          <t>in explode, not in Excel — extra BOM or code mismatch</t>
        </is>
      </c>
    </row>
    <row r="4">
      <c r="A4" t="n">
        <v>149</v>
      </c>
      <c r="B4" t="inlineStr">
        <is>
          <t>SAUCE0-22</t>
        </is>
      </c>
      <c r="C4" t="inlineStr">
        <is>
          <t>THAI RED CURRY PASTE</t>
        </is>
      </c>
      <c r="D4" t="inlineStr">
        <is>
          <t>17.252193116</t>
        </is>
      </c>
      <c r="E4" t="inlineStr">
        <is>
          <t>grams</t>
        </is>
      </c>
      <c r="F4" t="inlineStr">
        <is>
          <t>in explode, not in Excel — extra BOM or code mismatch</t>
        </is>
      </c>
    </row>
    <row r="5">
      <c r="A5" t="n">
        <v>152</v>
      </c>
      <c r="B5" t="inlineStr">
        <is>
          <t>SAUCE0-25</t>
        </is>
      </c>
      <c r="C5" t="inlineStr">
        <is>
          <t>VINEGAR RICE</t>
        </is>
      </c>
      <c r="D5" t="inlineStr">
        <is>
          <t>8.626096558</t>
        </is>
      </c>
      <c r="E5" t="inlineStr">
        <is>
          <t>grams</t>
        </is>
      </c>
      <c r="F5" t="inlineStr">
        <is>
          <t>in explode, not in Excel — extra BOM or code mismatch</t>
        </is>
      </c>
    </row>
    <row r="6">
      <c r="A6" t="n">
        <v>161</v>
      </c>
      <c r="B6" t="inlineStr">
        <is>
          <t>SAUCE0-35</t>
        </is>
      </c>
      <c r="C6" t="inlineStr">
        <is>
          <t>SOY SAUCE LIGHT</t>
        </is>
      </c>
      <c r="D6" t="inlineStr">
        <is>
          <t>25.878289673</t>
        </is>
      </c>
      <c r="E6" t="inlineStr">
        <is>
          <t>grams</t>
        </is>
      </c>
      <c r="F6" t="inlineStr">
        <is>
          <t>in explode, not in Excel — extra BOM or code mismatch</t>
        </is>
      </c>
    </row>
    <row r="7">
      <c r="A7" t="n">
        <v>213</v>
      </c>
      <c r="B7" t="inlineStr">
        <is>
          <t>INGRAD-38</t>
        </is>
      </c>
      <c r="C7" t="inlineStr">
        <is>
          <t>OLIVE OIL</t>
        </is>
      </c>
      <c r="D7" t="inlineStr">
        <is>
          <t>104.581886379</t>
        </is>
      </c>
      <c r="E7" t="inlineStr">
        <is>
          <t>grams</t>
        </is>
      </c>
      <c r="F7" t="inlineStr">
        <is>
          <t>in explode, not in Excel — extra BOM or code mismatch</t>
        </is>
      </c>
    </row>
    <row r="8">
      <c r="A8" t="n">
        <v>471</v>
      </c>
      <c r="B8" t="inlineStr">
        <is>
          <t>VEGCHI-56</t>
        </is>
      </c>
      <c r="C8" t="inlineStr">
        <is>
          <t>Sliced Kalamata Olives</t>
        </is>
      </c>
      <c r="D8" t="inlineStr">
        <is>
          <t>25.835626245</t>
        </is>
      </c>
      <c r="E8" t="inlineStr">
        <is>
          <t>grams</t>
        </is>
      </c>
      <c r="F8" t="inlineStr">
        <is>
          <t>in explode, not in Excel — extra BOM or code mismatch</t>
        </is>
      </c>
    </row>
    <row r="9">
      <c r="A9" t="n">
        <v>538</v>
      </c>
      <c r="B9" t="inlineStr">
        <is>
          <t>OC0021</t>
        </is>
      </c>
      <c r="C9" t="inlineStr">
        <is>
          <t>B187 Tray box (382x283x248) (1x320)</t>
        </is>
      </c>
      <c r="D9" t="inlineStr">
        <is>
          <t>0.662500</t>
        </is>
      </c>
      <c r="E9" t="inlineStr">
        <is>
          <t>grams</t>
        </is>
      </c>
      <c r="F9" t="inlineStr">
        <is>
          <t>in explode, not in Excel — extra BOM or code mismatch</t>
        </is>
      </c>
    </row>
    <row r="10">
      <c r="A10" t="n">
        <v>719</v>
      </c>
      <c r="B10" t="inlineStr">
        <is>
          <t>PKNOV001-01</t>
        </is>
      </c>
      <c r="C10" t="inlineStr">
        <is>
          <t>B187/60 Cuisine Kraft Tray</t>
        </is>
      </c>
      <c r="D10" t="inlineStr">
        <is>
          <t>1000.000000</t>
        </is>
      </c>
      <c r="E10" t="inlineStr">
        <is>
          <t>TRAY</t>
        </is>
      </c>
      <c r="F10" t="inlineStr">
        <is>
          <t>in explode, not in Excel — extra BOM or code mismatch</t>
        </is>
      </c>
    </row>
    <row r="11">
      <c r="A11" t="n">
        <v>720</v>
      </c>
      <c r="B11" t="inlineStr">
        <is>
          <t>PKNOV001-02</t>
        </is>
      </c>
      <c r="C11" t="inlineStr">
        <is>
          <t>B187/45 Cuisine Kraft Tray</t>
        </is>
      </c>
      <c r="D11" t="inlineStr">
        <is>
          <t>7000.000000</t>
        </is>
      </c>
      <c r="E11" t="inlineStr">
        <is>
          <t>TRAY</t>
        </is>
      </c>
      <c r="F11" t="inlineStr">
        <is>
          <t>in explode, not in Excel — extra BOM or code 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n">
        <v>181</v>
      </c>
    </row>
    <row r="2">
      <c r="A2" t="inlineStr">
        <is>
          <t>run_id</t>
        </is>
      </c>
      <c r="B2" t="n">
        <v>419</v>
      </c>
    </row>
    <row r="3">
      <c r="A3" t="inlineStr">
        <is>
          <t>dry_run</t>
        </is>
      </c>
      <c r="B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2026-09-14T16:53:31Z</dcterms:created>
  <dcterms:modified xsi:type="dcterms:W3CDTF">2026-09-14T16:53:31Z</dcterms:modified>
</cp:coreProperties>
</file>