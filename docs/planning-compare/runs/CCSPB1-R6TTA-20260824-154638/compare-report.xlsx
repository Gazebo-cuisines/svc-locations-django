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G lines" sheetId="1" state="visible" r:id="rId1"/>
    <sheet name="RM compare" sheetId="2" state="visible" r:id="rId2"/>
    <sheet name="System only" sheetId="3" state="visible" r:id="rId3"/>
    <sheet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&quot;%&quot;;-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excel_row</t>
        </is>
      </c>
      <c r="B1" t="inlineStr">
        <is>
          <t>excel_code</t>
        </is>
      </c>
      <c r="C1" t="inlineStr">
        <is>
          <t>excel_name</t>
        </is>
      </c>
      <c r="D1" t="inlineStr">
        <is>
          <t>cases</t>
        </is>
      </c>
      <c r="E1" t="inlineStr">
        <is>
          <t>packs</t>
        </is>
      </c>
      <c r="F1" t="inlineStr">
        <is>
          <t>explode_qty</t>
        </is>
      </c>
      <c r="G1" t="inlineStr">
        <is>
          <t>product_id</t>
        </is>
      </c>
      <c r="H1" t="inlineStr">
        <is>
          <t>recipe_code</t>
        </is>
      </c>
      <c r="I1" t="inlineStr">
        <is>
          <t>product_name</t>
        </is>
      </c>
      <c r="J1" t="inlineStr">
        <is>
          <t>match</t>
        </is>
      </c>
    </row>
    <row r="2">
      <c r="A2" t="n">
        <v>6</v>
      </c>
      <c r="B2" t="inlineStr">
        <is>
          <t>CCSPB1-R6TTA</t>
        </is>
      </c>
      <c r="C2" t="inlineStr">
        <is>
          <t>TA- Salt &amp; Pepper Chicken Bites</t>
        </is>
      </c>
      <c r="D2" t="inlineStr">
        <is>
          <t>2000</t>
        </is>
      </c>
      <c r="E2" t="inlineStr">
        <is>
          <t>2000</t>
        </is>
      </c>
      <c r="F2" t="inlineStr">
        <is>
          <t>2000</t>
        </is>
      </c>
      <c r="G2" t="n">
        <v>1017</v>
      </c>
      <c r="H2" t="inlineStr">
        <is>
          <t>CCSPB1-R6TTA</t>
        </is>
      </c>
      <c r="I2" t="inlineStr">
        <is>
          <t>TA - Salt &amp; Pepper Chicken Bites | 130G X 6</t>
        </is>
      </c>
      <c r="J2" t="inlineStr">
        <is>
          <t>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excel_code</t>
        </is>
      </c>
      <c r="B1" t="inlineStr">
        <is>
          <t>excel_name</t>
        </is>
      </c>
      <c r="C1" t="inlineStr">
        <is>
          <t>excel_g</t>
        </is>
      </c>
      <c r="D1" t="inlineStr">
        <is>
          <t>system_g</t>
        </is>
      </c>
      <c r="E1" t="inlineStr">
        <is>
          <t>diff</t>
        </is>
      </c>
      <c r="F1" t="inlineStr">
        <is>
          <t>percentage</t>
        </is>
      </c>
      <c r="G1" t="inlineStr">
        <is>
          <t>implied_yield_pct</t>
        </is>
      </c>
      <c r="H1" t="inlineStr">
        <is>
          <t>fix</t>
        </is>
      </c>
    </row>
    <row r="2">
      <c r="A2" t="inlineStr">
        <is>
          <t>AFFINITY</t>
        </is>
      </c>
      <c r="B2" t="inlineStr">
        <is>
          <t>Water</t>
        </is>
      </c>
      <c r="C2" t="n">
        <v>78000</v>
      </c>
      <c r="E2">
        <f>D2-C2</f>
        <v/>
      </c>
      <c r="F2" s="1">
        <f>(D2-C2)/C2*100</f>
        <v/>
      </c>
      <c r="H2" t="inlineStr">
        <is>
          <t>not in explode (missing BOM, or treated as intermediate because it has a recipe)</t>
        </is>
      </c>
    </row>
    <row r="3">
      <c r="A3" t="inlineStr">
        <is>
          <t>RMTOP001-16</t>
        </is>
      </c>
      <c r="B3" t="inlineStr">
        <is>
          <t>RICE FLOUR</t>
        </is>
      </c>
      <c r="C3" t="n">
        <v>39000</v>
      </c>
      <c r="D3" t="n">
        <v>34051.02415</v>
      </c>
      <c r="E3">
        <f>D3-C3</f>
        <v/>
      </c>
      <c r="F3" s="1">
        <f>(D3-C3)/C3*100</f>
        <v/>
      </c>
      <c r="G3" s="2">
        <f>D3/C3*100</f>
        <v/>
      </c>
      <c r="H3" t="inlineStr">
        <is>
          <t>recipe qty or yield vs Excel; confirm pack size</t>
        </is>
      </c>
    </row>
    <row r="4">
      <c r="A4" t="inlineStr">
        <is>
          <t>RMTOP001-64</t>
        </is>
      </c>
      <c r="B4" t="inlineStr">
        <is>
          <t>CHINESE FIVE SPICE POWDER</t>
        </is>
      </c>
      <c r="C4" t="n">
        <v>4680</v>
      </c>
      <c r="D4" t="n">
        <v>4086.122898</v>
      </c>
      <c r="E4">
        <f>D4-C4</f>
        <v/>
      </c>
      <c r="F4" s="1">
        <f>(D4-C4)/C4*100</f>
        <v/>
      </c>
      <c r="G4" s="2">
        <f>D4/C4*100</f>
        <v/>
      </c>
      <c r="H4" t="inlineStr">
        <is>
          <t>recipe qty or yield vs Excel; confirm pack size</t>
        </is>
      </c>
    </row>
    <row r="5">
      <c r="A5" t="inlineStr">
        <is>
          <t>RMVIR001-83</t>
        </is>
      </c>
      <c r="B5" t="inlineStr">
        <is>
          <t>Pepper Black Coarse HT (1X25 kg)</t>
        </is>
      </c>
      <c r="C5" t="n">
        <v>7800</v>
      </c>
      <c r="D5" t="n">
        <v>6810.20483</v>
      </c>
      <c r="E5">
        <f>D5-C5</f>
        <v/>
      </c>
      <c r="F5" s="1">
        <f>(D5-C5)/C5*100</f>
        <v/>
      </c>
      <c r="G5" s="2">
        <f>D5/C5*100</f>
        <v/>
      </c>
      <c r="H5" t="inlineStr">
        <is>
          <t>recipe qty or yield vs Excel; confirm pack size</t>
        </is>
      </c>
    </row>
    <row r="6">
      <c r="A6" t="inlineStr">
        <is>
          <t>RMVIR001-85</t>
        </is>
      </c>
      <c r="B6" t="inlineStr">
        <is>
          <t>GARLIC MINCED 1-2.5MM (1x10kg)</t>
        </is>
      </c>
      <c r="C6" t="n">
        <v>7800</v>
      </c>
      <c r="D6" t="n">
        <v>6810.20483</v>
      </c>
      <c r="E6">
        <f>D6-C6</f>
        <v/>
      </c>
      <c r="F6" s="1">
        <f>(D6-C6)/C6*100</f>
        <v/>
      </c>
      <c r="G6" s="2">
        <f>D6/C6*100</f>
        <v/>
      </c>
      <c r="H6" t="inlineStr">
        <is>
          <t>recipe qty or yield vs Excel; confirm pack size</t>
        </is>
      </c>
    </row>
    <row r="7">
      <c r="A7" t="inlineStr">
        <is>
          <t>RMELL001-02</t>
        </is>
      </c>
      <c r="B7" t="inlineStr">
        <is>
          <t>5% Malt Vinegar with Malt Extract (1 x 25 ltr)</t>
        </is>
      </c>
      <c r="C7" t="n">
        <v>31200</v>
      </c>
      <c r="D7" t="n">
        <v>27240.81932</v>
      </c>
      <c r="E7">
        <f>D7-C7</f>
        <v/>
      </c>
      <c r="F7" s="1">
        <f>(D7-C7)/C7*100</f>
        <v/>
      </c>
      <c r="G7" s="2">
        <f>D7/C7*100</f>
        <v/>
      </c>
      <c r="H7" t="inlineStr">
        <is>
          <t>recipe qty or yield vs Excel; confirm pack size</t>
        </is>
      </c>
    </row>
    <row r="8">
      <c r="A8" t="inlineStr">
        <is>
          <t>RMKEN003-01</t>
        </is>
      </c>
      <c r="B8" t="inlineStr">
        <is>
          <t>SUCRANNA GRANULATED SUGAR ( Order 40 Bags)</t>
        </is>
      </c>
      <c r="C8" t="n">
        <v>7800</v>
      </c>
      <c r="E8">
        <f>D8-C8</f>
        <v/>
      </c>
      <c r="F8" s="1">
        <f>(D8-C8)/C8*100</f>
        <v/>
      </c>
      <c r="H8" t="inlineStr">
        <is>
          <t>not in explode (missing BOM, or treated as intermediate because it has a recipe)</t>
        </is>
      </c>
    </row>
    <row r="9">
      <c r="A9" t="inlineStr">
        <is>
          <t>RMKEN003-02</t>
        </is>
      </c>
      <c r="B9" t="inlineStr">
        <is>
          <t>PDV SALT ( Order 49 Bags)</t>
        </is>
      </c>
      <c r="C9" t="n">
        <v>312</v>
      </c>
      <c r="E9">
        <f>D9-C9</f>
        <v/>
      </c>
      <c r="F9" s="1">
        <f>(D9-C9)/C9*100</f>
        <v/>
      </c>
      <c r="H9" t="inlineStr">
        <is>
          <t>not in explode (missing BOM, or treated as intermediate because it has a recipe)</t>
        </is>
      </c>
    </row>
    <row r="10">
      <c r="A10" t="inlineStr">
        <is>
          <t>RMHAR002-34</t>
        </is>
      </c>
      <c r="B10" t="inlineStr">
        <is>
          <t>IQF Red Chilli Puree</t>
        </is>
      </c>
      <c r="C10" t="n">
        <v>31200</v>
      </c>
      <c r="D10" t="n">
        <v>27240.81932</v>
      </c>
      <c r="E10">
        <f>D10-C10</f>
        <v/>
      </c>
      <c r="F10" s="1">
        <f>(D10-C10)/C10*100</f>
        <v/>
      </c>
      <c r="G10" s="2">
        <f>D10/C10*100</f>
        <v/>
      </c>
      <c r="H10" t="inlineStr">
        <is>
          <t>recipe qty or yield vs Excel; confirm pack size</t>
        </is>
      </c>
    </row>
    <row r="11">
      <c r="A11" t="inlineStr">
        <is>
          <t>RMUNI001-05</t>
        </is>
      </c>
      <c r="B11" t="inlineStr">
        <is>
          <t>Corn Flour</t>
        </is>
      </c>
      <c r="C11" t="n">
        <v>39000</v>
      </c>
      <c r="D11" t="n">
        <v>34051.02415</v>
      </c>
      <c r="E11">
        <f>D11-C11</f>
        <v/>
      </c>
      <c r="F11" s="1">
        <f>(D11-C11)/C11*100</f>
        <v/>
      </c>
      <c r="G11" s="2">
        <f>D11/C11*100</f>
        <v/>
      </c>
      <c r="H11" t="inlineStr">
        <is>
          <t>recipe qty or yield vs Excel; confirm pack size</t>
        </is>
      </c>
    </row>
    <row r="12">
      <c r="A12" t="inlineStr">
        <is>
          <t>RMJFC001-06</t>
        </is>
      </c>
      <c r="B12" t="inlineStr">
        <is>
          <t>KIKKOMAN SOY SAUCE (S) 20L</t>
        </is>
      </c>
      <c r="C12" t="n">
        <v>43680</v>
      </c>
      <c r="D12" t="n">
        <v>38137.147048</v>
      </c>
      <c r="E12">
        <f>D12-C12</f>
        <v/>
      </c>
      <c r="F12" s="1">
        <f>(D12-C12)/C12*100</f>
        <v/>
      </c>
      <c r="G12" s="2">
        <f>D12/C12*100</f>
        <v/>
      </c>
      <c r="H12" t="inlineStr">
        <is>
          <t>recipe qty or yield vs Excel; confirm pack size</t>
        </is>
      </c>
    </row>
    <row r="13">
      <c r="A13" t="inlineStr">
        <is>
          <t>RMHUS001-05</t>
        </is>
      </c>
      <c r="B13" t="inlineStr">
        <is>
          <t>Diced CHICKEN THIGH FILLET 18-22mm</t>
        </is>
      </c>
      <c r="C13" t="n">
        <v>1560000</v>
      </c>
      <c r="D13" t="n">
        <v>1362040.966001</v>
      </c>
      <c r="E13">
        <f>D13-C13</f>
        <v/>
      </c>
      <c r="F13" s="1">
        <f>(D13-C13)/C13*100</f>
        <v/>
      </c>
      <c r="G13" s="2">
        <f>D13/C13*100</f>
        <v/>
      </c>
      <c r="H13" t="inlineStr">
        <is>
          <t>recipe qty or yield vs Excel; confirm pack size</t>
        </is>
      </c>
    </row>
    <row r="14">
      <c r="A14" t="inlineStr">
        <is>
          <t>RMSOL001-01</t>
        </is>
      </c>
      <c r="B14" t="inlineStr">
        <is>
          <t>Gluten free Bread Crumbs (1X12.5KG)(MOQ:1000KG)</t>
        </is>
      </c>
      <c r="C14" t="n">
        <v>780000</v>
      </c>
      <c r="E14">
        <f>D14-C14</f>
        <v/>
      </c>
      <c r="F14" s="1">
        <f>(D14-C14)/C14*100</f>
        <v/>
      </c>
      <c r="H14" t="inlineStr">
        <is>
          <t>not in explode (missing BOM, or treated as intermediate because it has a recipe)</t>
        </is>
      </c>
    </row>
  </sheetData>
  <conditionalFormatting sqref="F2:F14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recipe_code</t>
        </is>
      </c>
      <c r="C1" t="inlineStr">
        <is>
          <t>name</t>
        </is>
      </c>
      <c r="D1" t="inlineStr">
        <is>
          <t>system_kg</t>
        </is>
      </c>
      <c r="E1" t="inlineStr">
        <is>
          <t>unit</t>
        </is>
      </c>
      <c r="F1" t="inlineStr">
        <is>
          <t>fix</t>
        </is>
      </c>
    </row>
    <row r="2">
      <c r="A2" t="n">
        <v>488</v>
      </c>
      <c r="B2" t="inlineStr">
        <is>
          <t>INGRAD-76</t>
        </is>
      </c>
      <c r="C2" t="inlineStr">
        <is>
          <t>PANCO BREAD CRUMBS</t>
        </is>
      </c>
      <c r="D2" t="inlineStr">
        <is>
          <t>681.020483001</t>
        </is>
      </c>
      <c r="E2" t="inlineStr">
        <is>
          <t>grams</t>
        </is>
      </c>
      <c r="F2" t="inlineStr">
        <is>
          <t>in explode, not in Excel — extra BOM or code mismatch</t>
        </is>
      </c>
    </row>
    <row r="3">
      <c r="A3" t="n">
        <v>537</v>
      </c>
      <c r="B3" t="inlineStr">
        <is>
          <t>OC0020</t>
        </is>
      </c>
      <c r="C3" t="inlineStr">
        <is>
          <t>Takul Grab &amp; Go x 6 tubs (1x1280)</t>
        </is>
      </c>
      <c r="D3" t="inlineStr">
        <is>
          <t>2.000000</t>
        </is>
      </c>
      <c r="E3" t="inlineStr">
        <is>
          <t>grams</t>
        </is>
      </c>
      <c r="F3" t="inlineStr">
        <is>
          <t>in explode, not in Excel — extra BOM or code mismatch</t>
        </is>
      </c>
    </row>
    <row r="4">
      <c r="A4" t="n">
        <v>665</v>
      </c>
      <c r="B4" t="inlineStr">
        <is>
          <t>S9850-3</t>
        </is>
      </c>
      <c r="C4" t="inlineStr">
        <is>
          <t>TK - S&amp;P Chick Bites | 130G | S9850</t>
        </is>
      </c>
      <c r="D4" t="inlineStr">
        <is>
          <t>12000.000000</t>
        </is>
      </c>
      <c r="E4" t="inlineStr">
        <is>
          <t>unit</t>
        </is>
      </c>
      <c r="F4" t="inlineStr">
        <is>
          <t>in explode, not in Excel — extra BOM or code mismatch</t>
        </is>
      </c>
    </row>
    <row r="5">
      <c r="A5" t="n">
        <v>1490</v>
      </c>
      <c r="B5" t="inlineStr">
        <is>
          <t>PKKMP001-08-TEMP</t>
        </is>
      </c>
      <c r="C5" t="inlineStr">
        <is>
          <t>FILM - K peel 7G+25A/f-240mm (240mmX1000)</t>
        </is>
      </c>
      <c r="D5" t="inlineStr">
        <is>
          <t>2400.000000</t>
        </is>
      </c>
      <c r="E5" t="inlineStr">
        <is>
          <t>unit</t>
        </is>
      </c>
      <c r="F5" t="inlineStr">
        <is>
          <t>in explode, not in Excel — extra BOM or code mismatch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plan_id</t>
        </is>
      </c>
      <c r="B1" t="n">
        <v>32</v>
      </c>
    </row>
    <row r="2">
      <c r="A2" t="inlineStr">
        <is>
          <t>run_id</t>
        </is>
      </c>
      <c r="B2" t="n">
        <v>77</v>
      </c>
    </row>
    <row r="3">
      <c r="A3" t="inlineStr">
        <is>
          <t>dry_run</t>
        </is>
      </c>
      <c r="B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2026-08-24T14:50:25Z</dcterms:created>
  <dcterms:modified xsi:type="dcterms:W3CDTF">2026-08-24T14:50:25Z</dcterms:modified>
</cp:coreProperties>
</file>