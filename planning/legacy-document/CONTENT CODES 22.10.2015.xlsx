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fileSharing readOnlyRecommended="1" userName="Sales Admin" algorithmName="SHA-512" hashValue="Dw+OBFRU/0oWPN0E70uiR/3KZj3Qq2fKRynewfzXhDE3q6EQmspuWM+1euW5q+LH0LOXSMsqrv71Cz15Ke5iSw==" saltValue="mIF1QYVvXPpsgyiA4GSYMg==" spinCount="100000"/>
  <workbookPr backupFile="1" codeName="ThisWorkbook"/>
  <mc:AlternateContent xmlns:mc="http://schemas.openxmlformats.org/markup-compatibility/2006">
    <mc:Choice Requires="x15">
      <x15ac:absPath xmlns:x15ac="http://schemas.microsoft.com/office/spreadsheetml/2010/11/ac" url="Y:\Product Database\MASTER INGREDIENT\Contents\"/>
    </mc:Choice>
  </mc:AlternateContent>
  <xr:revisionPtr revIDLastSave="0" documentId="13_ncr:10001_{963EC8AB-5CF6-4121-8238-DF40A674BF0D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ALL CONTENTS" sheetId="1" state="hidden" r:id="rId1"/>
    <sheet name="Sheet2" sheetId="3" state="hidden" r:id="rId2"/>
    <sheet name="Sheet3" sheetId="4" state="hidden" r:id="rId3"/>
    <sheet name="Sheet1" sheetId="5" state="hidden" r:id="rId4"/>
    <sheet name="Master File" sheetId="2" r:id="rId5"/>
    <sheet name="Changes" sheetId="6" r:id="rId6"/>
    <sheet name="Mater Recipe Sheet" sheetId="7" state="hidden" r:id="rId7"/>
  </sheets>
  <definedNames>
    <definedName name="_xlnm._FilterDatabase" localSheetId="0" hidden="1">'ALL CONTENTS'!$A$2:$CM$211</definedName>
    <definedName name="_xlnm._FilterDatabase" localSheetId="5" hidden="1">Changes!$A$1:$B$1</definedName>
    <definedName name="_xlnm._FilterDatabase" localSheetId="4" hidden="1">'Master File'!$A$2:$Z$733</definedName>
    <definedName name="_xlnm._FilterDatabase" localSheetId="6" hidden="1">'Mater Recipe Sheet'!$A$1:$V$144</definedName>
    <definedName name="_xlnm._FilterDatabase" localSheetId="1" hidden="1">Sheet2!$A$1:$A$254</definedName>
    <definedName name="Z_B1221BD8_8E00_46E8_8D60_4A56740AF862_.wvu.Cols" localSheetId="0" hidden="1">'ALL CONTENTS'!$I:$K</definedName>
    <definedName name="Z_B1221BD8_8E00_46E8_8D60_4A56740AF862_.wvu.FilterData" localSheetId="0" hidden="1">'ALL CONTENTS'!$A$2:$CM$211</definedName>
    <definedName name="Z_B1221BD8_8E00_46E8_8D60_4A56740AF862_.wvu.FilterData" localSheetId="4" hidden="1">'Master File'!$A$2:$W$214</definedName>
    <definedName name="Z_B1221BD8_8E00_46E8_8D60_4A56740AF862_.wvu.FilterData" localSheetId="6" hidden="1">'Mater Recipe Sheet'!$A$1:$V$144</definedName>
    <definedName name="Z_B1221BD8_8E00_46E8_8D60_4A56740AF862_.wvu.FilterData" localSheetId="1" hidden="1">Sheet2!$A$1:$A$254</definedName>
  </definedNames>
  <calcPr calcId="191029"/>
  <customWorkbookViews>
    <customWorkbookView name="Sales Admin - Personal View" guid="{B1221BD8-8E00-46E8-8D60-4A56740AF862}" mergeInterval="0" personalView="1" maximized="1" xWindow="-8" yWindow="-8" windowWidth="1936" windowHeight="1056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734" i="2" l="1"/>
  <c r="I734" i="2"/>
  <c r="P734" i="2"/>
  <c r="I733" i="2"/>
  <c r="P733" i="2"/>
  <c r="P731" i="2"/>
  <c r="P732" i="2"/>
  <c r="P723" i="2"/>
  <c r="P724" i="2"/>
  <c r="P725" i="2"/>
  <c r="P726" i="2"/>
  <c r="P727" i="2"/>
  <c r="P728" i="2"/>
  <c r="P729" i="2"/>
  <c r="P730" i="2"/>
  <c r="P721" i="2"/>
  <c r="P722" i="2"/>
  <c r="P719" i="2"/>
  <c r="P720" i="2"/>
  <c r="P716" i="2"/>
  <c r="P717" i="2"/>
  <c r="P718" i="2"/>
  <c r="P706" i="2"/>
  <c r="P707" i="2"/>
  <c r="P708" i="2"/>
  <c r="P709" i="2"/>
  <c r="P710" i="2"/>
  <c r="P711" i="2"/>
  <c r="P712" i="2"/>
  <c r="P713" i="2"/>
  <c r="P714" i="2"/>
  <c r="P715" i="2"/>
  <c r="P704" i="2"/>
  <c r="P705" i="2"/>
  <c r="P701" i="2"/>
  <c r="P702" i="2"/>
  <c r="P703" i="2"/>
  <c r="P698" i="2"/>
  <c r="P699" i="2"/>
  <c r="P700" i="2"/>
  <c r="P696" i="2"/>
  <c r="P697" i="2"/>
  <c r="P693" i="2"/>
  <c r="P695" i="2"/>
  <c r="P688" i="2"/>
  <c r="P689" i="2"/>
  <c r="P690" i="2"/>
  <c r="P691" i="2"/>
  <c r="P692" i="2"/>
  <c r="P682" i="2"/>
  <c r="P683" i="2"/>
  <c r="P684" i="2"/>
  <c r="P685" i="2"/>
  <c r="P686" i="2"/>
  <c r="P687" i="2"/>
  <c r="P680" i="2"/>
  <c r="P681" i="2"/>
  <c r="P678" i="2"/>
  <c r="P679" i="2"/>
  <c r="P673" i="2"/>
  <c r="P674" i="2"/>
  <c r="P675" i="2"/>
  <c r="P676" i="2"/>
  <c r="P677" i="2"/>
  <c r="P668" i="2"/>
  <c r="P669" i="2"/>
  <c r="P670" i="2"/>
  <c r="P671" i="2"/>
  <c r="P672" i="2"/>
  <c r="U661" i="2"/>
  <c r="T661" i="2"/>
  <c r="S661" i="2"/>
  <c r="R661" i="2"/>
  <c r="U663" i="2"/>
  <c r="T663" i="2"/>
  <c r="S663" i="2"/>
  <c r="R663" i="2"/>
  <c r="U665" i="2"/>
  <c r="T665" i="2"/>
  <c r="S665" i="2"/>
  <c r="R665" i="2"/>
  <c r="U640" i="2"/>
  <c r="T640" i="2"/>
  <c r="S640" i="2"/>
  <c r="R640" i="2"/>
  <c r="U659" i="2"/>
  <c r="T659" i="2"/>
  <c r="S659" i="2"/>
  <c r="R659" i="2"/>
  <c r="U631" i="2"/>
  <c r="T631" i="2"/>
  <c r="S631" i="2"/>
  <c r="R631" i="2"/>
  <c r="P664" i="2"/>
  <c r="P665" i="2"/>
  <c r="P666" i="2"/>
  <c r="P667" i="2"/>
  <c r="P660" i="2" l="1"/>
  <c r="P661" i="2"/>
  <c r="P662" i="2"/>
  <c r="P663" i="2"/>
  <c r="P657" i="2"/>
  <c r="P658" i="2"/>
  <c r="P659" i="2"/>
  <c r="P653" i="2" l="1"/>
  <c r="P654" i="2"/>
  <c r="P655" i="2"/>
  <c r="P656" i="2"/>
  <c r="P134" i="2"/>
  <c r="P652" i="2" l="1"/>
  <c r="P651" i="2"/>
  <c r="P646" i="2"/>
  <c r="P647" i="2"/>
  <c r="P648" i="2"/>
  <c r="P649" i="2"/>
  <c r="P650" i="2"/>
  <c r="P645" i="2"/>
  <c r="P643" i="2" l="1"/>
  <c r="P644" i="2"/>
  <c r="P639" i="2"/>
  <c r="P640" i="2"/>
  <c r="P641" i="2"/>
  <c r="P642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20" i="2"/>
  <c r="P621" i="2"/>
  <c r="P622" i="2"/>
  <c r="P623" i="2"/>
  <c r="P624" i="2"/>
  <c r="P611" i="2"/>
  <c r="P612" i="2"/>
  <c r="P613" i="2"/>
  <c r="P614" i="2"/>
  <c r="P615" i="2"/>
  <c r="P616" i="2"/>
  <c r="P617" i="2"/>
  <c r="P618" i="2"/>
  <c r="P619" i="2"/>
  <c r="P605" i="2"/>
  <c r="P606" i="2"/>
  <c r="P607" i="2"/>
  <c r="P608" i="2"/>
  <c r="P609" i="2"/>
  <c r="P610" i="2"/>
  <c r="P604" i="2"/>
  <c r="P599" i="2"/>
  <c r="P600" i="2"/>
  <c r="P601" i="2"/>
  <c r="P602" i="2"/>
  <c r="P603" i="2"/>
  <c r="P598" i="2"/>
  <c r="P597" i="2"/>
  <c r="P591" i="2"/>
  <c r="P592" i="2"/>
  <c r="P593" i="2"/>
  <c r="P594" i="2"/>
  <c r="P595" i="2"/>
  <c r="P596" i="2"/>
  <c r="P590" i="2"/>
  <c r="P582" i="2"/>
  <c r="P583" i="2"/>
  <c r="P584" i="2"/>
  <c r="P585" i="2"/>
  <c r="P586" i="2"/>
  <c r="P587" i="2"/>
  <c r="P588" i="2"/>
  <c r="P589" i="2"/>
  <c r="P575" i="2"/>
  <c r="P576" i="2"/>
  <c r="P577" i="2"/>
  <c r="P578" i="2"/>
  <c r="P579" i="2"/>
  <c r="P580" i="2"/>
  <c r="P581" i="2"/>
  <c r="P573" i="2" l="1"/>
  <c r="P574" i="2"/>
  <c r="P568" i="2" l="1"/>
  <c r="P569" i="2"/>
  <c r="P570" i="2"/>
  <c r="P571" i="2"/>
  <c r="P572" i="2"/>
  <c r="U562" i="2" l="1"/>
  <c r="T562" i="2"/>
  <c r="S562" i="2"/>
  <c r="R562" i="2"/>
  <c r="U549" i="2"/>
  <c r="T549" i="2"/>
  <c r="S549" i="2"/>
  <c r="R549" i="2"/>
  <c r="U548" i="2"/>
  <c r="T548" i="2"/>
  <c r="S548" i="2"/>
  <c r="R548" i="2"/>
  <c r="U547" i="2"/>
  <c r="T547" i="2"/>
  <c r="S547" i="2"/>
  <c r="R547" i="2"/>
  <c r="U546" i="2"/>
  <c r="T546" i="2"/>
  <c r="S546" i="2"/>
  <c r="R546" i="2"/>
  <c r="U545" i="2"/>
  <c r="T545" i="2"/>
  <c r="S545" i="2"/>
  <c r="R545" i="2"/>
  <c r="U543" i="2"/>
  <c r="T543" i="2"/>
  <c r="S543" i="2"/>
  <c r="R543" i="2"/>
  <c r="U542" i="2"/>
  <c r="T542" i="2"/>
  <c r="S542" i="2"/>
  <c r="R542" i="2"/>
  <c r="U541" i="2"/>
  <c r="T541" i="2"/>
  <c r="S541" i="2"/>
  <c r="R541" i="2"/>
  <c r="U525" i="2"/>
  <c r="T525" i="2"/>
  <c r="S525" i="2"/>
  <c r="R525" i="2"/>
  <c r="U518" i="2"/>
  <c r="T518" i="2"/>
  <c r="S518" i="2"/>
  <c r="R518" i="2"/>
  <c r="U510" i="2"/>
  <c r="T510" i="2"/>
  <c r="S510" i="2"/>
  <c r="R510" i="2"/>
  <c r="U502" i="2"/>
  <c r="T502" i="2"/>
  <c r="S502" i="2"/>
  <c r="R502" i="2"/>
  <c r="U492" i="2"/>
  <c r="T492" i="2"/>
  <c r="S492" i="2"/>
  <c r="R492" i="2"/>
  <c r="U498" i="2"/>
  <c r="T498" i="2"/>
  <c r="S498" i="2"/>
  <c r="R498" i="2"/>
  <c r="U491" i="2"/>
  <c r="T491" i="2"/>
  <c r="S491" i="2"/>
  <c r="R491" i="2"/>
  <c r="U489" i="2"/>
  <c r="T489" i="2"/>
  <c r="S489" i="2"/>
  <c r="R489" i="2"/>
  <c r="U488" i="2"/>
  <c r="T488" i="2"/>
  <c r="S488" i="2"/>
  <c r="R488" i="2"/>
  <c r="U466" i="2"/>
  <c r="T466" i="2"/>
  <c r="S466" i="2"/>
  <c r="R466" i="2"/>
  <c r="U446" i="2"/>
  <c r="T446" i="2"/>
  <c r="S446" i="2"/>
  <c r="R446" i="2"/>
  <c r="U465" i="2"/>
  <c r="T465" i="2"/>
  <c r="S465" i="2"/>
  <c r="R465" i="2"/>
  <c r="U464" i="2"/>
  <c r="T464" i="2"/>
  <c r="S464" i="2"/>
  <c r="R464" i="2"/>
  <c r="U438" i="2"/>
  <c r="T438" i="2"/>
  <c r="S438" i="2"/>
  <c r="R438" i="2"/>
  <c r="U439" i="2"/>
  <c r="T439" i="2"/>
  <c r="S439" i="2"/>
  <c r="R439" i="2"/>
  <c r="U437" i="2"/>
  <c r="T437" i="2"/>
  <c r="S437" i="2"/>
  <c r="R437" i="2"/>
  <c r="U433" i="2"/>
  <c r="T433" i="2"/>
  <c r="S433" i="2"/>
  <c r="R433" i="2"/>
  <c r="U430" i="2"/>
  <c r="T430" i="2"/>
  <c r="S430" i="2"/>
  <c r="R430" i="2"/>
  <c r="U424" i="2"/>
  <c r="T424" i="2"/>
  <c r="S424" i="2"/>
  <c r="R424" i="2"/>
  <c r="U402" i="2"/>
  <c r="T402" i="2"/>
  <c r="S402" i="2"/>
  <c r="R402" i="2"/>
  <c r="U401" i="2"/>
  <c r="T401" i="2"/>
  <c r="S401" i="2"/>
  <c r="R401" i="2"/>
  <c r="U395" i="2"/>
  <c r="T395" i="2"/>
  <c r="S395" i="2"/>
  <c r="R395" i="2"/>
  <c r="U390" i="2"/>
  <c r="T390" i="2"/>
  <c r="S390" i="2"/>
  <c r="R390" i="2"/>
  <c r="U378" i="2"/>
  <c r="T378" i="2"/>
  <c r="S378" i="2"/>
  <c r="R378" i="2"/>
  <c r="U377" i="2"/>
  <c r="T377" i="2"/>
  <c r="S377" i="2"/>
  <c r="R377" i="2"/>
  <c r="U376" i="2"/>
  <c r="T376" i="2"/>
  <c r="S376" i="2"/>
  <c r="R376" i="2"/>
  <c r="U375" i="2"/>
  <c r="T375" i="2"/>
  <c r="S375" i="2"/>
  <c r="R375" i="2"/>
  <c r="U343" i="2"/>
  <c r="T343" i="2"/>
  <c r="S343" i="2"/>
  <c r="R343" i="2"/>
  <c r="U342" i="2"/>
  <c r="T342" i="2"/>
  <c r="S342" i="2"/>
  <c r="R342" i="2"/>
  <c r="U338" i="2"/>
  <c r="T338" i="2"/>
  <c r="S338" i="2"/>
  <c r="R338" i="2"/>
  <c r="U336" i="2"/>
  <c r="T336" i="2"/>
  <c r="S336" i="2"/>
  <c r="R336" i="2"/>
  <c r="U310" i="2"/>
  <c r="T310" i="2"/>
  <c r="S310" i="2"/>
  <c r="R310" i="2"/>
  <c r="U303" i="2"/>
  <c r="T303" i="2"/>
  <c r="S303" i="2"/>
  <c r="R303" i="2"/>
  <c r="U302" i="2"/>
  <c r="T302" i="2"/>
  <c r="S302" i="2"/>
  <c r="R302" i="2"/>
  <c r="U271" i="2"/>
  <c r="T271" i="2"/>
  <c r="S271" i="2"/>
  <c r="R271" i="2"/>
  <c r="U270" i="2"/>
  <c r="T270" i="2"/>
  <c r="S270" i="2"/>
  <c r="R270" i="2"/>
  <c r="U260" i="2"/>
  <c r="T260" i="2"/>
  <c r="S260" i="2"/>
  <c r="R260" i="2"/>
  <c r="U259" i="2"/>
  <c r="T259" i="2"/>
  <c r="S259" i="2"/>
  <c r="R259" i="2"/>
  <c r="U258" i="2"/>
  <c r="T258" i="2"/>
  <c r="S258" i="2"/>
  <c r="R258" i="2"/>
  <c r="U257" i="2"/>
  <c r="T257" i="2"/>
  <c r="S257" i="2"/>
  <c r="R257" i="2"/>
  <c r="U233" i="2"/>
  <c r="T233" i="2"/>
  <c r="S233" i="2"/>
  <c r="R233" i="2"/>
  <c r="U231" i="2"/>
  <c r="T231" i="2"/>
  <c r="S231" i="2"/>
  <c r="R231" i="2"/>
  <c r="U228" i="2"/>
  <c r="T228" i="2"/>
  <c r="S228" i="2"/>
  <c r="R228" i="2"/>
  <c r="U227" i="2"/>
  <c r="T227" i="2"/>
  <c r="S227" i="2"/>
  <c r="R227" i="2"/>
  <c r="U226" i="2"/>
  <c r="T226" i="2"/>
  <c r="S226" i="2"/>
  <c r="R226" i="2"/>
  <c r="U225" i="2"/>
  <c r="T225" i="2"/>
  <c r="S225" i="2"/>
  <c r="R225" i="2"/>
  <c r="U217" i="2"/>
  <c r="T217" i="2"/>
  <c r="S217" i="2"/>
  <c r="R217" i="2"/>
  <c r="U216" i="2"/>
  <c r="T216" i="2"/>
  <c r="S216" i="2"/>
  <c r="R216" i="2"/>
  <c r="U203" i="2"/>
  <c r="T203" i="2"/>
  <c r="S203" i="2"/>
  <c r="R203" i="2"/>
  <c r="U199" i="2"/>
  <c r="T199" i="2"/>
  <c r="S199" i="2"/>
  <c r="R199" i="2"/>
  <c r="U182" i="2"/>
  <c r="T182" i="2"/>
  <c r="S182" i="2"/>
  <c r="R182" i="2"/>
  <c r="U175" i="2"/>
  <c r="T175" i="2"/>
  <c r="S175" i="2"/>
  <c r="R175" i="2"/>
  <c r="U129" i="2"/>
  <c r="T129" i="2"/>
  <c r="S129" i="2"/>
  <c r="R129" i="2"/>
  <c r="U128" i="2"/>
  <c r="T128" i="2"/>
  <c r="S128" i="2"/>
  <c r="R128" i="2"/>
  <c r="U127" i="2"/>
  <c r="T127" i="2"/>
  <c r="S127" i="2"/>
  <c r="R127" i="2"/>
  <c r="U126" i="2"/>
  <c r="T126" i="2"/>
  <c r="S126" i="2"/>
  <c r="R126" i="2"/>
  <c r="U93" i="2"/>
  <c r="T93" i="2"/>
  <c r="S93" i="2"/>
  <c r="R93" i="2"/>
  <c r="U92" i="2"/>
  <c r="T92" i="2"/>
  <c r="S92" i="2"/>
  <c r="R92" i="2"/>
  <c r="U91" i="2"/>
  <c r="T91" i="2"/>
  <c r="S91" i="2"/>
  <c r="R91" i="2"/>
  <c r="U89" i="2"/>
  <c r="T89" i="2"/>
  <c r="S89" i="2"/>
  <c r="R89" i="2"/>
  <c r="U85" i="2"/>
  <c r="T85" i="2"/>
  <c r="S85" i="2"/>
  <c r="R85" i="2"/>
  <c r="U44" i="2"/>
  <c r="T44" i="2"/>
  <c r="S44" i="2"/>
  <c r="R44" i="2"/>
  <c r="U43" i="2"/>
  <c r="T43" i="2"/>
  <c r="S43" i="2"/>
  <c r="R43" i="2"/>
  <c r="U42" i="2"/>
  <c r="T42" i="2"/>
  <c r="S42" i="2"/>
  <c r="R42" i="2"/>
  <c r="U41" i="2"/>
  <c r="T41" i="2"/>
  <c r="S41" i="2"/>
  <c r="R41" i="2"/>
  <c r="U40" i="2"/>
  <c r="T40" i="2"/>
  <c r="S40" i="2"/>
  <c r="R40" i="2"/>
  <c r="U36" i="2"/>
  <c r="T36" i="2"/>
  <c r="S36" i="2"/>
  <c r="R36" i="2"/>
  <c r="U35" i="2"/>
  <c r="T35" i="2"/>
  <c r="S35" i="2"/>
  <c r="R35" i="2"/>
  <c r="U33" i="2"/>
  <c r="T33" i="2"/>
  <c r="S33" i="2"/>
  <c r="R33" i="2"/>
  <c r="U31" i="2"/>
  <c r="T31" i="2"/>
  <c r="S31" i="2"/>
  <c r="R31" i="2"/>
  <c r="U25" i="2"/>
  <c r="T25" i="2"/>
  <c r="S25" i="2"/>
  <c r="R25" i="2"/>
  <c r="U24" i="2"/>
  <c r="T24" i="2"/>
  <c r="S24" i="2"/>
  <c r="R24" i="2"/>
  <c r="U21" i="2"/>
  <c r="T21" i="2"/>
  <c r="S21" i="2"/>
  <c r="R21" i="2"/>
  <c r="U20" i="2"/>
  <c r="T20" i="2"/>
  <c r="S20" i="2"/>
  <c r="R20" i="2"/>
  <c r="U19" i="2"/>
  <c r="T19" i="2"/>
  <c r="S19" i="2"/>
  <c r="R19" i="2"/>
  <c r="U18" i="2"/>
  <c r="T18" i="2"/>
  <c r="S18" i="2"/>
  <c r="R18" i="2"/>
  <c r="U17" i="2"/>
  <c r="T17" i="2"/>
  <c r="S17" i="2"/>
  <c r="R17" i="2"/>
  <c r="U16" i="2"/>
  <c r="T16" i="2"/>
  <c r="S16" i="2"/>
  <c r="R16" i="2"/>
  <c r="U15" i="2"/>
  <c r="T15" i="2"/>
  <c r="S15" i="2"/>
  <c r="R15" i="2"/>
  <c r="U14" i="2"/>
  <c r="T14" i="2"/>
  <c r="S14" i="2"/>
  <c r="R14" i="2"/>
  <c r="U13" i="2"/>
  <c r="T13" i="2"/>
  <c r="S13" i="2"/>
  <c r="R13" i="2"/>
  <c r="U12" i="2"/>
  <c r="T12" i="2"/>
  <c r="S12" i="2"/>
  <c r="R12" i="2"/>
  <c r="U10" i="2"/>
  <c r="T10" i="2"/>
  <c r="S10" i="2"/>
  <c r="R10" i="2"/>
  <c r="U8" i="2"/>
  <c r="T8" i="2"/>
  <c r="S8" i="2"/>
  <c r="R8" i="2"/>
  <c r="U7" i="2"/>
  <c r="T7" i="2"/>
  <c r="S7" i="2"/>
  <c r="R7" i="2"/>
  <c r="U6" i="2"/>
  <c r="T6" i="2"/>
  <c r="S6" i="2"/>
  <c r="R6" i="2"/>
  <c r="U4" i="2"/>
  <c r="T4" i="2"/>
  <c r="S4" i="2"/>
  <c r="R4" i="2"/>
  <c r="R5" i="2"/>
  <c r="S5" i="2"/>
  <c r="T5" i="2"/>
  <c r="U5" i="2"/>
  <c r="R9" i="2"/>
  <c r="S9" i="2"/>
  <c r="T9" i="2"/>
  <c r="U9" i="2"/>
  <c r="R11" i="2"/>
  <c r="S11" i="2"/>
  <c r="T11" i="2"/>
  <c r="U11" i="2"/>
  <c r="R22" i="2"/>
  <c r="S22" i="2"/>
  <c r="T22" i="2"/>
  <c r="U22" i="2"/>
  <c r="R23" i="2"/>
  <c r="S23" i="2"/>
  <c r="T23" i="2"/>
  <c r="U23" i="2"/>
  <c r="U3" i="2"/>
  <c r="T3" i="2"/>
  <c r="S3" i="2"/>
  <c r="R3" i="2"/>
  <c r="P564" i="2"/>
  <c r="P565" i="2"/>
  <c r="P566" i="2"/>
  <c r="P567" i="2"/>
  <c r="P557" i="2"/>
  <c r="P558" i="2"/>
  <c r="P559" i="2"/>
  <c r="P560" i="2"/>
  <c r="P561" i="2"/>
  <c r="P562" i="2"/>
  <c r="P563" i="2"/>
  <c r="P555" i="2"/>
  <c r="P556" i="2"/>
  <c r="P553" i="2"/>
  <c r="P554" i="2"/>
  <c r="P550" i="2"/>
  <c r="P551" i="2"/>
  <c r="P552" i="2"/>
  <c r="P549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2" i="2"/>
  <c r="P513" i="2"/>
  <c r="P514" i="2"/>
  <c r="P515" i="2"/>
  <c r="P516" i="2"/>
  <c r="P517" i="2"/>
  <c r="P518" i="2"/>
  <c r="P511" i="2"/>
  <c r="P509" i="2"/>
  <c r="P508" i="2"/>
  <c r="P507" i="2"/>
  <c r="P506" i="2"/>
  <c r="P505" i="2"/>
  <c r="P504" i="2"/>
  <c r="P503" i="2"/>
  <c r="P502" i="2"/>
  <c r="P496" i="2"/>
  <c r="P497" i="2"/>
  <c r="P498" i="2"/>
  <c r="P499" i="2"/>
  <c r="P500" i="2"/>
  <c r="P501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68" i="2"/>
  <c r="P467" i="2"/>
  <c r="P469" i="2"/>
  <c r="P466" i="2"/>
  <c r="P465" i="2"/>
  <c r="P464" i="2"/>
  <c r="P463" i="2"/>
  <c r="P462" i="2"/>
  <c r="P453" i="2"/>
  <c r="P454" i="2"/>
  <c r="P455" i="2"/>
  <c r="P456" i="2"/>
  <c r="P457" i="2"/>
  <c r="P458" i="2"/>
  <c r="P459" i="2"/>
  <c r="P460" i="2"/>
  <c r="P461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7" i="2"/>
  <c r="P416" i="2"/>
  <c r="P415" i="2"/>
  <c r="P404" i="2"/>
  <c r="P405" i="2"/>
  <c r="P406" i="2"/>
  <c r="P407" i="2"/>
  <c r="P408" i="2"/>
  <c r="P409" i="2"/>
  <c r="P410" i="2"/>
  <c r="P411" i="2"/>
  <c r="P412" i="2"/>
  <c r="P413" i="2"/>
  <c r="P41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1" i="2"/>
  <c r="P382" i="2"/>
  <c r="P383" i="2"/>
  <c r="P384" i="2"/>
  <c r="P385" i="2"/>
  <c r="P386" i="2"/>
  <c r="P387" i="2"/>
  <c r="P55" i="2"/>
  <c r="P56" i="2"/>
  <c r="P57" i="2"/>
  <c r="P380" i="2"/>
  <c r="P379" i="2"/>
  <c r="P378" i="2"/>
  <c r="P377" i="2"/>
  <c r="P376" i="2"/>
  <c r="P375" i="2"/>
  <c r="P78" i="2"/>
  <c r="P71" i="2"/>
  <c r="P70" i="2"/>
  <c r="P374" i="2"/>
  <c r="K373" i="2"/>
  <c r="P373" i="2" s="1"/>
  <c r="K372" i="2"/>
  <c r="P372" i="2" s="1"/>
  <c r="K371" i="2"/>
  <c r="P371" i="2" s="1"/>
  <c r="K370" i="2"/>
  <c r="P370" i="2" s="1"/>
  <c r="K369" i="2"/>
  <c r="P369" i="2" s="1"/>
  <c r="K368" i="2"/>
  <c r="P368" i="2" s="1"/>
  <c r="K367" i="2"/>
  <c r="P367" i="2" s="1"/>
  <c r="K366" i="2"/>
  <c r="P366" i="2" s="1"/>
  <c r="K365" i="2"/>
  <c r="P365" i="2" s="1"/>
  <c r="K364" i="2"/>
  <c r="P364" i="2" s="1"/>
  <c r="K363" i="2"/>
  <c r="P363" i="2" s="1"/>
  <c r="K362" i="2"/>
  <c r="P362" i="2" s="1"/>
  <c r="K361" i="2"/>
  <c r="P361" i="2" s="1"/>
  <c r="K360" i="2"/>
  <c r="P360" i="2" s="1"/>
  <c r="K359" i="2"/>
  <c r="P359" i="2" s="1"/>
  <c r="K358" i="2"/>
  <c r="P358" i="2" s="1"/>
  <c r="K357" i="2"/>
  <c r="P357" i="2" s="1"/>
  <c r="K356" i="2"/>
  <c r="P356" i="2" s="1"/>
  <c r="K355" i="2"/>
  <c r="P355" i="2" s="1"/>
  <c r="K354" i="2"/>
  <c r="P354" i="2" s="1"/>
  <c r="K353" i="2"/>
  <c r="P353" i="2" s="1"/>
  <c r="K352" i="2"/>
  <c r="P352" i="2" s="1"/>
  <c r="K351" i="2"/>
  <c r="P351" i="2" s="1"/>
  <c r="K350" i="2"/>
  <c r="P350" i="2" s="1"/>
  <c r="P349" i="2"/>
  <c r="P348" i="2"/>
  <c r="P347" i="2"/>
  <c r="P346" i="2"/>
  <c r="P345" i="2"/>
  <c r="P344" i="2"/>
  <c r="P343" i="2"/>
  <c r="P342" i="2"/>
  <c r="P96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A303" i="2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138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81" i="2"/>
  <c r="P253" i="2"/>
  <c r="P252" i="2"/>
  <c r="P251" i="2"/>
  <c r="P250" i="2"/>
  <c r="P249" i="2"/>
  <c r="P248" i="2"/>
  <c r="P247" i="2"/>
  <c r="P246" i="2"/>
  <c r="P245" i="2"/>
  <c r="P244" i="2"/>
  <c r="I250" i="2"/>
  <c r="I251" i="2" s="1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I284" i="2" s="1"/>
  <c r="I285" i="2" s="1"/>
  <c r="I286" i="2" s="1"/>
  <c r="I287" i="2" s="1"/>
  <c r="I288" i="2" s="1"/>
  <c r="I289" i="2" s="1"/>
  <c r="I290" i="2" s="1"/>
  <c r="I291" i="2" s="1"/>
  <c r="I292" i="2" s="1"/>
  <c r="I293" i="2" s="1"/>
  <c r="I294" i="2" s="1"/>
  <c r="I295" i="2" s="1"/>
  <c r="I296" i="2" s="1"/>
  <c r="I297" i="2" s="1"/>
  <c r="I298" i="2" s="1"/>
  <c r="I299" i="2" s="1"/>
  <c r="I300" i="2" s="1"/>
  <c r="I301" i="2" s="1"/>
  <c r="I302" i="2" s="1"/>
  <c r="I303" i="2" s="1"/>
  <c r="I304" i="2" s="1"/>
  <c r="I305" i="2" s="1"/>
  <c r="I306" i="2" s="1"/>
  <c r="I307" i="2" s="1"/>
  <c r="I308" i="2" s="1"/>
  <c r="I309" i="2" s="1"/>
  <c r="I310" i="2" s="1"/>
  <c r="I311" i="2" s="1"/>
  <c r="I312" i="2" s="1"/>
  <c r="I313" i="2" s="1"/>
  <c r="I314" i="2" s="1"/>
  <c r="I315" i="2" s="1"/>
  <c r="I316" i="2" s="1"/>
  <c r="I317" i="2" s="1"/>
  <c r="I318" i="2" s="1"/>
  <c r="I319" i="2" s="1"/>
  <c r="I320" i="2" s="1"/>
  <c r="I321" i="2" s="1"/>
  <c r="I322" i="2" s="1"/>
  <c r="I323" i="2" s="1"/>
  <c r="I324" i="2" s="1"/>
  <c r="I325" i="2" s="1"/>
  <c r="I326" i="2" s="1"/>
  <c r="I327" i="2" s="1"/>
  <c r="I328" i="2" s="1"/>
  <c r="I329" i="2" s="1"/>
  <c r="I330" i="2" s="1"/>
  <c r="I331" i="2" s="1"/>
  <c r="I332" i="2" s="1"/>
  <c r="I333" i="2" s="1"/>
  <c r="I334" i="2" s="1"/>
  <c r="I335" i="2" s="1"/>
  <c r="I336" i="2" s="1"/>
  <c r="I337" i="2" s="1"/>
  <c r="I338" i="2" s="1"/>
  <c r="I339" i="2" s="1"/>
  <c r="I340" i="2" s="1"/>
  <c r="I341" i="2" s="1"/>
  <c r="I342" i="2" s="1"/>
  <c r="I343" i="2" s="1"/>
  <c r="I344" i="2" s="1"/>
  <c r="I345" i="2" s="1"/>
  <c r="I346" i="2" s="1"/>
  <c r="I347" i="2" s="1"/>
  <c r="I348" i="2" s="1"/>
  <c r="I349" i="2" s="1"/>
  <c r="I350" i="2" s="1"/>
  <c r="I351" i="2" s="1"/>
  <c r="I352" i="2" s="1"/>
  <c r="I353" i="2" s="1"/>
  <c r="I354" i="2" s="1"/>
  <c r="I355" i="2" s="1"/>
  <c r="I356" i="2" s="1"/>
  <c r="I357" i="2" s="1"/>
  <c r="I358" i="2" s="1"/>
  <c r="I359" i="2" s="1"/>
  <c r="I360" i="2" s="1"/>
  <c r="I361" i="2" s="1"/>
  <c r="I362" i="2" s="1"/>
  <c r="I363" i="2" s="1"/>
  <c r="I364" i="2" s="1"/>
  <c r="I365" i="2" s="1"/>
  <c r="I366" i="2" s="1"/>
  <c r="I367" i="2" s="1"/>
  <c r="I368" i="2" s="1"/>
  <c r="I369" i="2" s="1"/>
  <c r="I370" i="2" s="1"/>
  <c r="I371" i="2" s="1"/>
  <c r="I372" i="2" s="1"/>
  <c r="I373" i="2" s="1"/>
  <c r="I374" i="2" s="1"/>
  <c r="I375" i="2" s="1"/>
  <c r="I376" i="2" s="1"/>
  <c r="I377" i="2" s="1"/>
  <c r="I378" i="2" s="1"/>
  <c r="I379" i="2" s="1"/>
  <c r="I380" i="2" s="1"/>
  <c r="I381" i="2" s="1"/>
  <c r="I382" i="2" s="1"/>
  <c r="I383" i="2" s="1"/>
  <c r="I384" i="2" s="1"/>
  <c r="I385" i="2" s="1"/>
  <c r="I386" i="2" s="1"/>
  <c r="I387" i="2" s="1"/>
  <c r="I388" i="2" s="1"/>
  <c r="I389" i="2" s="1"/>
  <c r="I390" i="2" s="1"/>
  <c r="I391" i="2" s="1"/>
  <c r="I392" i="2" s="1"/>
  <c r="I393" i="2" s="1"/>
  <c r="I394" i="2" s="1"/>
  <c r="I395" i="2" s="1"/>
  <c r="I396" i="2" s="1"/>
  <c r="I397" i="2" s="1"/>
  <c r="I398" i="2" s="1"/>
  <c r="I399" i="2" s="1"/>
  <c r="I400" i="2" s="1"/>
  <c r="I401" i="2" s="1"/>
  <c r="I402" i="2" s="1"/>
  <c r="I403" i="2" s="1"/>
  <c r="I404" i="2" s="1"/>
  <c r="I405" i="2" s="1"/>
  <c r="I406" i="2" s="1"/>
  <c r="I407" i="2" s="1"/>
  <c r="I408" i="2" s="1"/>
  <c r="I409" i="2" s="1"/>
  <c r="I410" i="2" s="1"/>
  <c r="I411" i="2" s="1"/>
  <c r="I412" i="2" s="1"/>
  <c r="I413" i="2" s="1"/>
  <c r="I414" i="2" s="1"/>
  <c r="I415" i="2" s="1"/>
  <c r="I416" i="2" s="1"/>
  <c r="I417" i="2" s="1"/>
  <c r="I418" i="2" s="1"/>
  <c r="I419" i="2" s="1"/>
  <c r="I420" i="2" s="1"/>
  <c r="I421" i="2" s="1"/>
  <c r="I422" i="2" s="1"/>
  <c r="I423" i="2" s="1"/>
  <c r="I424" i="2" s="1"/>
  <c r="I425" i="2" s="1"/>
  <c r="I426" i="2" s="1"/>
  <c r="I427" i="2" s="1"/>
  <c r="I428" i="2" s="1"/>
  <c r="I429" i="2" s="1"/>
  <c r="I430" i="2" s="1"/>
  <c r="I431" i="2" s="1"/>
  <c r="I432" i="2" s="1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I443" i="2" s="1"/>
  <c r="I444" i="2" s="1"/>
  <c r="I445" i="2" s="1"/>
  <c r="I446" i="2" s="1"/>
  <c r="I447" i="2" s="1"/>
  <c r="I448" i="2" s="1"/>
  <c r="I449" i="2" s="1"/>
  <c r="I450" i="2" s="1"/>
  <c r="I451" i="2" s="1"/>
  <c r="I452" i="2" s="1"/>
  <c r="I453" i="2" s="1"/>
  <c r="I454" i="2" s="1"/>
  <c r="I455" i="2" s="1"/>
  <c r="I456" i="2" s="1"/>
  <c r="I457" i="2" s="1"/>
  <c r="I458" i="2" s="1"/>
  <c r="I459" i="2" s="1"/>
  <c r="I460" i="2" s="1"/>
  <c r="I461" i="2" s="1"/>
  <c r="I462" i="2" s="1"/>
  <c r="I463" i="2" s="1"/>
  <c r="I464" i="2" s="1"/>
  <c r="I465" i="2" s="1"/>
  <c r="I466" i="2" s="1"/>
  <c r="I467" i="2" s="1"/>
  <c r="I468" i="2" s="1"/>
  <c r="I469" i="2" s="1"/>
  <c r="I470" i="2" s="1"/>
  <c r="I471" i="2" s="1"/>
  <c r="I472" i="2" s="1"/>
  <c r="I473" i="2" s="1"/>
  <c r="I474" i="2" s="1"/>
  <c r="I475" i="2" s="1"/>
  <c r="I476" i="2" s="1"/>
  <c r="I477" i="2" s="1"/>
  <c r="I478" i="2" s="1"/>
  <c r="I479" i="2" s="1"/>
  <c r="I480" i="2" s="1"/>
  <c r="I481" i="2" s="1"/>
  <c r="I482" i="2" s="1"/>
  <c r="I483" i="2" s="1"/>
  <c r="I484" i="2" s="1"/>
  <c r="I485" i="2" s="1"/>
  <c r="I486" i="2" s="1"/>
  <c r="I487" i="2" s="1"/>
  <c r="I488" i="2" s="1"/>
  <c r="I489" i="2" s="1"/>
  <c r="I490" i="2" s="1"/>
  <c r="I491" i="2" s="1"/>
  <c r="I492" i="2" s="1"/>
  <c r="I493" i="2" s="1"/>
  <c r="I494" i="2" s="1"/>
  <c r="I495" i="2" s="1"/>
  <c r="I496" i="2" s="1"/>
  <c r="I497" i="2" s="1"/>
  <c r="I498" i="2" s="1"/>
  <c r="I499" i="2" s="1"/>
  <c r="I500" i="2" s="1"/>
  <c r="I501" i="2" s="1"/>
  <c r="I502" i="2" s="1"/>
  <c r="I503" i="2" s="1"/>
  <c r="I504" i="2" s="1"/>
  <c r="I505" i="2" s="1"/>
  <c r="I506" i="2" s="1"/>
  <c r="I507" i="2" s="1"/>
  <c r="I508" i="2" s="1"/>
  <c r="I509" i="2" s="1"/>
  <c r="I510" i="2" s="1"/>
  <c r="I511" i="2" s="1"/>
  <c r="I512" i="2" s="1"/>
  <c r="I513" i="2" s="1"/>
  <c r="I514" i="2" s="1"/>
  <c r="I515" i="2" s="1"/>
  <c r="I516" i="2" s="1"/>
  <c r="I517" i="2" s="1"/>
  <c r="I518" i="2" s="1"/>
  <c r="I519" i="2" s="1"/>
  <c r="I520" i="2" s="1"/>
  <c r="I521" i="2" s="1"/>
  <c r="I522" i="2" s="1"/>
  <c r="I523" i="2" s="1"/>
  <c r="I524" i="2" s="1"/>
  <c r="I525" i="2" s="1"/>
  <c r="I526" i="2" s="1"/>
  <c r="I527" i="2" s="1"/>
  <c r="I528" i="2" s="1"/>
  <c r="I529" i="2" s="1"/>
  <c r="I530" i="2" s="1"/>
  <c r="I531" i="2" s="1"/>
  <c r="I532" i="2" s="1"/>
  <c r="I533" i="2" s="1"/>
  <c r="I534" i="2" s="1"/>
  <c r="I535" i="2" s="1"/>
  <c r="I536" i="2" s="1"/>
  <c r="I537" i="2" s="1"/>
  <c r="I538" i="2" s="1"/>
  <c r="I539" i="2" s="1"/>
  <c r="I540" i="2" s="1"/>
  <c r="I541" i="2" s="1"/>
  <c r="I542" i="2" s="1"/>
  <c r="I543" i="2" s="1"/>
  <c r="I544" i="2" s="1"/>
  <c r="I545" i="2" s="1"/>
  <c r="I546" i="2" s="1"/>
  <c r="I547" i="2" s="1"/>
  <c r="I548" i="2" s="1"/>
  <c r="I549" i="2" s="1"/>
  <c r="I550" i="2" s="1"/>
  <c r="I551" i="2" s="1"/>
  <c r="I552" i="2" s="1"/>
  <c r="I553" i="2" s="1"/>
  <c r="I554" i="2" s="1"/>
  <c r="I555" i="2" s="1"/>
  <c r="I556" i="2" s="1"/>
  <c r="I557" i="2" s="1"/>
  <c r="I558" i="2" s="1"/>
  <c r="I559" i="2" s="1"/>
  <c r="I560" i="2" s="1"/>
  <c r="I561" i="2" s="1"/>
  <c r="I562" i="2" s="1"/>
  <c r="I563" i="2" s="1"/>
  <c r="I564" i="2" s="1"/>
  <c r="I565" i="2" s="1"/>
  <c r="I566" i="2" s="1"/>
  <c r="I567" i="2" s="1"/>
  <c r="I568" i="2" s="1"/>
  <c r="I569" i="2" s="1"/>
  <c r="I570" i="2" s="1"/>
  <c r="I571" i="2" s="1"/>
  <c r="I572" i="2" s="1"/>
  <c r="I573" i="2" s="1"/>
  <c r="I574" i="2" s="1"/>
  <c r="I575" i="2" s="1"/>
  <c r="I576" i="2" s="1"/>
  <c r="I577" i="2" s="1"/>
  <c r="I578" i="2" s="1"/>
  <c r="I579" i="2" s="1"/>
  <c r="I580" i="2" s="1"/>
  <c r="I581" i="2" s="1"/>
  <c r="I582" i="2" s="1"/>
  <c r="I583" i="2" s="1"/>
  <c r="I584" i="2" s="1"/>
  <c r="I585" i="2" s="1"/>
  <c r="I586" i="2" s="1"/>
  <c r="I587" i="2" s="1"/>
  <c r="I588" i="2" s="1"/>
  <c r="I589" i="2" s="1"/>
  <c r="I590" i="2" s="1"/>
  <c r="I591" i="2" s="1"/>
  <c r="I592" i="2" s="1"/>
  <c r="I593" i="2" s="1"/>
  <c r="I594" i="2" s="1"/>
  <c r="I595" i="2" s="1"/>
  <c r="I596" i="2" s="1"/>
  <c r="I597" i="2" s="1"/>
  <c r="I598" i="2" s="1"/>
  <c r="I599" i="2" s="1"/>
  <c r="I600" i="2" s="1"/>
  <c r="I601" i="2" s="1"/>
  <c r="I602" i="2" s="1"/>
  <c r="I603" i="2" s="1"/>
  <c r="I604" i="2" s="1"/>
  <c r="I605" i="2" s="1"/>
  <c r="I606" i="2" s="1"/>
  <c r="I607" i="2" s="1"/>
  <c r="I608" i="2" s="1"/>
  <c r="I609" i="2" s="1"/>
  <c r="I610" i="2" s="1"/>
  <c r="I611" i="2" s="1"/>
  <c r="I612" i="2" s="1"/>
  <c r="I613" i="2" s="1"/>
  <c r="I614" i="2" s="1"/>
  <c r="I615" i="2" s="1"/>
  <c r="I616" i="2" s="1"/>
  <c r="I617" i="2" s="1"/>
  <c r="I618" i="2" s="1"/>
  <c r="I619" i="2" s="1"/>
  <c r="I620" i="2" s="1"/>
  <c r="I621" i="2" s="1"/>
  <c r="I622" i="2" s="1"/>
  <c r="I623" i="2" s="1"/>
  <c r="I624" i="2" s="1"/>
  <c r="I625" i="2" s="1"/>
  <c r="I626" i="2" s="1"/>
  <c r="I627" i="2" s="1"/>
  <c r="I628" i="2" s="1"/>
  <c r="I629" i="2" s="1"/>
  <c r="I630" i="2" s="1"/>
  <c r="I631" i="2" s="1"/>
  <c r="I632" i="2" s="1"/>
  <c r="I633" i="2" s="1"/>
  <c r="I634" i="2" s="1"/>
  <c r="I635" i="2" s="1"/>
  <c r="I636" i="2" s="1"/>
  <c r="I637" i="2" s="1"/>
  <c r="I638" i="2" s="1"/>
  <c r="I639" i="2" s="1"/>
  <c r="I640" i="2" s="1"/>
  <c r="I641" i="2" s="1"/>
  <c r="I642" i="2" s="1"/>
  <c r="I643" i="2" s="1"/>
  <c r="I644" i="2" s="1"/>
  <c r="I645" i="2" s="1"/>
  <c r="I646" i="2" s="1"/>
  <c r="I647" i="2" s="1"/>
  <c r="I648" i="2" s="1"/>
  <c r="I649" i="2" s="1"/>
  <c r="I650" i="2" s="1"/>
  <c r="I651" i="2" s="1"/>
  <c r="I652" i="2" s="1"/>
  <c r="I653" i="2" s="1"/>
  <c r="I654" i="2" s="1"/>
  <c r="I655" i="2" s="1"/>
  <c r="I656" i="2" s="1"/>
  <c r="I657" i="2" s="1"/>
  <c r="I658" i="2" s="1"/>
  <c r="I659" i="2" s="1"/>
  <c r="I660" i="2" s="1"/>
  <c r="I661" i="2" s="1"/>
  <c r="I662" i="2" s="1"/>
  <c r="I663" i="2" s="1"/>
  <c r="I664" i="2" s="1"/>
  <c r="I665" i="2" s="1"/>
  <c r="I666" i="2" s="1"/>
  <c r="I667" i="2" s="1"/>
  <c r="I668" i="2" s="1"/>
  <c r="I669" i="2" s="1"/>
  <c r="I670" i="2" s="1"/>
  <c r="I671" i="2" s="1"/>
  <c r="I672" i="2" s="1"/>
  <c r="I673" i="2" s="1"/>
  <c r="I674" i="2" s="1"/>
  <c r="I675" i="2" s="1"/>
  <c r="I676" i="2" s="1"/>
  <c r="I677" i="2" s="1"/>
  <c r="I678" i="2" s="1"/>
  <c r="I679" i="2" s="1"/>
  <c r="I680" i="2" s="1"/>
  <c r="I681" i="2" s="1"/>
  <c r="I682" i="2" s="1"/>
  <c r="I683" i="2" s="1"/>
  <c r="I684" i="2" s="1"/>
  <c r="I685" i="2" s="1"/>
  <c r="I686" i="2" s="1"/>
  <c r="I687" i="2" s="1"/>
  <c r="I688" i="2" s="1"/>
  <c r="I689" i="2" s="1"/>
  <c r="I690" i="2" s="1"/>
  <c r="I691" i="2" s="1"/>
  <c r="I692" i="2" s="1"/>
  <c r="I693" i="2" s="1"/>
  <c r="I694" i="2" s="1"/>
  <c r="I695" i="2" s="1"/>
  <c r="I696" i="2" s="1"/>
  <c r="I697" i="2" s="1"/>
  <c r="I698" i="2" s="1"/>
  <c r="I699" i="2" s="1"/>
  <c r="I700" i="2" s="1"/>
  <c r="I701" i="2" s="1"/>
  <c r="I702" i="2" s="1"/>
  <c r="I703" i="2" s="1"/>
  <c r="I704" i="2" s="1"/>
  <c r="I705" i="2" s="1"/>
  <c r="I706" i="2" s="1"/>
  <c r="I707" i="2" s="1"/>
  <c r="I708" i="2" s="1"/>
  <c r="I709" i="2" s="1"/>
  <c r="I710" i="2" s="1"/>
  <c r="I711" i="2" s="1"/>
  <c r="I712" i="2" s="1"/>
  <c r="I713" i="2" s="1"/>
  <c r="I714" i="2" s="1"/>
  <c r="I715" i="2" s="1"/>
  <c r="I716" i="2" s="1"/>
  <c r="I717" i="2" s="1"/>
  <c r="I718" i="2" s="1"/>
  <c r="I719" i="2" s="1"/>
  <c r="I720" i="2" s="1"/>
  <c r="I721" i="2" s="1"/>
  <c r="I722" i="2" s="1"/>
  <c r="I723" i="2" s="1"/>
  <c r="I724" i="2" s="1"/>
  <c r="I725" i="2" s="1"/>
  <c r="I726" i="2" s="1"/>
  <c r="I727" i="2" s="1"/>
  <c r="I728" i="2" s="1"/>
  <c r="I729" i="2" s="1"/>
  <c r="I730" i="2" s="1"/>
  <c r="I731" i="2" s="1"/>
  <c r="I732" i="2" s="1"/>
  <c r="P243" i="2"/>
  <c r="P242" i="2"/>
  <c r="P241" i="2"/>
  <c r="P240" i="2"/>
  <c r="P123" i="2"/>
  <c r="P140" i="2"/>
  <c r="P135" i="2"/>
  <c r="P139" i="2"/>
  <c r="P239" i="2"/>
  <c r="P238" i="2"/>
  <c r="P237" i="2"/>
  <c r="P236" i="2"/>
  <c r="O229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A249" i="2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65" i="2"/>
  <c r="P154" i="2"/>
  <c r="P197" i="2"/>
  <c r="P196" i="2"/>
  <c r="P195" i="2"/>
  <c r="P149" i="2"/>
  <c r="P157" i="2"/>
  <c r="P172" i="2"/>
  <c r="P151" i="2"/>
  <c r="P168" i="2"/>
  <c r="P180" i="2"/>
  <c r="P194" i="2"/>
  <c r="P193" i="2"/>
  <c r="P176" i="2"/>
  <c r="P192" i="2"/>
  <c r="P191" i="2"/>
  <c r="P190" i="2"/>
  <c r="P189" i="2"/>
  <c r="P188" i="2"/>
  <c r="P171" i="2"/>
  <c r="P187" i="2"/>
  <c r="P186" i="2"/>
  <c r="P185" i="2"/>
  <c r="P184" i="2"/>
  <c r="P183" i="2"/>
  <c r="P83" i="2"/>
  <c r="P74" i="2"/>
  <c r="P182" i="2"/>
  <c r="P69" i="2"/>
  <c r="P179" i="2"/>
  <c r="P178" i="2"/>
  <c r="P177" i="2"/>
  <c r="P175" i="2"/>
  <c r="P174" i="2"/>
  <c r="P173" i="2"/>
  <c r="P170" i="2"/>
  <c r="P169" i="2"/>
  <c r="P167" i="2"/>
  <c r="P166" i="2"/>
  <c r="P164" i="2"/>
  <c r="P163" i="2"/>
  <c r="P162" i="2"/>
  <c r="P161" i="2"/>
  <c r="P160" i="2"/>
  <c r="P159" i="2"/>
  <c r="P158" i="2"/>
  <c r="P156" i="2"/>
  <c r="P155" i="2"/>
  <c r="P153" i="2"/>
  <c r="P152" i="2"/>
  <c r="P150" i="2"/>
  <c r="P148" i="2"/>
  <c r="P147" i="2"/>
  <c r="P146" i="2"/>
  <c r="P145" i="2"/>
  <c r="P144" i="2"/>
  <c r="P143" i="2"/>
  <c r="P129" i="2"/>
  <c r="P128" i="2"/>
  <c r="P127" i="2"/>
  <c r="P126" i="2"/>
  <c r="P125" i="2"/>
  <c r="P124" i="2"/>
  <c r="P121" i="2"/>
  <c r="P107" i="2"/>
  <c r="P106" i="2"/>
  <c r="P105" i="2"/>
  <c r="P93" i="2"/>
  <c r="P92" i="2"/>
  <c r="P91" i="2"/>
  <c r="P90" i="2"/>
  <c r="P89" i="2"/>
  <c r="P88" i="2"/>
  <c r="P87" i="2"/>
  <c r="P86" i="2"/>
  <c r="P85" i="2"/>
  <c r="P68" i="2"/>
  <c r="P67" i="2"/>
  <c r="P66" i="2"/>
  <c r="P65" i="2"/>
  <c r="P64" i="2"/>
  <c r="P63" i="2"/>
  <c r="P62" i="2"/>
  <c r="P61" i="2"/>
  <c r="P60" i="2"/>
  <c r="P59" i="2"/>
  <c r="P58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36" i="2"/>
  <c r="P35" i="2"/>
  <c r="P34" i="2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6" i="1"/>
  <c r="T214" i="1"/>
  <c r="T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J45" i="2"/>
  <c r="J63" i="2"/>
  <c r="J49" i="2"/>
  <c r="J56" i="2"/>
  <c r="J46" i="2"/>
  <c r="J58" i="2"/>
  <c r="J55" i="2"/>
  <c r="J68" i="2"/>
  <c r="J62" i="2"/>
  <c r="J54" i="2"/>
  <c r="J51" i="2"/>
  <c r="J47" i="2"/>
  <c r="J53" i="2"/>
  <c r="J65" i="2"/>
  <c r="J57" i="2"/>
  <c r="J67" i="2"/>
  <c r="J64" i="2"/>
  <c r="J50" i="2"/>
  <c r="J61" i="2"/>
  <c r="J52" i="2"/>
  <c r="J59" i="2"/>
  <c r="J66" i="2"/>
  <c r="J48" i="2"/>
  <c r="J6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Sales Admin</author>
    <author>tc={9A4D293C-6CE2-4341-8639-9413725FAD0A}</author>
    <author>tc={44B46C98-79A0-42ED-B4A3-370D86D3C0CA}</author>
    <author>tc={088977AA-13A3-431D-9976-FB2CD8B3EDBF}</author>
    <author>tc={2184B8E6-3009-4A91-95C0-A2EB50F0F950}</author>
    <author>tc={A92170A5-84BB-47F3-A1D7-A7BAD13A4D2D}</author>
    <author>tc={340CD788-38A4-464F-9646-B9A35E436EE3}</author>
    <author>tc={B662FA9A-D5ED-4756-9245-BF05B6AAF849}</author>
    <author>tc={5BC162AA-01D4-4A8E-B28E-8CDBAF6D420F}</author>
    <author>tc={19B7C8D3-FEB3-4C1F-BD4E-D8B657F846DA}</author>
    <author>tc={52859A37-FACF-4337-8636-2B15C95A71F7}</author>
    <author>tc={92F6E637-DAEC-4616-B29C-2D593C21294E}</author>
    <author>Sales-Admin</author>
    <author>tc={B580AEED-BFC4-41D7-94CF-351A684B2A44}</author>
    <author>tc={0C6F92F8-EBDA-4E43-9C98-C743344C5091}</author>
    <author>tc={D21C7842-3D5F-4842-BCDE-D3FCAE47AA89}</author>
    <author>tc={2D780BEB-69C5-4B6B-A042-8DB3E97CB8CE}</author>
    <author>tc={5AC7C019-2E1A-4C90-B09C-9C83DCF9E0EA}</author>
    <author>tc={92FD6126-30AA-4960-BD1E-3A3057642672}</author>
    <author>tc={43694954-D0DA-4865-A836-37524DC277CD}</author>
    <author>tc={6C948B1D-7C1F-4CD0-AB8F-0EE138145B5B}</author>
    <author>tc={C3EC229A-F690-44CC-A031-7433E416DD8A}</author>
    <author>tc={0D17EBD7-BB5F-4A56-B5C5-F4CF5C51A368}</author>
    <author>tc={13325ABE-39CB-44E4-B317-98E0569E96B7}</author>
    <author>tc={44638751-D4C8-4660-B70E-FC867ED16AC2}</author>
    <author>tc={E941C471-63F2-404A-846D-DCE82FEB905D}</author>
    <author>tc={1174094B-BA88-49C8-9A3E-F4725C7D344C}</author>
    <author>tc={4BEEAC5B-003C-42EB-9865-92355BC6A0A9}</author>
    <author>tc={45A707EA-F12E-4C19-97F2-92AB185F4706}</author>
    <author>tc={1F96C02E-441F-4608-9955-3E3E9761B6A0}</author>
    <author>tc={BF76EF42-5FE1-477B-9E4F-370B257C5561}</author>
    <author>tc={EDB5DF81-6F19-469F-9A5E-625F1B511CFB}</author>
    <author>tc={08622E10-D41A-436B-B379-67F3ED1BE6C5}</author>
    <author>tc={D85E1AC1-B7CE-4BB3-B31D-20D0AE6C9325}</author>
    <author>tc={88DAB24C-ADCE-4B3B-BFEA-9F950CF417C1}</author>
    <author>tc={86DE5777-CA65-4820-BD81-1CA1120EE537}</author>
    <author>tc={CE2F0C44-2AC3-4457-90EA-4D819C1B5FFE}</author>
    <author>tc={59475F76-646C-4438-B5B8-6AE6FD335955}</author>
    <author>tc={C12C3919-7ECC-4E6A-8AD0-073B3B6A19D8}</author>
    <author>tc={96B65686-8929-4E74-991D-05CF226F5FF2}</author>
    <author>tc={1E53014E-4938-4E6C-A730-2C6D5C7D9029}</author>
    <author>tc={C23BCCEC-5690-4240-8A2B-C1DE515C9EDF}</author>
    <author>tc={0C7E2D8C-E6E0-4CAB-BE3E-0B917B99B654}</author>
    <author>tc={A613BB85-EBDB-4042-85BD-9588537651F3}</author>
    <author>tc={13BE5F47-DEFB-49A6-B6BC-5E97A7CC08E9}</author>
    <author>tc={72AAC026-5844-4777-BAC3-18B1DCCCFB60}</author>
    <author>tc={447939DE-552F-4A64-A7E0-6FDC456E451E}</author>
    <author>tc={A2329ED6-C507-491E-9D7F-BEF0CA9F6AD4}</author>
    <author>tc={CC9F6599-A82D-439B-BEEA-E65B068D2E9F}</author>
    <author>tc={3AC84612-5330-4FB9-920C-B87172520056}</author>
    <author>tc={07F18717-9318-4BF8-882F-2386BCE751D4}</author>
    <author>tc={6B64D115-5438-4947-A5BF-74731D8C1E1D}</author>
    <author>tc={EAAD8669-3DA9-48AA-B235-A26F6917A899}</author>
    <author>tc={877899F1-B952-4173-A45B-0A681B4486C9}</author>
    <author>tc={322580BD-DD00-474D-842F-1BE705E11E68}</author>
    <author>tc={6541BA93-385E-46E7-9840-9AF4877104AD}</author>
    <author>tc={8050CC7D-A057-420D-85F8-E7E53A33E9DF}</author>
    <author>tc={69B502DE-9774-4151-A383-405CF02BB1A7}</author>
    <author>tc={50FD8369-0F38-4DF6-91D1-91332A62E68E}</author>
    <author>tc={82FE63AB-33C5-4F56-BC93-5E00D6AC5A74}</author>
    <author>tc={956DF88C-4E35-4775-A4FB-702CF7BD391B}</author>
    <author>tc={52B05CFB-995A-4981-86D3-59B9496A7199}</author>
    <author>tc={15672241-175D-49CD-8355-EC0A13D29F30}</author>
    <author>tc={8853B82E-0DB5-4138-B2EF-6DE43D7CF0B9}</author>
    <author>tc={B4CAFDC1-7CA0-4E71-B2F1-7C9485A7CA0C}</author>
    <author>tc={2B5FD26D-447A-4085-A7DF-4E4B101C8AAD}</author>
    <author>tc={77AC9AEB-6959-4E5D-AE9C-69D64C5D4E72}</author>
    <author>tc={679719ED-EC4B-490A-8E52-0F69E9BA1F4C}</author>
    <author>tc={0F1958D8-DA9A-4714-91A4-32228BD6924B}</author>
    <author>tc={67B89AAA-C512-4A6C-A858-48A39F23AAFB}</author>
    <author>tc={7E221260-927E-4A83-9FA8-A11CE2FEFF5C}</author>
    <author>tc={9D42227E-5549-4E3B-995E-69F543D216B2}</author>
    <author>tc={6441847D-B709-4F80-B69A-4425110BF092}</author>
    <author>tc={0D526E42-D34C-47F2-8F54-76C041FFF2A6}</author>
    <author>tc={05F48CF8-F349-4632-A9BF-C4D0DA9E7A10}</author>
    <author>tc={A0A276BD-CB8D-48FC-9C04-7B544402265E}</author>
    <author>tc={B7593BB8-1DFE-4D16-B855-3B3C3663B6CF}</author>
    <author>tc={61BB202D-3871-44D0-A0EF-09AC8D1DBAC9}</author>
    <author>tc={69FF5547-D9DA-42BE-9448-8BAEA4510B20}</author>
    <author>tc={84CF6093-88D5-4BA7-A6E3-06C5EB79BFD6}</author>
    <author>tc={72260646-E008-4BFD-9DA7-2DA10A9A8F63}</author>
    <author>tc={2186DECA-1F68-427B-B67E-9DB0AD740EB7}</author>
    <author>tc={047EE935-5894-46F3-998F-8FF29B9DB4A1}</author>
    <author>tc={C54E640B-99F3-4A21-A151-350D86427A95}</author>
    <author>tc={0B730A20-D7BE-4B07-B54E-42480A19C626}</author>
    <author>tc={792F7C15-6549-428F-844F-25F8E435A71E}</author>
    <author>tc={6EE66228-1A2C-4001-B7A6-7C6859C0B49C}</author>
    <author>tc={3DFC2A3E-368B-4BBA-8C61-E6664EFD8D97}</author>
    <author>tc={0CB0FC18-1030-4206-8282-FB28EE1A911E}</author>
    <author>tc={7E399899-D55C-4810-9C3A-6252E4F82525}</author>
    <author>tc={B7B867C7-26FC-48BD-A3BC-FFF9B546E3A9}</author>
    <author>tc={E25620DF-6679-40A5-B8CF-5DA63E27B123}</author>
    <author>tc={70F7317B-289A-4DF0-94DF-4C5C6D69A5A2}</author>
    <author>tc={6EA987A4-A3ED-49CA-B104-7BA103E2567F}</author>
    <author>tc={F03F1691-D952-4D83-9141-29BA350C4C1C}</author>
    <author>tc={C88F34DA-3E9E-4993-B457-732123E86D62}</author>
    <author>tc={04B2DA7E-955A-450C-8064-26D1A03D2A1A}</author>
    <author>tc={62110AEE-8DA8-4CE8-A664-5B270CE51C86}</author>
    <author>tc={C49C6AA6-AA13-4436-892A-F09EE4C20F0B}</author>
    <author>tc={C4E88F95-84B8-4BBD-A3EF-BB5E8922A333}</author>
    <author>tc={0FA141EA-C19A-4400-9649-2F7A02055E8F}</author>
    <author>tc={84EFB405-F8AB-439F-A893-9CF6DC8545F3}</author>
    <author>tc={EA9ACAA1-4369-4B11-959D-5F532F12F46C}</author>
    <author>tc={C39C9236-FC25-455D-AD6B-B5D775E6A20D}</author>
    <author>tc={8D875531-3723-4354-BDBD-291FDABD8BC2}</author>
    <author>tc={7EC859EA-E407-4DFF-A85F-63C7E38DB59E}</author>
  </authors>
  <commentList>
    <comment ref="B2" authorId="0" shapeId="0" xr:uid="{95CB28EC-F343-466A-97CA-EFBAB3CC5C14}">
      <text>
        <r>
          <rPr>
            <b/>
            <sz val="9"/>
            <color indexed="81"/>
            <rFont val="Tahoma"/>
            <family val="2"/>
          </rPr>
          <t>Sales Admin:</t>
        </r>
        <r>
          <rPr>
            <sz val="9"/>
            <color indexed="81"/>
            <rFont val="Tahoma"/>
            <family val="2"/>
          </rPr>
          <t xml:space="preserve">
ENTER - GAZEBO FOR PRODUCED ITEMS AND SUPPLIER NAME FOR OUT SOURCED ITEMS</t>
        </r>
      </text>
    </comment>
    <comment ref="C2" authorId="0" shapeId="0" xr:uid="{80356024-8984-44A9-B090-6B2B921FED84}">
      <text>
        <r>
          <rPr>
            <b/>
            <sz val="9"/>
            <color indexed="81"/>
            <rFont val="Tahoma"/>
            <family val="2"/>
          </rPr>
          <t>Sales Admin:</t>
        </r>
        <r>
          <rPr>
            <sz val="9"/>
            <color indexed="81"/>
            <rFont val="Tahoma"/>
            <family val="2"/>
          </rPr>
          <t xml:space="preserve">
FOR RECIPES MADE IN HOUSE ; GFF123R
FOR OUT SOURCED ITEMS - IHF001-01 (SUPPLIER REF &amp; CODE)
FOR SNACK ITEMS TREATED AS READY MEALS - GFF1234 ( GFF AND ALTERNATIVE CODE)</t>
        </r>
      </text>
    </comment>
    <comment ref="E2" authorId="0" shapeId="0" xr:uid="{4A439747-52E0-4FD0-BFEE-12FFF5C02513}">
      <text>
        <r>
          <rPr>
            <b/>
            <sz val="9"/>
            <color indexed="81"/>
            <rFont val="Tahoma"/>
            <family val="2"/>
          </rPr>
          <t>Sales Admin:</t>
        </r>
        <r>
          <rPr>
            <sz val="9"/>
            <color indexed="81"/>
            <rFont val="Tahoma"/>
            <family val="2"/>
          </rPr>
          <t xml:space="preserve">
FOR SNACK LINE TO APPEAR ONLY ON PLAN - SNACKS
FOR SNACK LINE TREATED AS READY MEAL - READYMEALS-P
FOR READY MEALS - READY MEALS
FOR DIPS - DIPS
FOR TOPPING SNAD ACCESSORIES - ACCESSORIES
</t>
        </r>
      </text>
    </comment>
    <comment ref="J2" authorId="0" shapeId="0" xr:uid="{004D7C5E-3AB0-4C2B-A4E2-1DA17CA719E4}">
      <text>
        <r>
          <rPr>
            <b/>
            <sz val="9"/>
            <color indexed="81"/>
            <rFont val="Tahoma"/>
            <family val="2"/>
          </rPr>
          <t xml:space="preserve">Sales Admin:
CODE STARTS WITH :- </t>
        </r>
        <r>
          <rPr>
            <sz val="9"/>
            <color indexed="81"/>
            <rFont val="Tahoma"/>
            <family val="2"/>
          </rPr>
          <t xml:space="preserve">
FOR SNACKS : EG - VS120G - VEGETABLE SAMOSA 120G
FOR READY MEALS  : EG - CHICKEN TIKKA MASALA - GZRM100
FOR SNACK TREATED AS READY MEAL : FROM GFF123R TAKE 123RMIX
FOR OUT SOURCED  ITEM : IHF001-01 ( SUPPLIER REF &amp; CODE)</t>
        </r>
      </text>
    </comment>
    <comment ref="L2" authorId="0" shapeId="0" xr:uid="{2526D1E2-0333-4292-AED5-17303E44706D}">
      <text>
        <r>
          <rPr>
            <b/>
            <sz val="9"/>
            <color indexed="81"/>
            <rFont val="Tahoma"/>
            <family val="2"/>
          </rPr>
          <t>Sales Admin:</t>
        </r>
        <r>
          <rPr>
            <sz val="9"/>
            <color indexed="81"/>
            <rFont val="Tahoma"/>
            <family val="2"/>
          </rPr>
          <t xml:space="preserve">
ENTER WEIGHT FOR SNACK ITEMS ONLY EG SAMOSAS. WONTONS
LEAVE BLANK FOR READY MEALS</t>
        </r>
      </text>
    </comment>
    <comment ref="O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Sales Admin:
FOR PRODUCED DIPS PUT RECIPE WEIGHT IN KG
FOR OUT SOUCED DIPS LEAVE AS 1
FOR READY MEALS LEAVE AS 1
FOR PRODUCED SNACKS ADD THE QTY PER BATCH</t>
        </r>
      </text>
    </comment>
    <comment ref="O3" authorId="1" shapeId="0" xr:uid="{9A4D293C-6CE2-4341-8639-9413725FAD0A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: 250
To : 320</t>
      </text>
    </comment>
    <comment ref="Q3" authorId="2" shapeId="0" xr:uid="{44B46C98-79A0-42ED-B4A3-370D86D3C0CA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10 TO 30</t>
      </text>
    </comment>
    <comment ref="O4" authorId="3" shapeId="0" xr:uid="{088977AA-13A3-431D-9976-FB2CD8B3EDBF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: 2400
To :  3100 due to batch size change</t>
      </text>
    </comment>
    <comment ref="Q4" authorId="4" shapeId="0" xr:uid="{2184B8E6-3009-4A91-95C0-A2EB50F0F950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16 TO 35
Reply:
    To 25</t>
      </text>
    </comment>
    <comment ref="O6" authorId="5" shapeId="0" xr:uid="{A92170A5-84BB-47F3-A1D7-A7BAD13A4D2D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: 3680
To :  4700 due to batch size change</t>
      </text>
    </comment>
    <comment ref="Q6" authorId="6" shapeId="0" xr:uid="{340CD788-38A4-464F-9646-B9A35E436EE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20.25 TO 32.5
Reply:
    To 32</t>
      </text>
    </comment>
    <comment ref="O7" authorId="7" shapeId="0" xr:uid="{B662FA9A-D5ED-4756-9245-BF05B6AAF849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: 7200
To :  9250 due to batch size change</t>
      </text>
    </comment>
    <comment ref="Q7" authorId="8" shapeId="0" xr:uid="{5BC162AA-01D4-4A8E-B28E-8CDBAF6D420F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28 TO 40</t>
      </text>
    </comment>
    <comment ref="O8" authorId="9" shapeId="0" xr:uid="{19B7C8D3-FEB3-4C1F-BD4E-D8B657F846DA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: 12800
To :  16500 due to batch size change</t>
      </text>
    </comment>
    <comment ref="Q8" authorId="10" shapeId="0" xr:uid="{52859A37-FACF-4337-8636-2B15C95A71F7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26 to 42.5</t>
      </text>
    </comment>
    <comment ref="Q10" authorId="11" shapeId="0" xr:uid="{92F6E637-DAEC-4616-B29C-2D593C21294E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16 TO 32.5
Reply:
    To 27</t>
      </text>
    </comment>
    <comment ref="X10" authorId="12" shapeId="0" xr:uid="{75596110-C7F2-4BFD-8EAC-C8492E17BDBA}">
      <text>
        <r>
          <rPr>
            <b/>
            <sz val="9"/>
            <color indexed="81"/>
            <rFont val="Tahoma"/>
            <family val="2"/>
          </rPr>
          <t>Sales-Admin:</t>
        </r>
        <r>
          <rPr>
            <sz val="9"/>
            <color indexed="81"/>
            <rFont val="Tahoma"/>
            <family val="2"/>
          </rPr>
          <t xml:space="preserve">
18/10/2019 - removed milk</t>
        </r>
      </text>
    </comment>
    <comment ref="X11" authorId="12" shapeId="0" xr:uid="{ED9E8B61-FEF7-41C9-ACBD-1B6E36C7E680}">
      <text>
        <r>
          <rPr>
            <b/>
            <sz val="9"/>
            <color indexed="81"/>
            <rFont val="Tahoma"/>
            <family val="2"/>
          </rPr>
          <t>Sales-Admin:</t>
        </r>
        <r>
          <rPr>
            <sz val="9"/>
            <color indexed="81"/>
            <rFont val="Tahoma"/>
            <family val="2"/>
          </rPr>
          <t xml:space="preserve">
18/10/2019 - removed milk</t>
        </r>
      </text>
    </comment>
    <comment ref="Q12" authorId="13" shapeId="0" xr:uid="{B580AEED-BFC4-41D7-94CF-351A684B2A44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: 28
TO : 46.3
Reply:
    To 35</t>
      </text>
    </comment>
    <comment ref="X12" authorId="12" shapeId="0" xr:uid="{B603545B-8D15-4E04-BC8D-A4F312FDA5D7}">
      <text>
        <r>
          <rPr>
            <b/>
            <sz val="9"/>
            <color indexed="81"/>
            <rFont val="Tahoma"/>
            <family val="2"/>
          </rPr>
          <t>Sales-Admin:</t>
        </r>
        <r>
          <rPr>
            <sz val="9"/>
            <color indexed="81"/>
            <rFont val="Tahoma"/>
            <family val="2"/>
          </rPr>
          <t xml:space="preserve">
18/10/2019 - removed milk</t>
        </r>
      </text>
    </comment>
    <comment ref="Q13" authorId="14" shapeId="0" xr:uid="{0C6F92F8-EBDA-4E43-9C98-C743344C5091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20 to 35</t>
      </text>
    </comment>
    <comment ref="X13" authorId="12" shapeId="0" xr:uid="{56F9B6F0-28D1-47A0-BA4D-DE6241DE0A99}">
      <text>
        <r>
          <rPr>
            <b/>
            <sz val="9"/>
            <color indexed="81"/>
            <rFont val="Tahoma"/>
            <family val="2"/>
          </rPr>
          <t>Sales-Admin:</t>
        </r>
        <r>
          <rPr>
            <sz val="9"/>
            <color indexed="81"/>
            <rFont val="Tahoma"/>
            <family val="2"/>
          </rPr>
          <t xml:space="preserve">
18/10/2019 - removed milk</t>
        </r>
      </text>
    </comment>
    <comment ref="Q14" authorId="15" shapeId="0" xr:uid="{D21C7842-3D5F-4842-BCDE-D3FCAE47AA89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28 TO 40
Reply:
    To 35</t>
      </text>
    </comment>
    <comment ref="X14" authorId="12" shapeId="0" xr:uid="{251E13E5-4706-467D-8756-CD52740A50E4}">
      <text>
        <r>
          <rPr>
            <b/>
            <sz val="9"/>
            <color indexed="81"/>
            <rFont val="Tahoma"/>
            <family val="2"/>
          </rPr>
          <t>Sales-Admin:</t>
        </r>
        <r>
          <rPr>
            <sz val="9"/>
            <color indexed="81"/>
            <rFont val="Tahoma"/>
            <family val="2"/>
          </rPr>
          <t xml:space="preserve">
18/10/2019 - removed milk</t>
        </r>
      </text>
    </comment>
    <comment ref="Q15" authorId="16" shapeId="0" xr:uid="{2D780BEB-69C5-4B6B-A042-8DB3E97CB8CE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10 TO 30
Reply:
    27</t>
      </text>
    </comment>
    <comment ref="O16" authorId="17" shapeId="0" xr:uid="{5AC7C019-2E1A-4C90-B09C-9C83DCF9E0EA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FROM: 700 TO 600 AS PER CELFERN
Reply:
    from 2400 to 2600 asp per ddevang</t>
      </text>
    </comment>
    <comment ref="Q16" authorId="18" shapeId="0" xr:uid="{92FD6126-30AA-4960-BD1E-3A3057642672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16 TO 28
Reply:
    27</t>
      </text>
    </comment>
    <comment ref="O17" authorId="19" shapeId="0" xr:uid="{43694954-D0DA-4865-A836-37524DC277CD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: 3000 TO 2450
Reply:
    from 9800
to 13500</t>
      </text>
    </comment>
    <comment ref="Q17" authorId="20" shapeId="0" xr:uid="{6C948B1D-7C1F-4CD0-AB8F-0EE138145B5B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26 to 37.5</t>
      </text>
    </comment>
    <comment ref="O18" authorId="21" shapeId="0" xr:uid="{C3EC229A-F690-44CC-A031-7433E416DD8A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1600 TO 1450
Reply:
    from 5800
to : 8000
Reply:
    To 6400 as per email from Taufque dated  18/07/2023</t>
      </text>
    </comment>
    <comment ref="Q18" authorId="22" shapeId="0" xr:uid="{0D17EBD7-BB5F-4A56-B5C5-F4CF5C51A368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27.5 TO 40
Reply:
    35</t>
      </text>
    </comment>
    <comment ref="C19" authorId="23" shapeId="0" xr:uid="{13325ABE-39CB-44E4-B317-98E0569E96B7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Recipe Ref to GFF040R, to GFF005R to standardise recipe. as per email from magda dated 16/07/2021</t>
      </text>
    </comment>
    <comment ref="O19" authorId="24" shapeId="0" xr:uid="{44638751-D4C8-4660-B70E-FC867ED16AC2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: 250
TO : 500
DUE TO RECIPE CHANGE
Reply:
    from 2000
to : 2600</t>
      </text>
    </comment>
    <comment ref="Q19" authorId="25" shapeId="0" xr:uid="{E941C471-63F2-404A-846D-DCE82FEB905D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10 TO 30
Reply:
    27</t>
      </text>
    </comment>
    <comment ref="Q20" authorId="26" shapeId="0" xr:uid="{1174094B-BA88-49C8-9A3E-F4725C7D344C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22 TO 32.5
Reply:
    27</t>
      </text>
    </comment>
    <comment ref="O21" authorId="27" shapeId="0" xr:uid="{4BEEAC5B-003C-42EB-9865-92355BC6A0A9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: 600
To :  800 due to batch size change</t>
      </text>
    </comment>
    <comment ref="Q21" authorId="28" shapeId="0" xr:uid="{45A707EA-F12E-4C19-97F2-92AB185F4706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26 TO 35
Reply:
    30</t>
      </text>
    </comment>
    <comment ref="N22" authorId="29" shapeId="0" xr:uid="{1F96C02E-441F-4608-9955-3E3E9761B6A0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discontinnued</t>
      </text>
    </comment>
    <comment ref="N23" authorId="30" shapeId="0" xr:uid="{BF76EF42-5FE1-477B-9E4F-370B257C5561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Discontinued</t>
      </text>
    </comment>
    <comment ref="Q23" authorId="31" shapeId="0" xr:uid="{EDB5DF81-6F19-469F-9A5E-625F1B511CFB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26 TO 35</t>
      </text>
    </comment>
    <comment ref="Q24" authorId="32" shapeId="0" xr:uid="{08622E10-D41A-436B-B379-67F3ED1BE6C5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26 TO 35
Reply:
    30</t>
      </text>
    </comment>
    <comment ref="O2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Sales Admin:</t>
        </r>
        <r>
          <rPr>
            <sz val="9"/>
            <color indexed="81"/>
            <rFont val="Tahoma"/>
            <family val="2"/>
          </rPr>
          <t xml:space="preserve">
03/05/2017 Changed from 450  - 525
</t>
        </r>
      </text>
    </comment>
    <comment ref="Q25" authorId="33" shapeId="0" xr:uid="{D85E1AC1-B7CE-4BB3-B31D-20D0AE6C9325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16 to 21</t>
      </text>
    </comment>
    <comment ref="O28" authorId="0" shapeId="0" xr:uid="{13219A09-3395-48FB-A8FC-AC63D720B989}">
      <text>
        <r>
          <rPr>
            <b/>
            <sz val="9"/>
            <color indexed="81"/>
            <rFont val="Tahoma"/>
            <family val="2"/>
          </rPr>
          <t>Sales Admin:</t>
        </r>
        <r>
          <rPr>
            <sz val="9"/>
            <color indexed="81"/>
            <rFont val="Tahoma"/>
            <family val="2"/>
          </rPr>
          <t xml:space="preserve">
24/09/2018 - UPDATED FROM 550 TO 520 AS PER SANJAYS EMAIL</t>
        </r>
      </text>
    </comment>
    <comment ref="K30" authorId="0" shapeId="0" xr:uid="{895BC492-E453-4E21-8BFE-D11B871A8BB6}">
      <text>
        <r>
          <rPr>
            <b/>
            <sz val="9"/>
            <color indexed="81"/>
            <rFont val="Tahoma"/>
            <family val="2"/>
          </rPr>
          <t>Sales Admin:</t>
        </r>
        <r>
          <rPr>
            <sz val="9"/>
            <color indexed="81"/>
            <rFont val="Tahoma"/>
            <family val="2"/>
          </rPr>
          <t xml:space="preserve">
05/11/2018- Description changed from Carrot &amp; Onion Bhaji 20g to Carrot &amp; Coriander Bhaji as per email from magda dated 04.11.18</t>
        </r>
      </text>
    </comment>
    <comment ref="O30" authorId="0" shapeId="0" xr:uid="{CED70FAC-6E30-4F82-A046-CE9F658EF869}">
      <text>
        <r>
          <rPr>
            <b/>
            <sz val="9"/>
            <color indexed="81"/>
            <rFont val="Tahoma"/>
            <family val="2"/>
          </rPr>
          <t>Sales Admin:05/11/2018
Changed Frim 750 to 532 as per discussion with Magda</t>
        </r>
      </text>
    </comment>
    <comment ref="O32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Sales Admin:</t>
        </r>
        <r>
          <rPr>
            <sz val="9"/>
            <color indexed="81"/>
            <rFont val="Tahoma"/>
            <family val="2"/>
          </rPr>
          <t xml:space="preserve">
14/11/2017 - Changed to 900 from 750 as per sanjays email
</t>
        </r>
      </text>
    </comment>
    <comment ref="O35" authorId="34" shapeId="0" xr:uid="{88DAB24C-ADCE-4B3B-BFEA-9F950CF417C1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FROM: 1200
TO: 1412</t>
      </text>
    </comment>
    <comment ref="Q35" authorId="35" shapeId="0" xr:uid="{86DE5777-CA65-4820-BD81-1CA1120EE537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55 to 60</t>
      </text>
    </comment>
    <comment ref="Q36" authorId="36" shapeId="0" xr:uid="{CE2F0C44-2AC3-4457-90EA-4D819C1B5FFE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40.7 to 45</t>
      </text>
    </comment>
    <comment ref="Q39" authorId="37" shapeId="0" xr:uid="{59475F76-646C-4438-B5B8-6AE6FD335955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26 TO 35</t>
      </text>
    </comment>
    <comment ref="Q40" authorId="38" shapeId="0" xr:uid="{C12C3919-7ECC-4E6A-8AD0-073B3B6A19D8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26 TO 35
Reply:
    30</t>
      </text>
    </comment>
    <comment ref="O44" authorId="39" shapeId="0" xr:uid="{96B65686-8929-4E74-991D-05CF226F5FF2}">
      <text>
        <t>[Threaded comment]
Your version of Excel allows you to read this threaded comment; however, any edits to it will get removed if the file is opened in a newer version of Excel. Learn more: https://go.microsoft.com/fwlink/?linkid=870924
Comment:
    Sales Admin:
03/05/2017- Changed from 1200 - 1600
12/05/2017 - Chnaged From 1600 - 1450
Reply:
    FROM 1450 TO 1550
Reply:
    FROM 1550 TO 1587</t>
      </text>
    </comment>
    <comment ref="N55" authorId="12" shapeId="0" xr:uid="{31ED9B3F-37AE-43DA-8EDC-1936BF5BDF4F}">
      <text>
        <r>
          <rPr>
            <b/>
            <sz val="8"/>
            <color indexed="81"/>
            <rFont val="Tahoma"/>
            <family val="2"/>
          </rPr>
          <t>Sales-Admin:</t>
        </r>
        <r>
          <rPr>
            <sz val="8"/>
            <color indexed="81"/>
            <rFont val="Tahoma"/>
            <family val="2"/>
          </rPr>
          <t xml:space="preserve">
discontinued 04/05/20</t>
        </r>
      </text>
    </comment>
    <comment ref="N8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Sales Admin:</t>
        </r>
        <r>
          <rPr>
            <sz val="9"/>
            <color indexed="81"/>
            <rFont val="Tahoma"/>
            <family val="2"/>
          </rPr>
          <t xml:space="preserve">
Not Used anywhere
</t>
        </r>
      </text>
    </comment>
    <comment ref="O126" authorId="40" shapeId="0" xr:uid="{1E53014E-4938-4E6C-A730-2C6D5C7D9029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: 625
TO : 617
Reply:
    TO 2500 DUE TO BATCH SIZE CHANGE</t>
      </text>
    </comment>
    <comment ref="Q126" authorId="41" shapeId="0" xr:uid="{C23BCCEC-5690-4240-8A2B-C1DE515C9EDF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30
TO : 32
Reply:
    To 50</t>
      </text>
    </comment>
    <comment ref="Q127" authorId="42" shapeId="0" xr:uid="{0C7E2D8C-E6E0-4CAB-BE3E-0B917B99B654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28 TO 40
Reply:
    To 30</t>
      </text>
    </comment>
    <comment ref="O128" authorId="43" shapeId="0" xr:uid="{A613BB85-EBDB-4042-85BD-9588537651F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1000
TO 1092
Reply:
    TO : 3600 -  DUE TO BATCH SIZE CHANGE</t>
      </text>
    </comment>
    <comment ref="Q128" authorId="44" shapeId="0" xr:uid="{13BE5F47-DEFB-49A6-B6BC-5E97A7CC08E9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55
TO 68.7
Reply:
    60</t>
      </text>
    </comment>
    <comment ref="O129" authorId="45" shapeId="0" xr:uid="{72AAC026-5844-4777-BAC3-18B1DCCCFB60}">
      <text>
        <t>[Threaded comment]
Your version of Excel allows you to read this threaded comment; however, any edits to it will get removed if the file is opened in a newer version of Excel. Learn more: https://go.microsoft.com/fwlink/?linkid=870924
Comment:
    Sales-Admin:
12/08/2019 - CHANGED QTY PER BACTH FROM 520 TO 360 AS PER EMAIL FROM GM DATED 12.08.2019
Reply:
    FROM 360 TO 380 REFER TO CHNAGE NOTE DATED 08.04.22</t>
      </text>
    </comment>
    <comment ref="N135" authorId="12" shapeId="0" xr:uid="{2683EF09-6132-4929-AB13-4584D9C0E4A4}">
      <text>
        <r>
          <rPr>
            <b/>
            <sz val="9"/>
            <color indexed="81"/>
            <rFont val="Tahoma"/>
            <family val="2"/>
          </rPr>
          <t>Sales-Admin:</t>
        </r>
        <r>
          <rPr>
            <sz val="9"/>
            <color indexed="81"/>
            <rFont val="Tahoma"/>
            <family val="2"/>
          </rPr>
          <t xml:space="preserve">
14/01/2020 - DISONTINUED AS NEW NOW  USING GFF164R</t>
        </r>
      </text>
    </comment>
    <comment ref="B139" authorId="46" shapeId="0" xr:uid="{447939DE-552F-4A64-A7E0-6FDC456E451E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Longday to Varies (can be any supplier)</t>
      </text>
    </comment>
    <comment ref="K139" authorId="0" shapeId="0" xr:uid="{B63B2279-6239-4483-B36B-352F3E90740C}">
      <text>
        <r>
          <rPr>
            <b/>
            <sz val="9"/>
            <color indexed="81"/>
            <rFont val="Tahoma"/>
            <family val="2"/>
          </rPr>
          <t>Sales Admin:</t>
        </r>
        <r>
          <rPr>
            <sz val="9"/>
            <color indexed="81"/>
            <rFont val="Tahoma"/>
            <family val="2"/>
          </rPr>
          <t xml:space="preserve">
05/11/2018 - Description changed from diced chicken to steamed diced chicken as per magdas email dated 05.11.2018</t>
        </r>
      </text>
    </comment>
    <comment ref="D15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Sales Admin:</t>
        </r>
        <r>
          <rPr>
            <sz val="9"/>
            <color indexed="81"/>
            <rFont val="Tahoma"/>
            <family val="2"/>
          </rPr>
          <t xml:space="preserve">
22/08/2016 Changed from Savoury sauce r1 to - Oyster &amp; Soy Sauce
</t>
        </r>
      </text>
    </comment>
    <comment ref="D167" authorId="47" shapeId="0" xr:uid="{A2329ED6-C507-491E-9D7F-BEF0CA9F6AD4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From: Fried Onions
To: Booths Fried Onions</t>
      </text>
    </comment>
    <comment ref="D168" authorId="48" shapeId="0" xr:uid="{CC9F6599-A82D-439B-BEEA-E65B068D2E9F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Description changed
From : Batter Chicken Filltes
To : Battered Chicken Bites</t>
      </text>
    </comment>
    <comment ref="K168" authorId="12" shapeId="0" xr:uid="{20E04196-ACA7-43FC-B491-AFF1EE3ABA1D}">
      <text>
        <r>
          <rPr>
            <b/>
            <sz val="9"/>
            <color indexed="81"/>
            <rFont val="Tahoma"/>
            <family val="2"/>
          </rPr>
          <t>Sales-Admin:</t>
        </r>
        <r>
          <rPr>
            <sz val="9"/>
            <color indexed="81"/>
            <rFont val="Tahoma"/>
            <family val="2"/>
          </rPr>
          <t xml:space="preserve">
19/02/2020 - Description changed from 
British chicken inner fillet 12cm x 5cm long to Batter Chicken Fillets</t>
        </r>
      </text>
    </comment>
    <comment ref="O17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Sales Admin:</t>
        </r>
        <r>
          <rPr>
            <sz val="9"/>
            <color indexed="81"/>
            <rFont val="Tahoma"/>
            <family val="2"/>
          </rPr>
          <t xml:space="preserve">
03/05/2017- Changed from 1200 - 1600
12/05/2017 - Chnaged From 1600 - 1450</t>
        </r>
      </text>
    </comment>
    <comment ref="O17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Sales Admin:</t>
        </r>
        <r>
          <rPr>
            <sz val="9"/>
            <color indexed="81"/>
            <rFont val="Tahoma"/>
            <family val="2"/>
          </rPr>
          <t xml:space="preserve">
19/05/2017 11:43 - Changed From 750 to 375 as per Sanjays Request</t>
        </r>
      </text>
    </comment>
    <comment ref="Q175" authorId="49" shapeId="0" xr:uid="{3AC84612-5330-4FB9-920C-B87172520056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26 TO 35
Reply:
    To 30</t>
      </text>
    </comment>
    <comment ref="O183" authorId="50" shapeId="0" xr:uid="{07F18717-9318-4BF8-882F-2386BCE751D4}">
      <text>
        <t>[Threaded comment]
Your version of Excel allows you to read this threaded comment; however, any edits to it will get removed if the file is opened in a newer version of Excel. Learn more: https://go.microsoft.com/fwlink/?linkid=870924
Comment:
    QTY IN KG
Reply:
    FROM 12.96
TO : 10</t>
      </text>
    </comment>
    <comment ref="E184" authorId="51" shapeId="0" xr:uid="{6B64D115-5438-4947-A5BF-74731D8C1E1D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category to ready meals for dip requirement purposes refer to chnage note dated 23/11/2020</t>
      </text>
    </comment>
    <comment ref="O184" authorId="12" shapeId="0" xr:uid="{B349AF1F-3D3C-4FF2-B603-2ED2EBD2B6D7}">
      <text>
        <r>
          <rPr>
            <b/>
            <sz val="9"/>
            <color indexed="81"/>
            <rFont val="Tahoma"/>
            <family val="2"/>
          </rPr>
          <t>Sales-Admin:</t>
        </r>
        <r>
          <rPr>
            <sz val="9"/>
            <color indexed="81"/>
            <rFont val="Tahoma"/>
            <family val="2"/>
          </rPr>
          <t xml:space="preserve">
amount In kg</t>
        </r>
      </text>
    </comment>
    <comment ref="X197" authorId="12" shapeId="0" xr:uid="{669440C2-BD62-4923-B2F0-EFFCB1A77603}">
      <text>
        <r>
          <rPr>
            <b/>
            <sz val="9"/>
            <color indexed="81"/>
            <rFont val="Tahoma"/>
            <family val="2"/>
          </rPr>
          <t>Sales-Admin:</t>
        </r>
        <r>
          <rPr>
            <sz val="9"/>
            <color indexed="81"/>
            <rFont val="Tahoma"/>
            <family val="2"/>
          </rPr>
          <t xml:space="preserve">
05/11/2019  - ADDED MILK AS ALLERGEN AS PER MAGDA EMAIL </t>
        </r>
      </text>
    </comment>
    <comment ref="O203" authorId="0" shapeId="0" xr:uid="{3BC28072-DAB2-40A8-92F5-AFA643D957D7}">
      <text>
        <r>
          <rPr>
            <b/>
            <sz val="9"/>
            <color indexed="81"/>
            <rFont val="Tahoma"/>
            <family val="2"/>
          </rPr>
          <t>Sales Admin:
18/10/2018 : Changed From 600-550 as per sanjanys request verbally on 17/10/2018</t>
        </r>
      </text>
    </comment>
    <comment ref="Q203" authorId="52" shapeId="0" xr:uid="{EAAD8669-3DA9-48AA-B235-A26F6917A899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60 to 50</t>
      </text>
    </comment>
    <comment ref="X206" authorId="12" shapeId="0" xr:uid="{C478B682-F93C-4C1C-B2B6-26F2C39CEC74}">
      <text>
        <r>
          <rPr>
            <b/>
            <sz val="9"/>
            <color indexed="81"/>
            <rFont val="Tahoma"/>
            <family val="2"/>
          </rPr>
          <t>Sales-Admin:</t>
        </r>
        <r>
          <rPr>
            <sz val="9"/>
            <color indexed="81"/>
            <rFont val="Tahoma"/>
            <family val="2"/>
          </rPr>
          <t xml:space="preserve">
18/10/2019 - removed milk</t>
        </r>
      </text>
    </comment>
    <comment ref="N207" authorId="12" shapeId="0" xr:uid="{70A467A0-580E-40F4-9543-54C3E02D7047}">
      <text>
        <r>
          <rPr>
            <b/>
            <sz val="8"/>
            <color indexed="81"/>
            <rFont val="Tahoma"/>
            <family val="2"/>
          </rPr>
          <t>Sales-Admin:</t>
        </r>
        <r>
          <rPr>
            <sz val="8"/>
            <color indexed="81"/>
            <rFont val="Tahoma"/>
            <family val="2"/>
          </rPr>
          <t xml:space="preserve">
12/05/2020 - discontinued 05/04/20</t>
        </r>
      </text>
    </comment>
    <comment ref="N208" authorId="12" shapeId="0" xr:uid="{2C322D36-8000-42E0-8517-13784D98DFC5}">
      <text>
        <r>
          <rPr>
            <b/>
            <sz val="8"/>
            <color indexed="81"/>
            <rFont val="Tahoma"/>
            <family val="2"/>
          </rPr>
          <t>Sales-Admin:</t>
        </r>
        <r>
          <rPr>
            <sz val="8"/>
            <color indexed="81"/>
            <rFont val="Tahoma"/>
            <family val="2"/>
          </rPr>
          <t xml:space="preserve">
12/05/2020 - discontinued 05/04/20</t>
        </r>
      </text>
    </comment>
    <comment ref="N214" authorId="12" shapeId="0" xr:uid="{B325AB10-B782-499E-8432-F49B2D2E783A}">
      <text>
        <r>
          <rPr>
            <b/>
            <sz val="9"/>
            <color indexed="81"/>
            <rFont val="Tahoma"/>
            <family val="2"/>
          </rPr>
          <t>Sales-Admin:</t>
        </r>
        <r>
          <rPr>
            <sz val="9"/>
            <color indexed="81"/>
            <rFont val="Tahoma"/>
            <family val="2"/>
          </rPr>
          <t xml:space="preserve">
09/08/2019- discontinued as per email from the support 09/08/2019</t>
        </r>
      </text>
    </comment>
    <comment ref="N215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Sales Admin:</t>
        </r>
        <r>
          <rPr>
            <sz val="9"/>
            <color indexed="81"/>
            <rFont val="Tahoma"/>
            <family val="2"/>
          </rPr>
          <t xml:space="preserve">
10/11/2017- Discontinued as merged with GFF142R</t>
        </r>
      </text>
    </comment>
    <comment ref="O216" authorId="53" shapeId="0" xr:uid="{877899F1-B952-4173-A45B-0A681B4486C9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532
TO : 350
AS PER CELFERNS EMAIL DATED 14/10/20</t>
      </text>
    </comment>
    <comment ref="Q216" authorId="54" shapeId="0" xr:uid="{322580BD-DD00-474D-842F-1BE705E11E68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55 to 75</t>
      </text>
    </comment>
    <comment ref="O217" authorId="55" shapeId="0" xr:uid="{6541BA93-385E-46E7-9840-9AF4877104AD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1430
TO 950
AS PER CELFFERN EMAIL DATED 14/10/20</t>
      </text>
    </comment>
    <comment ref="Q217" authorId="56" shapeId="0" xr:uid="{8050CC7D-A057-420D-85F8-E7E53A33E9DF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55 to 75</t>
      </text>
    </comment>
    <comment ref="O227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Sales Admin:</t>
        </r>
        <r>
          <rPr>
            <sz val="9"/>
            <color indexed="81"/>
            <rFont val="Tahoma"/>
            <family val="2"/>
          </rPr>
          <t xml:space="preserve">
20/11/2017- Changed From 100 to 1000 as confirmed with waseem
21/11/2017- Changed from 1000-1050 as per sanjays email
</t>
        </r>
      </text>
    </comment>
    <comment ref="O228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Sales Admin:</t>
        </r>
        <r>
          <rPr>
            <sz val="9"/>
            <color indexed="81"/>
            <rFont val="Tahoma"/>
            <family val="2"/>
          </rPr>
          <t xml:space="preserve">
20/11/2017- Changed From 100 to 1000 as confirmed with waseem
21/11/2017- Changed From 1000- 800 as per sanjays email</t>
        </r>
      </text>
    </comment>
    <comment ref="N232" authorId="12" shapeId="0" xr:uid="{E40CC096-BF51-48BC-AB6D-DB240947F3B4}">
      <text>
        <r>
          <rPr>
            <b/>
            <sz val="9"/>
            <color indexed="81"/>
            <rFont val="Tahoma"/>
            <family val="2"/>
          </rPr>
          <t>Sales-Admin:</t>
        </r>
        <r>
          <rPr>
            <sz val="9"/>
            <color indexed="81"/>
            <rFont val="Tahoma"/>
            <family val="2"/>
          </rPr>
          <t xml:space="preserve">
09/08/2019- discontinued as per email from the support 09/08/2019</t>
        </r>
      </text>
    </comment>
    <comment ref="B246" authorId="57" shapeId="0" xr:uid="{69B502DE-9774-4151-A383-405CF02BB1A7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origin to gazebo from ih foods</t>
      </text>
    </comment>
    <comment ref="C246" authorId="58" shapeId="0" xr:uid="{50FD8369-0F38-4DF6-91D1-91332A62E68E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GFF1265 TO GFF204R AS NOW RECIPE AVAILABLE</t>
      </text>
    </comment>
    <comment ref="N254" authorId="12" shapeId="0" xr:uid="{0F62A96C-FCEA-4656-92F8-3D8D6E5620A3}">
      <text>
        <r>
          <rPr>
            <b/>
            <sz val="9"/>
            <color indexed="81"/>
            <rFont val="Tahoma"/>
            <family val="2"/>
          </rPr>
          <t>Sales-Admin:</t>
        </r>
        <r>
          <rPr>
            <sz val="9"/>
            <color indexed="81"/>
            <rFont val="Tahoma"/>
            <family val="2"/>
          </rPr>
          <t xml:space="preserve">
16/01/2020  - DISCOONTINUED AS PER EMAIL FROM TS - DATED 15/1/20</t>
        </r>
      </text>
    </comment>
    <comment ref="D257" authorId="59" shapeId="0" xr:uid="{82FE63AB-33C5-4F56-BC93-5E00D6AC5A74}">
      <text>
        <t>[Threaded comment]
Your version of Excel allows you to read this threaded comment; however, any edits to it will get removed if the file is opened in a newer version of Excel. Learn more: https://go.microsoft.com/fwlink/?linkid=870924
Comment:
    Ranamed 
From :  Wild Mushroom, Spinach &amp; Ricotta Filo Parcels
To ; Mushroom, Spinach &amp; Ricotta Filo Parcels</t>
      </text>
    </comment>
    <comment ref="K257" authorId="60" shapeId="0" xr:uid="{956DF88C-4E35-4775-A4FB-702CF7BD39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Wild from description</t>
      </text>
    </comment>
    <comment ref="O257" authorId="61" shapeId="0" xr:uid="{52B05CFB-995A-4981-86D3-59B9496A7199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63
TO : 550</t>
      </text>
    </comment>
    <comment ref="C260" authorId="62" shapeId="0" xr:uid="{15672241-175D-49CD-8355-EC0A13D29F30}">
      <text>
        <t>[Threaded comment]
Your version of Excel allows you to read this threaded comment; however, any edits to it will get removed if the file is opened in a newer version of Excel. Learn more: https://go.microsoft.com/fwlink/?linkid=870924
Comment:
    Sales-Admin:
17/05/2019 - ADDED 1  INFRONT OF RECIPE NUMBER INORDER TO SEGREGATE REQUIREMENT JUST FOR SYSTEM PURPOSE
INITIALLY THE WHOE RECIPE WAS SET FOR BOOTHS X-MAS LINE WITH THE COBINATION OF THE MIX AND PASTRY
Reply:
    Changed from GFF209R-1 TO GFF226R as the calculation has been change to rectify requirement</t>
      </text>
    </comment>
    <comment ref="O260" authorId="63" shapeId="0" xr:uid="{8853B82E-0DB5-4138-B2EF-6DE43D7CF0B9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240
to: 270</t>
      </text>
    </comment>
    <comment ref="N263" authorId="64" shapeId="0" xr:uid="{B4CAFDC1-7CA0-4E71-B2F1-7C9485A7CA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REPLACED BY ABE001-04</t>
      </text>
    </comment>
    <comment ref="N269" authorId="12" shapeId="0" xr:uid="{D724202C-C8C8-41CC-A37D-B0A683F6698E}">
      <text>
        <r>
          <rPr>
            <b/>
            <sz val="9"/>
            <color indexed="81"/>
            <rFont val="Tahoma"/>
            <family val="2"/>
          </rPr>
          <t>Sales-Admin:</t>
        </r>
        <r>
          <rPr>
            <sz val="9"/>
            <color indexed="81"/>
            <rFont val="Tahoma"/>
            <family val="2"/>
          </rPr>
          <t xml:space="preserve">
09/08/2019- discontinued as per email from the support 09/08/2019</t>
        </r>
      </text>
    </comment>
    <comment ref="D279" authorId="65" shapeId="0" xr:uid="{2B5FD26D-447A-4085-A7DF-4E4B101C8A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Renamed
From : Wild Mushroom and Spinach Mix
To : Mushroom and Spinach Mix</t>
      </text>
    </comment>
    <comment ref="E279" authorId="66" shapeId="0" xr:uid="{77AC9AEB-6959-4E5D-AE9C-69D64C5D4E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from snack to ready meals</t>
      </text>
    </comment>
    <comment ref="K279" authorId="67" shapeId="0" xr:uid="{679719ED-EC4B-490A-8E52-0F69E9BA1F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Wild from description</t>
      </text>
    </comment>
    <comment ref="D280" authorId="68" shapeId="0" xr:uid="{0F1958D8-DA9A-4714-91A4-32228BD692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Renamed:
From : Wild Mushroom, Spinach &amp; Ricotta Cheese Mix
To :Mushroom, Spinach &amp; Ricotta Cheese Mix</t>
      </text>
    </comment>
    <comment ref="E280" authorId="69" shapeId="0" xr:uid="{67B89AAA-C512-4A6C-A858-48A39F23AAF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from snack to ready meals</t>
      </text>
    </comment>
    <comment ref="K280" authorId="70" shapeId="0" xr:uid="{7E221260-927E-4A83-9FA8-A11CE2FEFF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Wild from description</t>
      </text>
    </comment>
    <comment ref="E299" authorId="71" shapeId="0" xr:uid="{9D42227E-5549-4E3B-995E-69F543D216B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CATEGORY FROM READY MEALS-P TO READY MEALS , SLEF CHECKED AS PRODUCT ONLY USED AS PART OF READY MEALS</t>
      </text>
    </comment>
    <comment ref="Q302" authorId="72" shapeId="0" xr:uid="{6441847D-B709-4F80-B69A-4425110BF092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20 TO 30</t>
      </text>
    </comment>
    <comment ref="Q303" authorId="73" shapeId="0" xr:uid="{0D526E42-D34C-47F2-8F54-76C041FFF2A6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16 TO 30</t>
      </text>
    </comment>
    <comment ref="D313" authorId="12" shapeId="0" xr:uid="{C2294E31-12DE-422B-ABA9-54E0FB591B90}">
      <text>
        <r>
          <rPr>
            <b/>
            <sz val="9"/>
            <color indexed="81"/>
            <rFont val="Tahoma"/>
            <family val="2"/>
          </rPr>
          <t>Sales-Admin:</t>
        </r>
        <r>
          <rPr>
            <sz val="9"/>
            <color indexed="81"/>
            <rFont val="Tahoma"/>
            <family val="2"/>
          </rPr>
          <t xml:space="preserve">
29/07/2019 : Description changes from : Courgette Peas &amp; Mint Fritter to
Courgette Peas &amp; Lemon Fritter</t>
        </r>
      </text>
    </comment>
    <comment ref="O313" authorId="12" shapeId="0" xr:uid="{5B0C2280-2656-4E47-8B66-23DA9A4B75FF}">
      <text>
        <r>
          <rPr>
            <b/>
            <sz val="9"/>
            <color indexed="81"/>
            <rFont val="Tahoma"/>
            <family val="2"/>
          </rPr>
          <t>Sales-Admin:</t>
        </r>
        <r>
          <rPr>
            <sz val="9"/>
            <color indexed="81"/>
            <rFont val="Tahoma"/>
            <family val="2"/>
          </rPr>
          <t xml:space="preserve">
22/08/2019 - QTY PER BATCH CHANGED FROM 425 TO 188 AS PER GM EMAIL ON 22/08/2019</t>
        </r>
      </text>
    </comment>
    <comment ref="E337" authorId="12" shapeId="0" xr:uid="{AD989D58-440D-4399-9B2C-8F1460535C08}">
      <text>
        <r>
          <rPr>
            <b/>
            <sz val="9"/>
            <color indexed="81"/>
            <rFont val="Tahoma"/>
            <family val="2"/>
          </rPr>
          <t>Sales-Admin:</t>
        </r>
        <r>
          <rPr>
            <sz val="9"/>
            <color indexed="81"/>
            <rFont val="Tahoma"/>
            <family val="2"/>
          </rPr>
          <t xml:space="preserve">
28/11/19 - changed category from dip to ready meals for calculation purposes</t>
        </r>
      </text>
    </comment>
    <comment ref="O338" authorId="12" shapeId="0" xr:uid="{C5F17BAA-5856-4182-B4DD-9C3D5C777D99}">
      <text>
        <r>
          <rPr>
            <b/>
            <sz val="9"/>
            <color indexed="81"/>
            <rFont val="Tahoma"/>
            <family val="2"/>
          </rPr>
          <t>Sales-Admin:</t>
        </r>
        <r>
          <rPr>
            <sz val="9"/>
            <color indexed="81"/>
            <rFont val="Tahoma"/>
            <family val="2"/>
          </rPr>
          <t xml:space="preserve">
25/10/2019 : WORKED OUT WITH DEVANG   AS 170, MAGDA RECOMMENDED 240</t>
        </r>
      </text>
    </comment>
    <comment ref="N359" authorId="74" shapeId="0" xr:uid="{05F48CF8-F349-4632-A9BF-C4D0DA9E7A10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DISCONTINUED AS USING ROASTED PINE NUTS AS PER EMAIL FROM MAGDA</t>
      </text>
    </comment>
    <comment ref="O364" authorId="12" shapeId="0" xr:uid="{0379076D-7F42-4B8F-B465-23AC9CEF80DC}">
      <text>
        <r>
          <rPr>
            <b/>
            <sz val="9"/>
            <color indexed="81"/>
            <rFont val="Tahoma"/>
            <family val="2"/>
          </rPr>
          <t>Sales-Admin:</t>
        </r>
        <r>
          <rPr>
            <sz val="9"/>
            <color indexed="81"/>
            <rFont val="Tahoma"/>
            <family val="2"/>
          </rPr>
          <t xml:space="preserve">
Amount in kg
</t>
        </r>
      </text>
    </comment>
    <comment ref="Z373" authorId="12" shapeId="0" xr:uid="{D9E22FB8-51EA-43FC-9D03-156C53B1A45A}">
      <text>
        <r>
          <rPr>
            <b/>
            <sz val="8"/>
            <color indexed="81"/>
            <rFont val="Tahoma"/>
            <family val="2"/>
          </rPr>
          <t>Sales-Admin:</t>
        </r>
        <r>
          <rPr>
            <sz val="8"/>
            <color indexed="81"/>
            <rFont val="Tahoma"/>
            <family val="2"/>
          </rPr>
          <t xml:space="preserve">
REVERTED BACK TO GFF152R</t>
        </r>
      </text>
    </comment>
    <comment ref="N374" authorId="75" shapeId="0" xr:uid="{A0A276BD-CB8D-48FC-9C04-7B544402265E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discontinnued as now to use gff 114r</t>
      </text>
    </comment>
    <comment ref="O376" authorId="76" shapeId="0" xr:uid="{B7593BB8-1DFE-4D16-B855-3B3C3663B6CF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: 530
To :  700 due to batch size change</t>
      </text>
    </comment>
    <comment ref="D377" authorId="77" shapeId="0" xr:uid="{61BB202D-3871-44D0-A0EF-09AC8D1DBAC9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From: Rose Harissa Lamb Kofta
To: Harissa Lamb Kofta
as per magda</t>
      </text>
    </comment>
    <comment ref="K377" authorId="78" shapeId="0" xr:uid="{69FF5547-D9DA-42BE-9448-8BAEA4510B20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: Rose Harissa Lamb Kofta 15G
To: Harissa Lamb Kofta 15G
as per magda request</t>
      </text>
    </comment>
    <comment ref="X389" authorId="79" shapeId="0" xr:uid="{84CF6093-88D5-4BA7-A6E3-06C5EB79BF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nut allergen</t>
      </text>
    </comment>
    <comment ref="O390" authorId="80" shapeId="0" xr:uid="{72260646-E008-4BFD-9DA7-2DA10A9A8F6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3040
To : 2200
As per email from bobby dated 03/07/24</t>
      </text>
    </comment>
    <comment ref="E391" authorId="81" shapeId="0" xr:uid="{2186DECA-1F68-427B-B67E-9DB0AD740EB7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category from Snacks to Reay Meals-p, refer to change note dated 23/11/20</t>
      </text>
    </comment>
    <comment ref="E392" authorId="82" shapeId="0" xr:uid="{047EE935-5894-46F3-998F-8FF29B9DB4A1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category from Snacks to Reay Meals-p, refer to change note dated 23/11/20</t>
      </text>
    </comment>
    <comment ref="E393" authorId="83" shapeId="0" xr:uid="{C54E640B-99F3-4A21-A151-350D86427A95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category from Snacks to Reay Meals-p, refer to change note dated 23/11/20</t>
      </text>
    </comment>
    <comment ref="E396" authorId="84" shapeId="0" xr:uid="{0B730A20-D7BE-4B07-B54E-42480A19C626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dips to ready meals ffor planning purposes</t>
      </text>
    </comment>
    <comment ref="O402" authorId="85" shapeId="0" xr:uid="{792F7C15-6549-428F-844F-25F8E435A71E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: 830
TO : 3400 - DUE TO BATCH SIZE CHANGE</t>
      </text>
    </comment>
    <comment ref="D407" authorId="86" shapeId="0" xr:uid="{6EE66228-1A2C-4001-B7A6-7C6859C0B49C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Description updated
Removed cc</t>
      </text>
    </comment>
    <comment ref="D408" authorId="87" shapeId="0" xr:uid="{3DFC2A3E-368B-4BBA-8C61-E6664EFD8D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cc from description</t>
      </text>
    </comment>
    <comment ref="E423" authorId="88" shapeId="0" xr:uid="{0CB0FC18-1030-4206-8282-FB28EE1A911E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category moved from ready meals to ready meals-p as required on plan requirement as per pedros request</t>
      </text>
    </comment>
    <comment ref="Q424" authorId="89" shapeId="0" xr:uid="{7E399899-D55C-4810-9C3A-6252E4F82525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30
TO : 32</t>
      </text>
    </comment>
    <comment ref="Q437" authorId="90" shapeId="0" xr:uid="{B7B867C7-26FC-48BD-A3BC-FFF9B546E3A9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38.5
TO 29.7</t>
      </text>
    </comment>
    <comment ref="Q438" authorId="91" shapeId="0" xr:uid="{E25620DF-6679-40A5-B8CF-5DA63E27B12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38.5
TO: 26.5</t>
      </text>
    </comment>
    <comment ref="Q439" authorId="92" shapeId="0" xr:uid="{70F7317B-289A-4DF0-94DF-4C5C6D69A5A2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30
TO 40</t>
      </text>
    </comment>
    <comment ref="O464" authorId="93" shapeId="0" xr:uid="{6EA987A4-A3ED-49CA-B104-7BA103E2567F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: 6000
To :  7750 due to batch size change</t>
      </text>
    </comment>
    <comment ref="Q464" authorId="94" shapeId="0" xr:uid="{F03F1691-D952-4D83-9141-29BA350C4C1C}">
      <text>
        <t>[Threaded comment]
Your version of Excel allows you to read this threaded comment; however, any edits to it will get removed if the file is opened in a newer version of Excel. Learn more: https://go.microsoft.com/fwlink/?linkid=870924
Comment:
    40 TO 30</t>
      </text>
    </comment>
    <comment ref="Q465" authorId="95" shapeId="0" xr:uid="{C88F34DA-3E9E-4993-B457-732123E86D62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32 TO 50</t>
      </text>
    </comment>
    <comment ref="O466" authorId="96" shapeId="0" xr:uid="{04B2DA7E-955A-450C-8064-26D1A03D2A1A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40 to 1200 due to weight change in recipe</t>
      </text>
    </comment>
    <comment ref="Z473" authorId="97" shapeId="0" xr:uid="{62110AEE-8DA8-4CE8-A664-5B270CE51C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Delisted
11/08/2021 D - 18/03/2022</t>
      </text>
    </comment>
    <comment ref="O488" authorId="98" shapeId="0" xr:uid="{C49C6AA6-AA13-4436-892A-F09EE4C20F0B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21 TO 25 AS PER EPD</t>
      </text>
    </comment>
    <comment ref="D543" authorId="99" shapeId="0" xr:uid="{C4E88F95-84B8-4BBD-A3EF-BB5E8922A33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De Meaux from Description as confirmed by Devang via Magda</t>
      </text>
    </comment>
    <comment ref="Q631" authorId="100" shapeId="0" xr:uid="{0FA141EA-C19A-4400-9649-2F7A02055E8F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26 to 42.5</t>
      </text>
    </comment>
    <comment ref="Q640" authorId="101" shapeId="0" xr:uid="{84EFB405-F8AB-439F-A893-9CF6DC8545F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: 28
TO : 46.3
Reply:
    To 35</t>
      </text>
    </comment>
    <comment ref="O655" authorId="102" shapeId="0" xr:uid="{EA9ACAA1-4369-4B11-959D-5F532F12F46C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2500 to 3250 as per email from Bobby dated 18/07/25</t>
      </text>
    </comment>
    <comment ref="Q659" authorId="103" shapeId="0" xr:uid="{C39C9236-FC25-455D-AD6B-B5D775E6A20D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26 to 42.5</t>
      </text>
    </comment>
    <comment ref="Q663" authorId="104" shapeId="0" xr:uid="{8D875531-3723-4354-BDBD-291FDABD8BC2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16 TO 28
Reply:
    27</t>
      </text>
    </comment>
    <comment ref="Q665" authorId="105" shapeId="0" xr:uid="{7EC859EA-E407-4DFF-A85F-63C7E38DB59E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16 TO 35
Reply:
    To 25</t>
      </text>
    </comment>
  </commentList>
</comments>
</file>

<file path=xl/sharedStrings.xml><?xml version="1.0" encoding="utf-8"?>
<sst xmlns="http://schemas.openxmlformats.org/spreadsheetml/2006/main" count="15483" uniqueCount="3535">
  <si>
    <t>No.</t>
  </si>
  <si>
    <t>Category</t>
  </si>
  <si>
    <t>Description</t>
  </si>
  <si>
    <t>Origin</t>
  </si>
  <si>
    <t>Chicken Samosa's</t>
  </si>
  <si>
    <t>Chicken Tikka Samosa XL (Jumbo) 120G</t>
  </si>
  <si>
    <t>Produced</t>
  </si>
  <si>
    <t>Chicken Tikka Samosa Large 100G</t>
  </si>
  <si>
    <t>Chicken Tikka Samosa Large 100G Seeded</t>
  </si>
  <si>
    <t>Chicken Tikka Samosa Medium 75G</t>
  </si>
  <si>
    <t>Chicken Tikka Samosa Cocktail 40G</t>
  </si>
  <si>
    <t>Chicken Tikka Samosa Cocktail 25G</t>
  </si>
  <si>
    <t>Jerk Chicken Samosa Large 120G</t>
  </si>
  <si>
    <t>Vegetable Samosa's</t>
  </si>
  <si>
    <t>Vegetable Samosa Large 100G</t>
  </si>
  <si>
    <t>Vegetable Samosa Large 100G Seeded</t>
  </si>
  <si>
    <t>Vegetable Samosa Bite 15G</t>
  </si>
  <si>
    <t>Out Sourced</t>
  </si>
  <si>
    <t>Vegetable Samosa Cocktail 25G</t>
  </si>
  <si>
    <t>Vegetable Samosa Cocktail 25G Seeded</t>
  </si>
  <si>
    <t>Vegetable Samosa Cocktail 35G</t>
  </si>
  <si>
    <t>Vegetable Samosa Cocktail 40G</t>
  </si>
  <si>
    <t>Vegetable Samosa XL (Jumbo) 140G</t>
  </si>
  <si>
    <t>Lamb Samosa's</t>
  </si>
  <si>
    <t>Lamb Samosa Large 100G</t>
  </si>
  <si>
    <t>Lamb Samosa Cocktail 25G</t>
  </si>
  <si>
    <t>Lamb Samosa Cocktail 40G</t>
  </si>
  <si>
    <t>Lamb Samosa  XL (Jumbo) 120G</t>
  </si>
  <si>
    <t>Lamb Samosa Large 75G</t>
  </si>
  <si>
    <t>Lamb Samosa Large 100G Seeded</t>
  </si>
  <si>
    <t>Chicken Spring roll's</t>
  </si>
  <si>
    <t>Chicken Spring Roll Medium 50G</t>
  </si>
  <si>
    <t>Vegetable Spring roll's</t>
  </si>
  <si>
    <t>Vegetable Spring Roll 15G</t>
  </si>
  <si>
    <t>Vegetable Spring Roll 25G</t>
  </si>
  <si>
    <t>Vegetable Spring Roll Large 85G</t>
  </si>
  <si>
    <t>Vegetable Spring Roll Medium 50G</t>
  </si>
  <si>
    <t>Duck Spring roll's</t>
  </si>
  <si>
    <t>Duck Spring Roll 30G</t>
  </si>
  <si>
    <t>Duck Spring Roll 20G</t>
  </si>
  <si>
    <t>Onion Bhaji's</t>
  </si>
  <si>
    <t>Onion Bhaji Large 100G</t>
  </si>
  <si>
    <t>Onion Bhaji Bite 12G</t>
  </si>
  <si>
    <t>Onion Bhaji Cocktail 30G</t>
  </si>
  <si>
    <t>Onion Rings KG</t>
  </si>
  <si>
    <t>Shredded Onion Bhaji KG</t>
  </si>
  <si>
    <t>Spinach Bhaji Cocktail 30G</t>
  </si>
  <si>
    <t>Spinach Bhaji Large 100G</t>
  </si>
  <si>
    <t>Carrot &amp; Onion Bhajis 20G</t>
  </si>
  <si>
    <t>Potato &amp; Spinach Bhaji 20G</t>
  </si>
  <si>
    <t>Coconut &amp; Coriander Bhaji 20G</t>
  </si>
  <si>
    <t>Pakora's</t>
  </si>
  <si>
    <t xml:space="preserve">Chicken Pakora Cocktail </t>
  </si>
  <si>
    <t>Vegetable Pakora Bite 12G</t>
  </si>
  <si>
    <t>Vegetable Pakora Cocktail 30G</t>
  </si>
  <si>
    <t>Vegetable Pakora Large 100G</t>
  </si>
  <si>
    <t>Others</t>
  </si>
  <si>
    <t>Wraps</t>
  </si>
  <si>
    <t>Lamb Medditerranean Rolls 120G</t>
  </si>
  <si>
    <t>Chicken Medditerranean Rolls 120G</t>
  </si>
  <si>
    <t>Mexican Vegetable Burger 100G</t>
  </si>
  <si>
    <t>Prawn Toast</t>
  </si>
  <si>
    <t>Indian Meals</t>
  </si>
  <si>
    <t>Pilau Rice</t>
  </si>
  <si>
    <t>Tikka Masala Sauce</t>
  </si>
  <si>
    <t>Korma Sauce</t>
  </si>
  <si>
    <t>Jalfrezi Sauce</t>
  </si>
  <si>
    <t>Roganjosh Sauce</t>
  </si>
  <si>
    <t>Balti Sauce</t>
  </si>
  <si>
    <t>Dopiazza Sauce</t>
  </si>
  <si>
    <t>Madras Sauce</t>
  </si>
  <si>
    <t>Bombay Potato</t>
  </si>
  <si>
    <t>Vegetable Curry</t>
  </si>
  <si>
    <t>Oriental Meals</t>
  </si>
  <si>
    <t>Vegetable Fried Rice</t>
  </si>
  <si>
    <t>Egg Fried Rice</t>
  </si>
  <si>
    <t>Chowmein Sauce</t>
  </si>
  <si>
    <t xml:space="preserve">Stir Fried Vegetables </t>
  </si>
  <si>
    <t>Sweet &amp; Sour Sauce</t>
  </si>
  <si>
    <t>Black Bean Sauce</t>
  </si>
  <si>
    <t>Savoury Sauce</t>
  </si>
  <si>
    <t>Red Thai Curry Sauce</t>
  </si>
  <si>
    <t>Jasmine Rice</t>
  </si>
  <si>
    <t>Half Duck</t>
  </si>
  <si>
    <t>Mexican Meals</t>
  </si>
  <si>
    <t>Chicken Fajita</t>
  </si>
  <si>
    <t>Enchilada Sauce</t>
  </si>
  <si>
    <t>Chicken Enchilada</t>
  </si>
  <si>
    <t>Italian Meals</t>
  </si>
  <si>
    <t>Arrabiata Sauce</t>
  </si>
  <si>
    <t>Mushroom Sauce</t>
  </si>
  <si>
    <t>Chicken Green Curry Money Bags 12G</t>
  </si>
  <si>
    <t>Chicken Red Curry Bon Bon 12G</t>
  </si>
  <si>
    <t>Sweet &amp; Sour Chicken Wonton 12G</t>
  </si>
  <si>
    <t>Prawn Toast 15G</t>
  </si>
  <si>
    <t>Prawn Toast 10G</t>
  </si>
  <si>
    <t>Cheese &amp; Onion Loaded Potato Skins</t>
  </si>
  <si>
    <t>Garlic Breaded Mushrooms</t>
  </si>
  <si>
    <t>Potato Wedges</t>
  </si>
  <si>
    <t>Seafood Wontons 12G</t>
  </si>
  <si>
    <t>Mango Flavoured Tiger Prawns 18G</t>
  </si>
  <si>
    <t>Shrimp Roll 10G</t>
  </si>
  <si>
    <t>Kebabs</t>
  </si>
  <si>
    <t>Chicken Tikka 20G</t>
  </si>
  <si>
    <t>Coconut Coated Torpedo Prawns 15G</t>
  </si>
  <si>
    <t>Lancashire Cheese &amp; Damson Jelly Square Parcels 20G</t>
  </si>
  <si>
    <t>Duck Parcels 20G</t>
  </si>
  <si>
    <t>Produced/Out Sourced</t>
  </si>
  <si>
    <t>Thai Fish Lollipop 20G</t>
  </si>
  <si>
    <t>Green Thai Fish Nuggets 20G</t>
  </si>
  <si>
    <t>Green Thai Vegetable Crackers 20G</t>
  </si>
  <si>
    <t>Smoked Haddock &amp; Gruyere Cheese 14G</t>
  </si>
  <si>
    <t>Red Onion Marmalade &amp; Goat Cheese 18G</t>
  </si>
  <si>
    <t>Aegean Tomatoe's &amp; Balsamic Vinegar 14G</t>
  </si>
  <si>
    <t>Baked Pizza 18G</t>
  </si>
  <si>
    <t>Tempura Prawns 18G</t>
  </si>
  <si>
    <t>Butterfly Prawns 15G</t>
  </si>
  <si>
    <t>Bagels 12G</t>
  </si>
  <si>
    <t>Bilini's 12G</t>
  </si>
  <si>
    <t>Chicken &amp; Bean Empanada 18G</t>
  </si>
  <si>
    <t>Pan Cake</t>
  </si>
  <si>
    <t>6 Inch Tortilla</t>
  </si>
  <si>
    <t>Salsa Sause</t>
  </si>
  <si>
    <t>Sour Cream</t>
  </si>
  <si>
    <t>Tagliatelle Pasta</t>
  </si>
  <si>
    <t>Penne Pasta</t>
  </si>
  <si>
    <t>Bean &amp; Corn Parcel 30G</t>
  </si>
  <si>
    <t>Chicken Flauta 25G</t>
  </si>
  <si>
    <t>Chicken</t>
  </si>
  <si>
    <t>Marinated Diced Chicken</t>
  </si>
  <si>
    <t>Dips</t>
  </si>
  <si>
    <t>Tomato Dip 40G</t>
  </si>
  <si>
    <t>Sour Cream Dip 40G</t>
  </si>
  <si>
    <t>Sweet Chilli Dip 40G</t>
  </si>
  <si>
    <t>Mint Raita Dip 40G</t>
  </si>
  <si>
    <t>Mango Chilli Dip 40G</t>
  </si>
  <si>
    <t>Pecking Duck Sauce 40G</t>
  </si>
  <si>
    <t>Sweet Chilli Dip 11G</t>
  </si>
  <si>
    <t>Spicy Tomato Dip 30G</t>
  </si>
  <si>
    <t>Homous Dip 30G</t>
  </si>
  <si>
    <t>Sweet Chilli Dip 30G</t>
  </si>
  <si>
    <t xml:space="preserve"> </t>
  </si>
  <si>
    <t>Code</t>
  </si>
  <si>
    <t>Sub Category</t>
  </si>
  <si>
    <t>Chi|002</t>
  </si>
  <si>
    <t>Chi|003</t>
  </si>
  <si>
    <t>China</t>
  </si>
  <si>
    <t>Chi|001</t>
  </si>
  <si>
    <t>Vegetable Spring Roll 20G</t>
  </si>
  <si>
    <t>Thai|001</t>
  </si>
  <si>
    <t>Thailand</t>
  </si>
  <si>
    <t>Thai|002</t>
  </si>
  <si>
    <t>Viet|006</t>
  </si>
  <si>
    <t>Vietnam</t>
  </si>
  <si>
    <t>Thai|003</t>
  </si>
  <si>
    <t>Thai|004</t>
  </si>
  <si>
    <t>Thai|005</t>
  </si>
  <si>
    <t>Thai|006</t>
  </si>
  <si>
    <t>Thai|007</t>
  </si>
  <si>
    <t>Thai|008</t>
  </si>
  <si>
    <t>Thai|009</t>
  </si>
  <si>
    <t>Thai|010</t>
  </si>
  <si>
    <t>Thai|012</t>
  </si>
  <si>
    <t>Thai|013</t>
  </si>
  <si>
    <t>Viet|003</t>
  </si>
  <si>
    <t>Viet|002</t>
  </si>
  <si>
    <t>Viet|001</t>
  </si>
  <si>
    <t>Viet|004</t>
  </si>
  <si>
    <t>Viet|005</t>
  </si>
  <si>
    <t>Thai|014</t>
  </si>
  <si>
    <t>IND|001</t>
  </si>
  <si>
    <t>IND|002</t>
  </si>
  <si>
    <t>INDIA</t>
  </si>
  <si>
    <t>GAZ|001</t>
  </si>
  <si>
    <t>GAZ|002</t>
  </si>
  <si>
    <t>GAZ|003</t>
  </si>
  <si>
    <t>GAZ|004</t>
  </si>
  <si>
    <t>GAZ|005</t>
  </si>
  <si>
    <t>GAZ|006</t>
  </si>
  <si>
    <t>GAZ|007</t>
  </si>
  <si>
    <t>GAZ|008</t>
  </si>
  <si>
    <t>GAZ|009</t>
  </si>
  <si>
    <t>GAZEBO</t>
  </si>
  <si>
    <t>GAZ|010</t>
  </si>
  <si>
    <t>GAZ|011</t>
  </si>
  <si>
    <t>GAZ|012</t>
  </si>
  <si>
    <t>GAZ|013</t>
  </si>
  <si>
    <t>GAZ|014</t>
  </si>
  <si>
    <t>GAZ|015</t>
  </si>
  <si>
    <t>GAZ|016</t>
  </si>
  <si>
    <t>GAZ|017</t>
  </si>
  <si>
    <t>GAZ|018</t>
  </si>
  <si>
    <t>GAZ|019</t>
  </si>
  <si>
    <t>GAZ|020</t>
  </si>
  <si>
    <t>GAZ|021</t>
  </si>
  <si>
    <t>GAZ|022</t>
  </si>
  <si>
    <t>GAZ|023</t>
  </si>
  <si>
    <t>GAZ|024</t>
  </si>
  <si>
    <t>GAZ|025</t>
  </si>
  <si>
    <t>GAZ|026</t>
  </si>
  <si>
    <t>GAZ|027</t>
  </si>
  <si>
    <t>GAZ|028</t>
  </si>
  <si>
    <t>GAZ|029</t>
  </si>
  <si>
    <t>GAZ|030</t>
  </si>
  <si>
    <t>GAZ|031</t>
  </si>
  <si>
    <t>GAZ|032</t>
  </si>
  <si>
    <t>GAZ|033</t>
  </si>
  <si>
    <t>GAZ|034</t>
  </si>
  <si>
    <t>GAZ|035</t>
  </si>
  <si>
    <t>GAZ|036</t>
  </si>
  <si>
    <t>GAZ|037</t>
  </si>
  <si>
    <t>GAZ|038</t>
  </si>
  <si>
    <t>GAZ|039</t>
  </si>
  <si>
    <t>GAZ|040</t>
  </si>
  <si>
    <t>GAZ|041</t>
  </si>
  <si>
    <t>GAZ|042</t>
  </si>
  <si>
    <t>GAZ|043</t>
  </si>
  <si>
    <t>GAZ|044</t>
  </si>
  <si>
    <t>GAZ|045</t>
  </si>
  <si>
    <t>GAZ|046</t>
  </si>
  <si>
    <t>GAZ|047</t>
  </si>
  <si>
    <t>GAZ|048</t>
  </si>
  <si>
    <t>GAZ|049</t>
  </si>
  <si>
    <t>GAZ|050</t>
  </si>
  <si>
    <t>GAZ|051</t>
  </si>
  <si>
    <t>GAZ|052</t>
  </si>
  <si>
    <t>GAZ|053</t>
  </si>
  <si>
    <t>GAZ|054</t>
  </si>
  <si>
    <t>GAZ|055</t>
  </si>
  <si>
    <t>GAZ|056</t>
  </si>
  <si>
    <t>GAZ|057</t>
  </si>
  <si>
    <t>GAZ|058</t>
  </si>
  <si>
    <t>GAZ|059</t>
  </si>
  <si>
    <t>GAZ|060</t>
  </si>
  <si>
    <t>GAZ|061</t>
  </si>
  <si>
    <t>GAZ|062</t>
  </si>
  <si>
    <t>GAZ|063</t>
  </si>
  <si>
    <t>GAZ|064</t>
  </si>
  <si>
    <t>GAZ|065</t>
  </si>
  <si>
    <t>GAZ|066</t>
  </si>
  <si>
    <t>GAZ|067</t>
  </si>
  <si>
    <t>GAZ|068</t>
  </si>
  <si>
    <t>GAZ|069</t>
  </si>
  <si>
    <t>GAZ|070</t>
  </si>
  <si>
    <t>GAZ|071</t>
  </si>
  <si>
    <t>GAZ|072</t>
  </si>
  <si>
    <t>GAZ|073</t>
  </si>
  <si>
    <t>GAZ|074</t>
  </si>
  <si>
    <t>GAZ|075</t>
  </si>
  <si>
    <t>GAZ|076</t>
  </si>
  <si>
    <t>GAZ|077</t>
  </si>
  <si>
    <t>GAZ|078</t>
  </si>
  <si>
    <t>GAZ|079</t>
  </si>
  <si>
    <t>GAZ|080</t>
  </si>
  <si>
    <t>GAZ|081</t>
  </si>
  <si>
    <t>GAZ|082</t>
  </si>
  <si>
    <t>GAZ|083</t>
  </si>
  <si>
    <t>DIP|001</t>
  </si>
  <si>
    <t>DIP|002</t>
  </si>
  <si>
    <t>DIP|003</t>
  </si>
  <si>
    <t>DIP|004</t>
  </si>
  <si>
    <t>DIP|005</t>
  </si>
  <si>
    <t>DIP|006</t>
  </si>
  <si>
    <t>DIP|007</t>
  </si>
  <si>
    <t>DIP|008</t>
  </si>
  <si>
    <t>DIP|009</t>
  </si>
  <si>
    <t>DIP|010</t>
  </si>
  <si>
    <t>Steamed Potatoes</t>
  </si>
  <si>
    <t>Steamed Peas</t>
  </si>
  <si>
    <t>Steamed Diced Carrots</t>
  </si>
  <si>
    <t>Diced Onions</t>
  </si>
  <si>
    <t>Tomato Puree</t>
  </si>
  <si>
    <t>Lemon Juice</t>
  </si>
  <si>
    <t>Green Coriander</t>
  </si>
  <si>
    <t>Curry Paste (Balti Sauce)</t>
  </si>
  <si>
    <t>Salt</t>
  </si>
  <si>
    <t>Sugar</t>
  </si>
  <si>
    <t>Cumin Seeds</t>
  </si>
  <si>
    <t>Chilli Powder</t>
  </si>
  <si>
    <t>Tamarind Paste</t>
  </si>
  <si>
    <t>Garam Masala</t>
  </si>
  <si>
    <t>Potatoes</t>
  </si>
  <si>
    <t>Peas</t>
  </si>
  <si>
    <t>Carrots</t>
  </si>
  <si>
    <t>Onions</t>
  </si>
  <si>
    <t>Citric Acid</t>
  </si>
  <si>
    <t>Coriander Powder</t>
  </si>
  <si>
    <t>Cumin Powder</t>
  </si>
  <si>
    <t>Diced Chicken</t>
  </si>
  <si>
    <t>Soya Mince</t>
  </si>
  <si>
    <t>Water</t>
  </si>
  <si>
    <t>Whole Cumin</t>
  </si>
  <si>
    <t>Tikka Seasoning</t>
  </si>
  <si>
    <t>Potato</t>
  </si>
  <si>
    <t xml:space="preserve">Minced Lamb </t>
  </si>
  <si>
    <t>Rapeseed Oil</t>
  </si>
  <si>
    <t>Minced Lamb</t>
  </si>
  <si>
    <t>Cumins Seed</t>
  </si>
  <si>
    <t>Bean sprouts</t>
  </si>
  <si>
    <t>Shredded Carrots</t>
  </si>
  <si>
    <t>Shredded Cabbage</t>
  </si>
  <si>
    <t>Sliced onions</t>
  </si>
  <si>
    <t>Diced peppers red</t>
  </si>
  <si>
    <t>Diced Green Peppers</t>
  </si>
  <si>
    <t>Soya sauce</t>
  </si>
  <si>
    <t>Hot pepper sauce</t>
  </si>
  <si>
    <t>Ginger puree</t>
  </si>
  <si>
    <t>Beans-sprouts</t>
  </si>
  <si>
    <t>Bamboo Shoots</t>
  </si>
  <si>
    <t>Water Chestnuts</t>
  </si>
  <si>
    <t>Spring Onions</t>
  </si>
  <si>
    <t>Green Diced Peppers</t>
  </si>
  <si>
    <t>Red Diced Peppers</t>
  </si>
  <si>
    <t>White pepper</t>
  </si>
  <si>
    <t>Garlic puree</t>
  </si>
  <si>
    <t>Shredded Duck</t>
  </si>
  <si>
    <t>Potato Starch</t>
  </si>
  <si>
    <t>Plum Sauce</t>
  </si>
  <si>
    <t>Light Soya Sauce</t>
  </si>
  <si>
    <t>Ginger Puree</t>
  </si>
  <si>
    <t>Five Spices</t>
  </si>
  <si>
    <t>Lamb Fines</t>
  </si>
  <si>
    <t>Breadcrumbs</t>
  </si>
  <si>
    <t>Soya Minced</t>
  </si>
  <si>
    <t>Onion</t>
  </si>
  <si>
    <t>Wheat Flour</t>
  </si>
  <si>
    <t>Red Pepper</t>
  </si>
  <si>
    <t>Corainder Powder</t>
  </si>
  <si>
    <t>Garlic Powder</t>
  </si>
  <si>
    <t>Black Pepper crushed</t>
  </si>
  <si>
    <t>Chicken Fines</t>
  </si>
  <si>
    <t>Steamed Potatoes - Diced</t>
  </si>
  <si>
    <t>Gram Flour</t>
  </si>
  <si>
    <t>Spinach Leaf</t>
  </si>
  <si>
    <t>Black Pepper</t>
  </si>
  <si>
    <t>Turmeric</t>
  </si>
  <si>
    <t>Bicarbonate of Soda</t>
  </si>
  <si>
    <t xml:space="preserve">Wheat Flour </t>
  </si>
  <si>
    <t>Ground Coriander</t>
  </si>
  <si>
    <t xml:space="preserve">Turmeric Powder </t>
  </si>
  <si>
    <t>Ground Black Pepper</t>
  </si>
  <si>
    <t>Sodium Bicarbonate</t>
  </si>
  <si>
    <t>Turmeric Powder</t>
  </si>
  <si>
    <t>Chopped Spinach</t>
  </si>
  <si>
    <t>Spinach</t>
  </si>
  <si>
    <t>Semolina</t>
  </si>
  <si>
    <t>Spinach Frozen</t>
  </si>
  <si>
    <t>Bicarbonate Soda</t>
  </si>
  <si>
    <t>Broad Bean</t>
  </si>
  <si>
    <t>Chick Peas</t>
  </si>
  <si>
    <t>Dice Onion</t>
  </si>
  <si>
    <t>Chopped Parsely</t>
  </si>
  <si>
    <t>Fresh Chop Coriander</t>
  </si>
  <si>
    <t>Oil</t>
  </si>
  <si>
    <t>Corinader Powder</t>
  </si>
  <si>
    <t xml:space="preserve">Grated Carrot </t>
  </si>
  <si>
    <t>Sliced Onion</t>
  </si>
  <si>
    <t>Rice Flour</t>
  </si>
  <si>
    <t>Fresh Coriander</t>
  </si>
  <si>
    <t>Creshed Coriander</t>
  </si>
  <si>
    <t>Gram Masala</t>
  </si>
  <si>
    <t>Baking Powders</t>
  </si>
  <si>
    <t>Chilli Powders</t>
  </si>
  <si>
    <t xml:space="preserve">Turmeric </t>
  </si>
  <si>
    <t>Mashed Prawns</t>
  </si>
  <si>
    <t>Ginger</t>
  </si>
  <si>
    <t>Starch</t>
  </si>
  <si>
    <t>Sliced Bread 9g/unit</t>
  </si>
  <si>
    <t>Sesame Seeds 2g/unit</t>
  </si>
  <si>
    <t>Fish Mince</t>
  </si>
  <si>
    <t xml:space="preserve">Red Pepper </t>
  </si>
  <si>
    <t>Bread Crumb</t>
  </si>
  <si>
    <t>Egg Liquid</t>
  </si>
  <si>
    <t>Corn Flour</t>
  </si>
  <si>
    <t>Red Curry Paste</t>
  </si>
  <si>
    <t>Lemon Grass</t>
  </si>
  <si>
    <t>Coriander</t>
  </si>
  <si>
    <t>Fish Sauce</t>
  </si>
  <si>
    <t xml:space="preserve">Lime Leaves </t>
  </si>
  <si>
    <t>MIXEX VEGETABLES</t>
  </si>
  <si>
    <t>DICED POTATOES</t>
  </si>
  <si>
    <t>KIDNEY BEANS</t>
  </si>
  <si>
    <t>POTATO FLAKES</t>
  </si>
  <si>
    <t>APEX</t>
  </si>
  <si>
    <t>GRAM FLOUR</t>
  </si>
  <si>
    <t>HOT SAUCE</t>
  </si>
  <si>
    <t>MIXED PEPPERS</t>
  </si>
  <si>
    <t>Mild Cheddar Cheese</t>
  </si>
  <si>
    <t xml:space="preserve">Salt </t>
  </si>
  <si>
    <t>Vegetable Oil</t>
  </si>
  <si>
    <t>TOPPING</t>
  </si>
  <si>
    <t>Potato Skins</t>
  </si>
  <si>
    <t>Cheese (Topping)</t>
  </si>
  <si>
    <t>Chive (Topping)</t>
  </si>
  <si>
    <t>Chicken Inner Fillet</t>
  </si>
  <si>
    <t>Malt Vinegar</t>
  </si>
  <si>
    <t>Curry Leaves</t>
  </si>
  <si>
    <t>Red Chilli Powder</t>
  </si>
  <si>
    <t>Paprika Extract</t>
  </si>
  <si>
    <t>Oyster Sauce</t>
  </si>
  <si>
    <t xml:space="preserve">Soya Sauce </t>
  </si>
  <si>
    <t>Vegetable Oil (Rapeseed)</t>
  </si>
  <si>
    <t>Sesame Oil</t>
  </si>
  <si>
    <t>Black Beans Paste</t>
  </si>
  <si>
    <t>Vegetable Bouillon Powder</t>
  </si>
  <si>
    <t>Black Sugar</t>
  </si>
  <si>
    <t>SHREADDED CARROTS</t>
  </si>
  <si>
    <t>Red Pepper Sliced</t>
  </si>
  <si>
    <t>Savoy Cabbage Sliced</t>
  </si>
  <si>
    <t>Beansprouts</t>
  </si>
  <si>
    <t>Easy Cook Rice</t>
  </si>
  <si>
    <t>Liquid Egg</t>
  </si>
  <si>
    <t>Green Peas</t>
  </si>
  <si>
    <t>Diced Onion</t>
  </si>
  <si>
    <t>Spring Onion</t>
  </si>
  <si>
    <t>Sweet and Sour Sauce</t>
  </si>
  <si>
    <t xml:space="preserve">Water  </t>
  </si>
  <si>
    <t>Onions -25mm Diced</t>
  </si>
  <si>
    <t>Red Pepper -20mm Diced</t>
  </si>
  <si>
    <t>Carrot Baton</t>
  </si>
  <si>
    <t>Black Bean Garlic Sauce</t>
  </si>
  <si>
    <t>Red Pepper-20mm Diced</t>
  </si>
  <si>
    <t>Vegetable Bouillon</t>
  </si>
  <si>
    <t>Green Chilli Puree</t>
  </si>
  <si>
    <t>Jasmin Thai Rice</t>
  </si>
  <si>
    <t>Lemongrass Puree</t>
  </si>
  <si>
    <t>Coconut Milk</t>
  </si>
  <si>
    <t>Baby Corn</t>
  </si>
  <si>
    <t>Fresh Beans</t>
  </si>
  <si>
    <t>Thai Red Carry Paste</t>
  </si>
  <si>
    <t>Tomato Paste</t>
  </si>
  <si>
    <t>Bamboo Shoot</t>
  </si>
  <si>
    <t>Galangal Puree</t>
  </si>
  <si>
    <t>Basil</t>
  </si>
  <si>
    <t>Lime Leaf</t>
  </si>
  <si>
    <t>Green Pepper</t>
  </si>
  <si>
    <t xml:space="preserve">Cooked Chicken – Diced </t>
  </si>
  <si>
    <t>Steamed Green Peas</t>
  </si>
  <si>
    <t>Chopped Coriander</t>
  </si>
  <si>
    <t>Garlic Puree</t>
  </si>
  <si>
    <t>Jerk Seasoning</t>
  </si>
  <si>
    <t xml:space="preserve">Water </t>
  </si>
  <si>
    <t xml:space="preserve">Easy Cook Basmati Rice </t>
  </si>
  <si>
    <t>Crushed Chillies</t>
  </si>
  <si>
    <t>Single Cream</t>
  </si>
  <si>
    <t>Onion Puree</t>
  </si>
  <si>
    <t>Low Fat Yogurt</t>
  </si>
  <si>
    <t>Cashew Nut Puree</t>
  </si>
  <si>
    <t>Honey</t>
  </si>
  <si>
    <t>Butter Unsalted</t>
  </si>
  <si>
    <t>Tandoori Masala</t>
  </si>
  <si>
    <t>Paprika Powder</t>
  </si>
  <si>
    <t>Low Fat Yoghurt</t>
  </si>
  <si>
    <t>Chopped Tomato</t>
  </si>
  <si>
    <t>Coconut Cream</t>
  </si>
  <si>
    <t>Almond Powder</t>
  </si>
  <si>
    <t>Mace Powder</t>
  </si>
  <si>
    <t>Cardamom Powder</t>
  </si>
  <si>
    <t>Fennel Powder</t>
  </si>
  <si>
    <t>Asafoetida</t>
  </si>
  <si>
    <t>Cinnamon Powder</t>
  </si>
  <si>
    <t>Clove Powder</t>
  </si>
  <si>
    <t>Red Pepper Diced - 20mm</t>
  </si>
  <si>
    <t>Green Pepper Diced- 20mm</t>
  </si>
  <si>
    <t>Diced Onions - 25mm</t>
  </si>
  <si>
    <t>Red Chilli Fresh 1/8</t>
  </si>
  <si>
    <t>Julienne Chicken</t>
  </si>
  <si>
    <t>Red Peppers CP Cut</t>
  </si>
  <si>
    <t>Green Peppers CP Cut</t>
  </si>
  <si>
    <t>Onions CP Cut</t>
  </si>
  <si>
    <t>Fajita Seasoning</t>
  </si>
  <si>
    <t>Chopped Onions  (2-6mm)</t>
  </si>
  <si>
    <t>Olive Oil</t>
  </si>
  <si>
    <t>Red Pepper  - Diced</t>
  </si>
  <si>
    <t>Green Pepper - Diced</t>
  </si>
  <si>
    <t>Red Chilli Puree</t>
  </si>
  <si>
    <t>Basil IQF</t>
  </si>
  <si>
    <t>Cheddar Cheese</t>
  </si>
  <si>
    <t>Sweet corn</t>
  </si>
  <si>
    <t xml:space="preserve">Diced Onions  </t>
  </si>
  <si>
    <t>Diced Chicken Cooked</t>
  </si>
  <si>
    <t>Red Peppers Diced</t>
  </si>
  <si>
    <t>Green Peppers Diced</t>
  </si>
  <si>
    <t>Onions Diced</t>
  </si>
  <si>
    <t>Dried Basil</t>
  </si>
  <si>
    <t>Diced Potatoes (20mm) Cooked</t>
  </si>
  <si>
    <t>Mustard Seeds</t>
  </si>
  <si>
    <t>Diced Tomatoes</t>
  </si>
  <si>
    <t>Chopped Onions (2-6mm)</t>
  </si>
  <si>
    <t>Yoghurt</t>
  </si>
  <si>
    <t>Red Pepper Diced (20mm)</t>
  </si>
  <si>
    <t>Green Pepper Diced (20mm)</t>
  </si>
  <si>
    <t>Diced Onions  (25mm)</t>
  </si>
  <si>
    <t>Onion Seeds (Kalonji)</t>
  </si>
  <si>
    <t>Coriander - Crushed</t>
  </si>
  <si>
    <t>Black Pepper Powder</t>
  </si>
  <si>
    <t>Cocktail Onions</t>
  </si>
  <si>
    <t>Tomato Chopped</t>
  </si>
  <si>
    <t>White Sugar</t>
  </si>
  <si>
    <t>Steamed Carrots – 10mm</t>
  </si>
  <si>
    <t>Sliced Mushroom</t>
  </si>
  <si>
    <t xml:space="preserve">Olive Oil </t>
  </si>
  <si>
    <t>Dry Oregano</t>
  </si>
  <si>
    <t>Coconut Flour - Fine</t>
  </si>
  <si>
    <t>Water (for Corn Flour)</t>
  </si>
  <si>
    <t>Caramelised Sugar Syrup</t>
  </si>
  <si>
    <t>Curry Leaves Fresh</t>
  </si>
  <si>
    <t>Red Chilli Crushed</t>
  </si>
  <si>
    <t>Star Aniseed Powder *</t>
  </si>
  <si>
    <t>Paprika Extract *</t>
  </si>
  <si>
    <t>IQF Cauliflower</t>
  </si>
  <si>
    <t>Double Cream</t>
  </si>
  <si>
    <t>IQF Cut Corn</t>
  </si>
  <si>
    <t>Diced Potato-20mm</t>
  </si>
  <si>
    <t>IQF Beans</t>
  </si>
  <si>
    <t>IQF Peas</t>
  </si>
  <si>
    <t>Carrots Batons</t>
  </si>
  <si>
    <t>Butter Unsalted 1300</t>
  </si>
  <si>
    <t>Cashewnuts Puree</t>
  </si>
  <si>
    <t>*Vegetable Bouillion Powder</t>
  </si>
  <si>
    <t xml:space="preserve">Paprika Powder </t>
  </si>
  <si>
    <t>Kasuri Methi</t>
  </si>
  <si>
    <t>Ingredients</t>
  </si>
  <si>
    <t>Beans Sprouts</t>
  </si>
  <si>
    <t>PRODUCT NAME</t>
  </si>
  <si>
    <t>ONION PUREE</t>
  </si>
  <si>
    <t>CHEDDAR CHEESE</t>
  </si>
  <si>
    <t>3MM SLICED ONIONS</t>
  </si>
  <si>
    <t>10MM DICED ONIONS</t>
  </si>
  <si>
    <t>10MM DICED POTATOES</t>
  </si>
  <si>
    <t>3 X 3 X20MM SHREDDED CARROTS</t>
  </si>
  <si>
    <t>3MM SHREDDED  CABBAGE</t>
  </si>
  <si>
    <t>10 X 10MM DICED CARROTS</t>
  </si>
  <si>
    <t>SLICED RED PEPPER</t>
  </si>
  <si>
    <t>DICED RED PEPPER 20MM</t>
  </si>
  <si>
    <t>Pepper Red - CP cut</t>
  </si>
  <si>
    <t>Pepper Green - CP cut</t>
  </si>
  <si>
    <t>Potato Diced 20Mm</t>
  </si>
  <si>
    <t>DICED ONIONS 25MM</t>
  </si>
  <si>
    <t>FRESH GREEN BEANS BATON (30-60MM(</t>
  </si>
  <si>
    <t>BABY CORN DICED</t>
  </si>
  <si>
    <t>BATON CARROT 2.5MM</t>
  </si>
  <si>
    <t>SAVOY CABBAGE SHREDDED JULIAN</t>
  </si>
  <si>
    <t>DICED GREEN PEPPER 25MM</t>
  </si>
  <si>
    <t>CHOPPED ONION 2-6 MM</t>
  </si>
  <si>
    <t>FRESH CORIANDER CHOPPED</t>
  </si>
  <si>
    <t>SLICED MUSHROOM</t>
  </si>
  <si>
    <t>CP-CUT ONION</t>
  </si>
  <si>
    <t>GINGER PUREE</t>
  </si>
  <si>
    <t>GARLIC PUREE</t>
  </si>
  <si>
    <t>BEANSPROUTS CATERING PACK</t>
  </si>
  <si>
    <t>JULIENNE CHICKEN-CHICKEN STRIPS</t>
  </si>
  <si>
    <t>TIMS NATURAL YOGHURT</t>
  </si>
  <si>
    <t>SINGLE CREAM</t>
  </si>
  <si>
    <t>DC4  DOUBLE CREAM</t>
  </si>
  <si>
    <t>FROZEN PRODCUTS</t>
  </si>
  <si>
    <t>CHICKEN</t>
  </si>
  <si>
    <t>CHICKEN PAKORA</t>
  </si>
  <si>
    <t>CHICKEN FINES</t>
  </si>
  <si>
    <t>LAMB</t>
  </si>
  <si>
    <t>DUCK</t>
  </si>
  <si>
    <t xml:space="preserve">PRAWNS </t>
  </si>
  <si>
    <t>POTATO SKINS</t>
  </si>
  <si>
    <t>SPRING ONIONS</t>
  </si>
  <si>
    <t>DICED PEPPERS GREEN</t>
  </si>
  <si>
    <t>DICED PEPPERS RED</t>
  </si>
  <si>
    <t>MIXED VEGETABLE</t>
  </si>
  <si>
    <t>CORIANDER</t>
  </si>
  <si>
    <t>SPINACH</t>
  </si>
  <si>
    <t>PEAS</t>
  </si>
  <si>
    <t>LEMON JUICE</t>
  </si>
  <si>
    <t>SOYA MINCE</t>
  </si>
  <si>
    <t>BAMBOO SHOOTS</t>
  </si>
  <si>
    <t>WATER CHESTNUTS</t>
  </si>
  <si>
    <t>WHEAT FLOUR (Victoria)</t>
  </si>
  <si>
    <t>TOMATO PUREE</t>
  </si>
  <si>
    <t>POTATO STARCH</t>
  </si>
  <si>
    <t>SESAME SEEDS</t>
  </si>
  <si>
    <t>SEMOLINA</t>
  </si>
  <si>
    <t>BAKING POWDER</t>
  </si>
  <si>
    <t>BREADCRUMBS</t>
  </si>
  <si>
    <t>MALT VINEGAR</t>
  </si>
  <si>
    <t>RICE FLOUR</t>
  </si>
  <si>
    <t>DRY GOODS</t>
  </si>
  <si>
    <t>3Mm Sliced Onions</t>
  </si>
  <si>
    <t>10Mm Diced Onions</t>
  </si>
  <si>
    <t>10Mm Diced Potatoes</t>
  </si>
  <si>
    <t>3 X 3 X20Mm Shredded Carrots</t>
  </si>
  <si>
    <t>3Mm Shredded  Cabbage</t>
  </si>
  <si>
    <t>10 X 10Mm Diced Carrots</t>
  </si>
  <si>
    <t>Sliced Red Pepper</t>
  </si>
  <si>
    <t>Diced Red Pepper 20Mm</t>
  </si>
  <si>
    <t>Pepper Red - Cp Cut</t>
  </si>
  <si>
    <t>Pepper Green - Cp Cut</t>
  </si>
  <si>
    <t>Diced Onions 25Mm</t>
  </si>
  <si>
    <t>Fresh Green Beans Baton (30-60Mm(</t>
  </si>
  <si>
    <t>Baby Corn Diced</t>
  </si>
  <si>
    <t>Baton Carrot 2.5Mm</t>
  </si>
  <si>
    <t>Savoy Cabbage Shredded Julian</t>
  </si>
  <si>
    <t>Diced Green Pepper 25Mm</t>
  </si>
  <si>
    <t>Chopped Onion 2-6 Mm</t>
  </si>
  <si>
    <t>Fresh Coriander Chopped</t>
  </si>
  <si>
    <t>Cp-Cut Onion</t>
  </si>
  <si>
    <t>Beansprouts Catering Pack</t>
  </si>
  <si>
    <t>Julienne Chicken-Chicken Strips</t>
  </si>
  <si>
    <t>Tims Natural Yoghurt</t>
  </si>
  <si>
    <t>Dc4  Double Cream</t>
  </si>
  <si>
    <t/>
  </si>
  <si>
    <t>Chicken Pakora</t>
  </si>
  <si>
    <t>Lamb</t>
  </si>
  <si>
    <t>Duck</t>
  </si>
  <si>
    <t xml:space="preserve">Prawns </t>
  </si>
  <si>
    <t>Diced Peppers Green</t>
  </si>
  <si>
    <t>Diced Peppers Red</t>
  </si>
  <si>
    <t>Mixed Vegetable</t>
  </si>
  <si>
    <t>FROZEN PRODUCTS</t>
  </si>
  <si>
    <t>Wheat Flour (Victoria)</t>
  </si>
  <si>
    <t>Potato Flakes</t>
  </si>
  <si>
    <t>Kidney Beans</t>
  </si>
  <si>
    <t>Sesame Seeds</t>
  </si>
  <si>
    <t>Baking Powder</t>
  </si>
  <si>
    <t>DRY PRODUCTS</t>
  </si>
  <si>
    <t xml:space="preserve">                          FRESH PRODUCTS                                                                                                                                                                          FRESH PRODUCTS                                                                                                                                                                                                                                                        FRESH PRODUCTS                                                                                                                                                                                                                        FRESH PRODUCTS</t>
  </si>
  <si>
    <t>Spices</t>
  </si>
  <si>
    <t>Balti Curry Paste</t>
  </si>
  <si>
    <t>VS15G</t>
  </si>
  <si>
    <t>VS25G</t>
  </si>
  <si>
    <t>CSR20G</t>
  </si>
  <si>
    <t>VSR15G</t>
  </si>
  <si>
    <t>VSR20G</t>
  </si>
  <si>
    <t>CTSXLJ120G</t>
  </si>
  <si>
    <t>CTSL100G</t>
  </si>
  <si>
    <t>CTSL100GS</t>
  </si>
  <si>
    <t>CTSM75G</t>
  </si>
  <si>
    <t>CTSC40G</t>
  </si>
  <si>
    <t>CTSC25G</t>
  </si>
  <si>
    <t>JCSL120G</t>
  </si>
  <si>
    <t>VSL100G</t>
  </si>
  <si>
    <t>VSL100GS</t>
  </si>
  <si>
    <t>VSC25G</t>
  </si>
  <si>
    <t>VSC25GS</t>
  </si>
  <si>
    <t>VSC35G</t>
  </si>
  <si>
    <t>VSC40G</t>
  </si>
  <si>
    <t>VSXLJ140G</t>
  </si>
  <si>
    <t>LSL100G</t>
  </si>
  <si>
    <t>LSC25G</t>
  </si>
  <si>
    <t>LSC40G</t>
  </si>
  <si>
    <t>LSXLJ120G</t>
  </si>
  <si>
    <t>LSL75G</t>
  </si>
  <si>
    <t>LSL100GS</t>
  </si>
  <si>
    <t>CSRM50G</t>
  </si>
  <si>
    <t>VSR25G</t>
  </si>
  <si>
    <t>VSRL85G</t>
  </si>
  <si>
    <t>VSRM50G</t>
  </si>
  <si>
    <t>MDSRM50G</t>
  </si>
  <si>
    <t>OBL100G</t>
  </si>
  <si>
    <t>ORKG</t>
  </si>
  <si>
    <t>SOBKG</t>
  </si>
  <si>
    <t>SBC30G</t>
  </si>
  <si>
    <t>SBL100G</t>
  </si>
  <si>
    <t>C&amp; OOnion BBhajis 20G</t>
  </si>
  <si>
    <t>P&amp; SSpinach BBhaji 20G</t>
  </si>
  <si>
    <t>C&amp; CCoriander BBhaji 20G</t>
  </si>
  <si>
    <t>CPC</t>
  </si>
  <si>
    <t>VPB12G</t>
  </si>
  <si>
    <t>VPC30G</t>
  </si>
  <si>
    <t>VPL100G</t>
  </si>
  <si>
    <t>F</t>
  </si>
  <si>
    <t>LMR120G</t>
  </si>
  <si>
    <t>CMR120G</t>
  </si>
  <si>
    <t>MVB100G</t>
  </si>
  <si>
    <t>PR</t>
  </si>
  <si>
    <t>TMS</t>
  </si>
  <si>
    <t>KS</t>
  </si>
  <si>
    <t>JS</t>
  </si>
  <si>
    <t>RS</t>
  </si>
  <si>
    <t>BS</t>
  </si>
  <si>
    <t>DS</t>
  </si>
  <si>
    <t>MS</t>
  </si>
  <si>
    <t>BP</t>
  </si>
  <si>
    <t>VC</t>
  </si>
  <si>
    <t>VFR</t>
  </si>
  <si>
    <t>EFR</t>
  </si>
  <si>
    <t>CS</t>
  </si>
  <si>
    <t>SFV</t>
  </si>
  <si>
    <t>S&amp; SSour S</t>
  </si>
  <si>
    <t>BBS</t>
  </si>
  <si>
    <t>SS</t>
  </si>
  <si>
    <t>RTCS</t>
  </si>
  <si>
    <t>JR</t>
  </si>
  <si>
    <t>SD</t>
  </si>
  <si>
    <t>HD</t>
  </si>
  <si>
    <t>CF</t>
  </si>
  <si>
    <t>ES</t>
  </si>
  <si>
    <t>CE</t>
  </si>
  <si>
    <t>AS</t>
  </si>
  <si>
    <t>C&amp; OOnion LLoaded PPotato S</t>
  </si>
  <si>
    <t>BDM&amp; CCranberry BBaskets 16G</t>
  </si>
  <si>
    <t>CT18G</t>
  </si>
  <si>
    <t>CK18G</t>
  </si>
  <si>
    <t>CT20G</t>
  </si>
  <si>
    <t>LC&amp; DDamson JJelly SSquare PParcels 20G</t>
  </si>
  <si>
    <t>TFL20G</t>
  </si>
  <si>
    <t>GTVC20G</t>
  </si>
  <si>
    <t>SH&amp; GGruyere CCheese 14G</t>
  </si>
  <si>
    <t>ROM&amp; GGoat CCheese 18G</t>
  </si>
  <si>
    <t>AT&amp; BBalsamic VVinegar 14G</t>
  </si>
  <si>
    <t>C&amp; BBean EEmpanada 18G</t>
  </si>
  <si>
    <t>PC</t>
  </si>
  <si>
    <t>B&amp; CCorn PParcel 30G</t>
  </si>
  <si>
    <t>CF25G</t>
  </si>
  <si>
    <t>Code 1</t>
  </si>
  <si>
    <t>VSB15G</t>
  </si>
  <si>
    <t>CTS120G</t>
  </si>
  <si>
    <t>CTS100G</t>
  </si>
  <si>
    <t>CTS100GS</t>
  </si>
  <si>
    <t>CTS75G</t>
  </si>
  <si>
    <t>CTS40G</t>
  </si>
  <si>
    <t>CTS25G</t>
  </si>
  <si>
    <t>JCS120G</t>
  </si>
  <si>
    <t>VS100G</t>
  </si>
  <si>
    <t>VS100GS</t>
  </si>
  <si>
    <t>VS25GS</t>
  </si>
  <si>
    <t>VS35G</t>
  </si>
  <si>
    <t>VS40G</t>
  </si>
  <si>
    <t>VS140G</t>
  </si>
  <si>
    <t>LS100G</t>
  </si>
  <si>
    <t>LS25G</t>
  </si>
  <si>
    <t>LS40G</t>
  </si>
  <si>
    <t>LS120G</t>
  </si>
  <si>
    <t>LS75G</t>
  </si>
  <si>
    <t>LS100GS</t>
  </si>
  <si>
    <t>CSR50G</t>
  </si>
  <si>
    <t>VSR85G</t>
  </si>
  <si>
    <t>VSR50G</t>
  </si>
  <si>
    <t>DSR50G</t>
  </si>
  <si>
    <t>OB100G</t>
  </si>
  <si>
    <t>SOBKJ</t>
  </si>
  <si>
    <t>SB30G</t>
  </si>
  <si>
    <t>SB100G</t>
  </si>
  <si>
    <t>COB20G</t>
  </si>
  <si>
    <t>PSB20G</t>
  </si>
  <si>
    <t>CCB20G</t>
  </si>
  <si>
    <t>VP12G</t>
  </si>
  <si>
    <t>FAL20G</t>
  </si>
  <si>
    <t>PILRI</t>
  </si>
  <si>
    <t>TIKSAU</t>
  </si>
  <si>
    <t>JALSAU</t>
  </si>
  <si>
    <t>ROGSAU</t>
  </si>
  <si>
    <t>DOPSAU</t>
  </si>
  <si>
    <t>VEGCUR</t>
  </si>
  <si>
    <t>VEGRI</t>
  </si>
  <si>
    <t>EGGRI</t>
  </si>
  <si>
    <t>CHOSAU</t>
  </si>
  <si>
    <t>STIVEGETABL</t>
  </si>
  <si>
    <t>BLASAU</t>
  </si>
  <si>
    <t>ENCSAU</t>
  </si>
  <si>
    <t>ARRSAU</t>
  </si>
  <si>
    <t>MUSSAU</t>
  </si>
  <si>
    <t>SOUCRE</t>
  </si>
  <si>
    <t>TAGPAS</t>
  </si>
  <si>
    <t>MARCHICK</t>
  </si>
  <si>
    <t>SAVSAU</t>
  </si>
  <si>
    <t>KORSAU</t>
  </si>
  <si>
    <t>BALSAU</t>
  </si>
  <si>
    <t>MADSAU</t>
  </si>
  <si>
    <t>BOMPOTA</t>
  </si>
  <si>
    <t>JASRI</t>
  </si>
  <si>
    <t>SHRDU</t>
  </si>
  <si>
    <t>HALDU</t>
  </si>
  <si>
    <t>CHIFAJI</t>
  </si>
  <si>
    <t>CHIENCHILA</t>
  </si>
  <si>
    <t>PANCA</t>
  </si>
  <si>
    <t>SALSAU</t>
  </si>
  <si>
    <t>PENPAS</t>
  </si>
  <si>
    <t>OUTSOURC</t>
  </si>
  <si>
    <t>CHKTIK20G</t>
  </si>
  <si>
    <t>SWES</t>
  </si>
  <si>
    <t>OB12G</t>
  </si>
  <si>
    <t>OB30G</t>
  </si>
  <si>
    <t>OMSauce</t>
  </si>
  <si>
    <t>DSR20G</t>
  </si>
  <si>
    <t>CGCMB12G</t>
  </si>
  <si>
    <t>MRDIP40G</t>
  </si>
  <si>
    <t>HOUDIP30G</t>
  </si>
  <si>
    <t>DSR15G</t>
  </si>
  <si>
    <t>DSR30G</t>
  </si>
  <si>
    <t>Code 2</t>
  </si>
  <si>
    <t>CPCOCG</t>
  </si>
  <si>
    <t>GAZ|084</t>
  </si>
  <si>
    <t>CSR1M50G</t>
  </si>
  <si>
    <t>CSR50G1</t>
  </si>
  <si>
    <t>GAZ|085</t>
  </si>
  <si>
    <t>VSR1M50G</t>
  </si>
  <si>
    <t>VSR50G1</t>
  </si>
  <si>
    <t>Chicken Spring Roll Medium 50G- R1</t>
  </si>
  <si>
    <t>Vegetable Spring Roll Medium 50G- R1</t>
  </si>
  <si>
    <t>Falafels 20G</t>
  </si>
  <si>
    <t>Unit Weight</t>
  </si>
  <si>
    <t>Var</t>
  </si>
  <si>
    <t>Tbc</t>
  </si>
  <si>
    <t>VSR25G1</t>
  </si>
  <si>
    <t>Vegetable Spring Roll 25G- R1</t>
  </si>
  <si>
    <t>CSRC25G</t>
  </si>
  <si>
    <t>CSRB20G</t>
  </si>
  <si>
    <t>CSR1C25G</t>
  </si>
  <si>
    <t>CSR25G1</t>
  </si>
  <si>
    <t>Chicken Spring Roll Cocktail 25G- R1</t>
  </si>
  <si>
    <t>Status</t>
  </si>
  <si>
    <t>Discontinued</t>
  </si>
  <si>
    <t>CTS1C25G</t>
  </si>
  <si>
    <t>Chicken Tikka Samosa Cocktail 25G R-1</t>
  </si>
  <si>
    <t>CTS25G1</t>
  </si>
  <si>
    <t>Holt</t>
  </si>
  <si>
    <t>Live</t>
  </si>
  <si>
    <t>Recipe No</t>
  </si>
  <si>
    <t>One Mix Qty/ Qty Per Batch</t>
  </si>
  <si>
    <t>Number Of Units Per Pastry  Sheet</t>
  </si>
  <si>
    <t>Recipe Name</t>
  </si>
  <si>
    <t>Vegetable Samosa</t>
  </si>
  <si>
    <t>Vegetable Spring roll</t>
  </si>
  <si>
    <t>Lamb Samosa</t>
  </si>
  <si>
    <t>Chicken Spring roll</t>
  </si>
  <si>
    <t>Duck Spring roll</t>
  </si>
  <si>
    <t>Onion Bhaji</t>
  </si>
  <si>
    <t>Chicken Tikka Samosa</t>
  </si>
  <si>
    <t>Jerk Chicken Samosa</t>
  </si>
  <si>
    <t>Spinach Bhaji</t>
  </si>
  <si>
    <t>Chicken Green Curry</t>
  </si>
  <si>
    <t>Chicken Red Curry</t>
  </si>
  <si>
    <t>Sweet &amp; Sour</t>
  </si>
  <si>
    <t>Vegetable Pakora</t>
  </si>
  <si>
    <t>Tikka Masala</t>
  </si>
  <si>
    <t>Vegetable Fried</t>
  </si>
  <si>
    <t>Black Bean</t>
  </si>
  <si>
    <t>Red Thai Curry</t>
  </si>
  <si>
    <t xml:space="preserve">Chicken Tikka Samosa </t>
  </si>
  <si>
    <t>Shredded Onion Bhaji</t>
  </si>
  <si>
    <t>Pecking Duck Sauce</t>
  </si>
  <si>
    <t>Onion Rings</t>
  </si>
  <si>
    <t>Carrot Bhaji</t>
  </si>
  <si>
    <t>Potato &amp; Spinach Bhaji</t>
  </si>
  <si>
    <t>Coconut &amp; Coriander Bhaji</t>
  </si>
  <si>
    <t>Lamb Mediterranean Rolls</t>
  </si>
  <si>
    <t>Chicken Mediterranean Rolls</t>
  </si>
  <si>
    <t>Tomato Sauce</t>
  </si>
  <si>
    <t>Sweet Chilli Sauce</t>
  </si>
  <si>
    <t>Sour Cream Sauce</t>
  </si>
  <si>
    <t>Spicy Tomato Sauce</t>
  </si>
  <si>
    <t>Mango Chilli Sauce</t>
  </si>
  <si>
    <t>Houmous Sauce</t>
  </si>
  <si>
    <t>Garlic Breaded Musrooms</t>
  </si>
  <si>
    <t>Falafels</t>
  </si>
  <si>
    <t>Mexican Vegetable Burger</t>
  </si>
  <si>
    <t>Seafood Wontons</t>
  </si>
  <si>
    <t>Green Thai Fish Nuggets</t>
  </si>
  <si>
    <t>Coconut Coated Torpedo Prawns</t>
  </si>
  <si>
    <t>Sweet Chilli Prawn Parcels</t>
  </si>
  <si>
    <t>Mango Flavoured Tiger Prawn</t>
  </si>
  <si>
    <t>Tempura Prawn</t>
  </si>
  <si>
    <t>Fish Cakes</t>
  </si>
  <si>
    <t>Hot &amp; Spicy Coated Torpedo Prawns</t>
  </si>
  <si>
    <t>Red &amp; White Bouble</t>
  </si>
  <si>
    <t>Mint Raita Sauce</t>
  </si>
  <si>
    <t>Shrimp Roll</t>
  </si>
  <si>
    <t>Duck Parcels</t>
  </si>
  <si>
    <t>Baked Pizza</t>
  </si>
  <si>
    <t>Butterfly Prawns</t>
  </si>
  <si>
    <t>Bagels</t>
  </si>
  <si>
    <t>Bilini's</t>
  </si>
  <si>
    <t>Tortilla</t>
  </si>
  <si>
    <t>Brie &amp; Cranberry Tartlets</t>
  </si>
  <si>
    <t>Chicken Tikka</t>
  </si>
  <si>
    <t>Chicken Tandoori</t>
  </si>
  <si>
    <t>Chicken Korma</t>
  </si>
  <si>
    <t>Chicken Flauta</t>
  </si>
  <si>
    <t>Thai Fish Lollipop</t>
  </si>
  <si>
    <t>Green Thai Vegetable Crackers</t>
  </si>
  <si>
    <t>Chicken &amp; Bean Empanada</t>
  </si>
  <si>
    <t>Bean &amp; Corn Parcel</t>
  </si>
  <si>
    <t>Lancashire Cheese &amp; Damson Jelly Parcels</t>
  </si>
  <si>
    <t>Smokked Haddock &amp; Gruyere Cheese</t>
  </si>
  <si>
    <t>Red Onion Marmalade &amp; Goats Cheese</t>
  </si>
  <si>
    <t>Aegean Tomatoes &amp; Balsamic Vinegar</t>
  </si>
  <si>
    <t>Recipe Reference</t>
  </si>
  <si>
    <t>Snacks</t>
  </si>
  <si>
    <t>Ready Meals</t>
  </si>
  <si>
    <t>Out Sourced / Produced ?</t>
  </si>
  <si>
    <t>Regular</t>
  </si>
  <si>
    <t>X-Mas</t>
  </si>
  <si>
    <t>GFF003R</t>
  </si>
  <si>
    <t>GFF039R</t>
  </si>
  <si>
    <t>GFF006R</t>
  </si>
  <si>
    <t>GFF106R</t>
  </si>
  <si>
    <t>GFF004R</t>
  </si>
  <si>
    <t>tbc</t>
  </si>
  <si>
    <t>GFF005R</t>
  </si>
  <si>
    <t>GFF040R</t>
  </si>
  <si>
    <t>GFF008R</t>
  </si>
  <si>
    <t>GFF014R</t>
  </si>
  <si>
    <t>GFF009-1R</t>
  </si>
  <si>
    <t>GFF010-1R</t>
  </si>
  <si>
    <t>GFF032R</t>
  </si>
  <si>
    <t>GFF037R</t>
  </si>
  <si>
    <t>GFF013-2R</t>
  </si>
  <si>
    <t>GFF013-1R</t>
  </si>
  <si>
    <t>GFF013-3R</t>
  </si>
  <si>
    <t>GFF024R</t>
  </si>
  <si>
    <t>GFF045R</t>
  </si>
  <si>
    <t>GFF044R</t>
  </si>
  <si>
    <t>GFF017-1R</t>
  </si>
  <si>
    <t>GFF091R</t>
  </si>
  <si>
    <t>GFF092R</t>
  </si>
  <si>
    <t>GFF093R</t>
  </si>
  <si>
    <t>GFF095R</t>
  </si>
  <si>
    <t>GFF094R</t>
  </si>
  <si>
    <t>GFF051R</t>
  </si>
  <si>
    <t>GFF073R</t>
  </si>
  <si>
    <t>GFF101R</t>
  </si>
  <si>
    <t>GFF100R</t>
  </si>
  <si>
    <t>GFF108R</t>
  </si>
  <si>
    <t>GFF090R</t>
  </si>
  <si>
    <t>GFF067R</t>
  </si>
  <si>
    <t>GFF063R</t>
  </si>
  <si>
    <t>GFF066R</t>
  </si>
  <si>
    <t>Stir Fried Vegetables</t>
  </si>
  <si>
    <t>GFF068R</t>
  </si>
  <si>
    <t>GFF069R</t>
  </si>
  <si>
    <t>GFF070R</t>
  </si>
  <si>
    <t>GFF071R</t>
  </si>
  <si>
    <t>GFF072R</t>
  </si>
  <si>
    <t>GFF096R</t>
  </si>
  <si>
    <t>GFF098R</t>
  </si>
  <si>
    <t>GFF099R</t>
  </si>
  <si>
    <t>GFF097R</t>
  </si>
  <si>
    <t>GFF088R</t>
  </si>
  <si>
    <t>Duck Spring Roll Medium 50G</t>
  </si>
  <si>
    <t>Regular /Occasional</t>
  </si>
  <si>
    <t>Alternative Code</t>
  </si>
  <si>
    <t>Occasional</t>
  </si>
  <si>
    <t>GAZ|086</t>
  </si>
  <si>
    <t>OB30G-IND</t>
  </si>
  <si>
    <t>TBC</t>
  </si>
  <si>
    <t>GAZ|087</t>
  </si>
  <si>
    <t>GAZ|088</t>
  </si>
  <si>
    <t>GAZ|089</t>
  </si>
  <si>
    <t>GZRM001</t>
  </si>
  <si>
    <t>GZRM002</t>
  </si>
  <si>
    <t>GZRM003</t>
  </si>
  <si>
    <t>GZRM005</t>
  </si>
  <si>
    <t>GZRM004</t>
  </si>
  <si>
    <t>GZRM008</t>
  </si>
  <si>
    <t>GZRM006</t>
  </si>
  <si>
    <t>GZRM009</t>
  </si>
  <si>
    <t>GZRM007</t>
  </si>
  <si>
    <t>GZRM010</t>
  </si>
  <si>
    <t>GZRM011</t>
  </si>
  <si>
    <t>GZRM012</t>
  </si>
  <si>
    <t>GZRM013</t>
  </si>
  <si>
    <t>GZRM014</t>
  </si>
  <si>
    <t>GZRM015</t>
  </si>
  <si>
    <t>GZRM016</t>
  </si>
  <si>
    <t>GZRM017</t>
  </si>
  <si>
    <t>GZRM018</t>
  </si>
  <si>
    <t>GZRM019</t>
  </si>
  <si>
    <t>GZRM020</t>
  </si>
  <si>
    <t>GZRM021</t>
  </si>
  <si>
    <t>GZRM022</t>
  </si>
  <si>
    <t>GZRM023</t>
  </si>
  <si>
    <t>GZRM024</t>
  </si>
  <si>
    <t>GZRM025</t>
  </si>
  <si>
    <t>GZRM026</t>
  </si>
  <si>
    <t>GZRM027</t>
  </si>
  <si>
    <t>GZRM028</t>
  </si>
  <si>
    <t>GZRM029</t>
  </si>
  <si>
    <t>GZRM030</t>
  </si>
  <si>
    <t>GZRM031</t>
  </si>
  <si>
    <t>GZRM032</t>
  </si>
  <si>
    <t>Vegetarian (Y,N)</t>
  </si>
  <si>
    <t>N</t>
  </si>
  <si>
    <t>Y</t>
  </si>
  <si>
    <t>GFF038R</t>
  </si>
  <si>
    <t>-</t>
  </si>
  <si>
    <t>SPICE</t>
  </si>
  <si>
    <t>PREPARATION</t>
  </si>
  <si>
    <t>REMARK</t>
  </si>
  <si>
    <t>AMOUNT PER BATCH</t>
  </si>
  <si>
    <t>DEPARTMENT</t>
  </si>
  <si>
    <t>INGREDIENTS</t>
  </si>
  <si>
    <t>SUPPLIER</t>
  </si>
  <si>
    <t>PURCHASE INGREDIENT NAME</t>
  </si>
  <si>
    <t>PURCHASE CODE</t>
  </si>
  <si>
    <t>GAZ|090</t>
  </si>
  <si>
    <t>OB12G-IND</t>
  </si>
  <si>
    <t>Onion Bhaji Bite 12G - IND</t>
  </si>
  <si>
    <t>Onion Bhaji Cocktail 30G  - IND</t>
  </si>
  <si>
    <t>Ready Meal Code</t>
  </si>
  <si>
    <t>CRCBB12G</t>
  </si>
  <si>
    <t>SSCW12G</t>
  </si>
  <si>
    <t>Vegetable Spring Roll 30G</t>
  </si>
  <si>
    <t>VSR30G-O</t>
  </si>
  <si>
    <t>Duck Spring Roll 15G</t>
  </si>
  <si>
    <t>Chicken Spring Roll 20G</t>
  </si>
  <si>
    <t>GBMUS</t>
  </si>
  <si>
    <t>GBMU</t>
  </si>
  <si>
    <t>POTWEG</t>
  </si>
  <si>
    <t>Content Master 12/10/2015</t>
  </si>
  <si>
    <t>None</t>
  </si>
  <si>
    <t>TMDIP40G</t>
  </si>
  <si>
    <t>SCHDIP40G</t>
  </si>
  <si>
    <t>PDS40G</t>
  </si>
  <si>
    <t>SCRDIP40G</t>
  </si>
  <si>
    <t>SHDIP11G</t>
  </si>
  <si>
    <t>STMDIP30G</t>
  </si>
  <si>
    <t>SCHDIP30G</t>
  </si>
  <si>
    <t>MCHDIP40G</t>
  </si>
  <si>
    <t>DIP40G-01</t>
  </si>
  <si>
    <t>DIP40G-02</t>
  </si>
  <si>
    <t>DIP40G-03</t>
  </si>
  <si>
    <t>DIP40G-04</t>
  </si>
  <si>
    <t>DIP40G-05</t>
  </si>
  <si>
    <t>DIP40G-06</t>
  </si>
  <si>
    <t>DIP11G-01</t>
  </si>
  <si>
    <t>DIP30G-01</t>
  </si>
  <si>
    <t>DIP30G-02</t>
  </si>
  <si>
    <t>DIP30G-03</t>
  </si>
  <si>
    <t>MPS</t>
  </si>
  <si>
    <t>Vegetable Samosa |15G</t>
  </si>
  <si>
    <t>Vegetable Spring Roll | 15G</t>
  </si>
  <si>
    <t>Mini Duck Spring Rolls | 20G</t>
  </si>
  <si>
    <t>Chicken Spring Rolls | 20G</t>
  </si>
  <si>
    <t>Chicken Green Curry Moneybag Wonton | 12G</t>
  </si>
  <si>
    <t>Gazebo</t>
  </si>
  <si>
    <t>Onion Bhaji | 12G</t>
  </si>
  <si>
    <t>Seeded Vegetable Samosas | 25G</t>
  </si>
  <si>
    <t>Coconut &amp; Coriander Bhaji | 20G</t>
  </si>
  <si>
    <t>Spinach Pakora | 20G</t>
  </si>
  <si>
    <t>M&amp;J Foods</t>
  </si>
  <si>
    <t>Smoked Haddock &amp; Gourmet Cheese Tartlets | 16G</t>
  </si>
  <si>
    <t>Red Onion Marmalade &amp; Goat Cheese Tartlets | 18G</t>
  </si>
  <si>
    <t>Tandoori Chicken Kebabs | 18G</t>
  </si>
  <si>
    <t>Korma Chicken Kebabs |18G</t>
  </si>
  <si>
    <t>Chicken Tikka Kebabs | 18G</t>
  </si>
  <si>
    <t>Fountain Frozen</t>
  </si>
  <si>
    <t>Hawkshead</t>
  </si>
  <si>
    <t>Cheese &amp; Damson Jelly Sq Parcels | 20G</t>
  </si>
  <si>
    <t>Chicken &amp; Sundried Tomato | 10G</t>
  </si>
  <si>
    <t>Peppered Chicken With Basil Pesto | 10G</t>
  </si>
  <si>
    <t>Fresh Olive</t>
  </si>
  <si>
    <t>Mozzarella Cheese &amp; Sundried Tomato | 10G</t>
  </si>
  <si>
    <t>Red Pepper &amp; Creame Cheese | 10G</t>
  </si>
  <si>
    <t>Chicken Pakora | 18 - 20G</t>
  </si>
  <si>
    <t>Hara Bara Chicken Bites | 18 - 20G</t>
  </si>
  <si>
    <t>Trangs</t>
  </si>
  <si>
    <t>Thai Fish Cakes | 20G</t>
  </si>
  <si>
    <t>Hot &amp; Spicy Prawn | 10G</t>
  </si>
  <si>
    <t>Coconut Flavoured Torpedo Prawn | 15G</t>
  </si>
  <si>
    <t>Sweet Chilli Prawn Corriander Parcels | 20G</t>
  </si>
  <si>
    <t>Red &amp; White Bouble | 18G</t>
  </si>
  <si>
    <t>Square Prawn Toast  | 15G</t>
  </si>
  <si>
    <t>Funny Bones</t>
  </si>
  <si>
    <t>P B Foods</t>
  </si>
  <si>
    <t>Pensworth</t>
  </si>
  <si>
    <t>Spicy Tomato Dip 40G</t>
  </si>
  <si>
    <t>Pidy</t>
  </si>
  <si>
    <t>Brie &amp; Cranberry Tartlets | 16G</t>
  </si>
  <si>
    <t>Brie De Meaux &amp; Cranberry Tartlets | 16G</t>
  </si>
  <si>
    <t>Spikomat</t>
  </si>
  <si>
    <t>Skewers Pack 1 x 12</t>
  </si>
  <si>
    <t>Tepegushi Sticks</t>
  </si>
  <si>
    <t>Skewers Pack 1 x 8</t>
  </si>
  <si>
    <t>Supplier</t>
  </si>
  <si>
    <t>LCDJQ20G</t>
  </si>
  <si>
    <t>TFLO20G</t>
  </si>
  <si>
    <t>SHGC14G</t>
  </si>
  <si>
    <t>ROMGC18G</t>
  </si>
  <si>
    <t>ATBV14G</t>
  </si>
  <si>
    <t>CBE18G</t>
  </si>
  <si>
    <t>BCP30G</t>
  </si>
  <si>
    <t>CHFL25G</t>
  </si>
  <si>
    <t>PRTO10G</t>
  </si>
  <si>
    <t>PRTO15G</t>
  </si>
  <si>
    <t>SEWO12G</t>
  </si>
  <si>
    <t>MTPR18G</t>
  </si>
  <si>
    <t>TEPR18G</t>
  </si>
  <si>
    <t>GTFN20G</t>
  </si>
  <si>
    <t>Chicken Spring Roll 25G</t>
  </si>
  <si>
    <t>HSPR12G</t>
  </si>
  <si>
    <t>CTPR15G</t>
  </si>
  <si>
    <t>SCPRP-20G</t>
  </si>
  <si>
    <t>PRT0--G</t>
  </si>
  <si>
    <t>PCBP10G</t>
  </si>
  <si>
    <t>Peppered Chicken With Basil Pesto 10G</t>
  </si>
  <si>
    <t>Peppered Chicken With Basil Pesto</t>
  </si>
  <si>
    <t>Mozzerella Cheese &amp; Sundried Tomato</t>
  </si>
  <si>
    <t>Mozzerella Cheese &amp; Sundried Tomato 10G</t>
  </si>
  <si>
    <t>MCST10G</t>
  </si>
  <si>
    <t>ORINGVAR</t>
  </si>
  <si>
    <t>GAZ|091</t>
  </si>
  <si>
    <t>Chicken &amp; Sundried Tomatoes</t>
  </si>
  <si>
    <t>Chicken &amp; Sundried Tomatoes 10G</t>
  </si>
  <si>
    <t>CSTO10G</t>
  </si>
  <si>
    <t>GAZ|092</t>
  </si>
  <si>
    <t>Red Pepper &amp; Cream Cheese</t>
  </si>
  <si>
    <t>Red Pepper &amp; Cream Cheese 10G</t>
  </si>
  <si>
    <t>RPCC10G</t>
  </si>
  <si>
    <t>GAZ|093</t>
  </si>
  <si>
    <t>Hara Bhara Chicken Bites</t>
  </si>
  <si>
    <t>HBCB</t>
  </si>
  <si>
    <t>Hara Bhara Chicken Bites 18-20G</t>
  </si>
  <si>
    <t>GAZ|094</t>
  </si>
  <si>
    <t>Smokked Haddock &amp; Gourmet Cheese Tartlets</t>
  </si>
  <si>
    <t>Smokked Haddock &amp; Gourmet Cheese Tartlets 16G</t>
  </si>
  <si>
    <t>GAZ|095</t>
  </si>
  <si>
    <t>Sweet Chilli Prawn &amp; Corriander Parcels 20G</t>
  </si>
  <si>
    <t>Accessories</t>
  </si>
  <si>
    <t>Skewers Pack 1 X 12</t>
  </si>
  <si>
    <t>STK001</t>
  </si>
  <si>
    <t>1 X 12</t>
  </si>
  <si>
    <t>Skewers Pack 1 X 8</t>
  </si>
  <si>
    <t>STK002</t>
  </si>
  <si>
    <t>1 X 8</t>
  </si>
  <si>
    <t>Sticks</t>
  </si>
  <si>
    <t>STK003</t>
  </si>
  <si>
    <t>Tepegushi Sticks - Loose</t>
  </si>
  <si>
    <t>1 x 1</t>
  </si>
  <si>
    <t>Red &amp; White Bauble 18G</t>
  </si>
  <si>
    <t>Square Prawn Toast 15G</t>
  </si>
  <si>
    <t>Hot &amp; Spicy Coated Prawns 10G</t>
  </si>
  <si>
    <t>Thai Fish Cake 20G</t>
  </si>
  <si>
    <t>TFIC20G</t>
  </si>
  <si>
    <t>SHGCT16G</t>
  </si>
  <si>
    <t>Brie &amp; Cranberry Tartlets 16G</t>
  </si>
  <si>
    <t>Brie De Meaux &amp; Cranberry Tartlets 16G</t>
  </si>
  <si>
    <t>Brie De Meaux &amp; Cranberry Tartlets</t>
  </si>
  <si>
    <t>BCT16G</t>
  </si>
  <si>
    <t>BDMCT16G</t>
  </si>
  <si>
    <t>N/A</t>
  </si>
  <si>
    <t>Chicken Tikka 18 - 20G</t>
  </si>
  <si>
    <t>Chicken Tandoori 18 - 20G</t>
  </si>
  <si>
    <t>Chicken Korma 18 - 20G</t>
  </si>
  <si>
    <t>CHKTAN20G</t>
  </si>
  <si>
    <t>CHKKOR20G</t>
  </si>
  <si>
    <t>GFF036R</t>
  </si>
  <si>
    <t>Falafel</t>
  </si>
  <si>
    <t>GZRM033</t>
  </si>
  <si>
    <t>Pan cake</t>
  </si>
  <si>
    <t>DIP50G-01</t>
  </si>
  <si>
    <t>Pecking Duck Sauce 50G</t>
  </si>
  <si>
    <t>PDS50G</t>
  </si>
  <si>
    <t>not available</t>
  </si>
  <si>
    <t>COPS</t>
  </si>
  <si>
    <t>COPS90G</t>
  </si>
  <si>
    <t>Cheese &amp; Onion Loaded Potato Skins 90G</t>
  </si>
  <si>
    <t>VP30G</t>
  </si>
  <si>
    <t>VP100G</t>
  </si>
  <si>
    <t>Middx Meat</t>
  </si>
  <si>
    <t>Chicken Curry Panini Fill</t>
  </si>
  <si>
    <t>GZRM034</t>
  </si>
  <si>
    <t>GAZ|096</t>
  </si>
  <si>
    <t>CCPC</t>
  </si>
  <si>
    <t>Onion Bhaji 40G New Recipe</t>
  </si>
  <si>
    <t>Vegetable Samosa 40G New Recipe</t>
  </si>
  <si>
    <t>Vegetable Pakora 30G New Recipe</t>
  </si>
  <si>
    <t>GAZ|097</t>
  </si>
  <si>
    <t>GAZ|098</t>
  </si>
  <si>
    <t>GAZ|099</t>
  </si>
  <si>
    <t>Pakora</t>
  </si>
  <si>
    <t>OB40G</t>
  </si>
  <si>
    <t>VS40G1</t>
  </si>
  <si>
    <t>VP30G1</t>
  </si>
  <si>
    <t>Onion Bhaji Cocktail 40G</t>
  </si>
  <si>
    <t>Vegetable Samosa 40G- R1</t>
  </si>
  <si>
    <t>Vegetable Pakora Cocktail 30G- R1</t>
  </si>
  <si>
    <t>Burgers</t>
  </si>
  <si>
    <t>Cooked Lamb</t>
  </si>
  <si>
    <t>GZRM035</t>
  </si>
  <si>
    <t>Noodles</t>
  </si>
  <si>
    <t>Cooked Noodles</t>
  </si>
  <si>
    <t>GZRM036</t>
  </si>
  <si>
    <t>Cashew Nuts</t>
  </si>
  <si>
    <t>GZRM037</t>
  </si>
  <si>
    <t>GZRM038</t>
  </si>
  <si>
    <t>Red Onion Marmalade &amp; Goat Cheese Tartlets 18G</t>
  </si>
  <si>
    <t>SPTO15G</t>
  </si>
  <si>
    <t>Mint Raita Dip 40G- Short Life</t>
  </si>
  <si>
    <t>DIP|011</t>
  </si>
  <si>
    <t>Mint Raita Dip 40G - Short Life</t>
  </si>
  <si>
    <t>CSR25G</t>
  </si>
  <si>
    <t>VSR30G</t>
  </si>
  <si>
    <t>Chicken Tikka Samosa Large 75G</t>
  </si>
  <si>
    <t>RWBA18G</t>
  </si>
  <si>
    <t>GAZ|100</t>
  </si>
  <si>
    <t>GZRM039</t>
  </si>
  <si>
    <t>Butter Sauce</t>
  </si>
  <si>
    <t>GAZ|102</t>
  </si>
  <si>
    <t>Dopiazza Sauce - R1</t>
  </si>
  <si>
    <t>GZRM040</t>
  </si>
  <si>
    <t>GAZ|104</t>
  </si>
  <si>
    <t>Jalfrezi Sauce - R1</t>
  </si>
  <si>
    <t>GZRM041</t>
  </si>
  <si>
    <t>GAZ|103</t>
  </si>
  <si>
    <t>Madras Sauce - R1</t>
  </si>
  <si>
    <t>GZRM042</t>
  </si>
  <si>
    <t>GAZ|105</t>
  </si>
  <si>
    <t>GZRM043</t>
  </si>
  <si>
    <t>Saag Masala Sauce</t>
  </si>
  <si>
    <t>GAZ|106</t>
  </si>
  <si>
    <t>Mango Masala Sauce</t>
  </si>
  <si>
    <t>GZRM044</t>
  </si>
  <si>
    <t>Cooked Prawns</t>
  </si>
  <si>
    <t>GZRM045</t>
  </si>
  <si>
    <t>GAZ|107</t>
  </si>
  <si>
    <t>Black Bean Sauce - R1</t>
  </si>
  <si>
    <t>GZRM046</t>
  </si>
  <si>
    <t>GAZ|108</t>
  </si>
  <si>
    <t>Diced Lamb</t>
  </si>
  <si>
    <t>GAZ|109</t>
  </si>
  <si>
    <t>Savoury Sauce - R1</t>
  </si>
  <si>
    <t>GZRM047</t>
  </si>
  <si>
    <t>GZRM048</t>
  </si>
  <si>
    <t>GAZ|110</t>
  </si>
  <si>
    <t>Chowmein Sauce - R1</t>
  </si>
  <si>
    <t>GZRM049</t>
  </si>
  <si>
    <t>GAZ|111</t>
  </si>
  <si>
    <t>Cooked Rice Noodles</t>
  </si>
  <si>
    <t>Stir Fried Vegetables - R1</t>
  </si>
  <si>
    <t>Singapore Sauce</t>
  </si>
  <si>
    <t>Stir Fried Chicken</t>
  </si>
  <si>
    <t>GZRM050</t>
  </si>
  <si>
    <t>GZRM051</t>
  </si>
  <si>
    <t>GZRM052</t>
  </si>
  <si>
    <t>GZRM053</t>
  </si>
  <si>
    <t>GAZ|112</t>
  </si>
  <si>
    <t>GAZ|113</t>
  </si>
  <si>
    <t>GAZ|114</t>
  </si>
  <si>
    <t>GAZ|115</t>
  </si>
  <si>
    <t>Szechuan Sauce</t>
  </si>
  <si>
    <t>GZRM054</t>
  </si>
  <si>
    <t>GAZ|116</t>
  </si>
  <si>
    <t>Bombay Potato - R1</t>
  </si>
  <si>
    <t>GZRM055</t>
  </si>
  <si>
    <t>GAZ|117</t>
  </si>
  <si>
    <t>Pilau Rice W/Crispy Onions</t>
  </si>
  <si>
    <t>GZRM056</t>
  </si>
  <si>
    <t>GAZ|118</t>
  </si>
  <si>
    <t>Saag Aloo Gobi</t>
  </si>
  <si>
    <t>GZRM057</t>
  </si>
  <si>
    <t>GAZ|119</t>
  </si>
  <si>
    <t>Egg Fried Rice - R1</t>
  </si>
  <si>
    <t>GZRM058</t>
  </si>
  <si>
    <t>GAZ|120</t>
  </si>
  <si>
    <t>Egg Noodles</t>
  </si>
  <si>
    <t>GZRM059</t>
  </si>
  <si>
    <t>GAZ|121</t>
  </si>
  <si>
    <t>Biryani Rice</t>
  </si>
  <si>
    <t>Tandoori Chicken</t>
  </si>
  <si>
    <t>Biryani Sauce</t>
  </si>
  <si>
    <t>Fried Onions</t>
  </si>
  <si>
    <t>GZRM060</t>
  </si>
  <si>
    <t>GZRM061</t>
  </si>
  <si>
    <t>GZRM062</t>
  </si>
  <si>
    <t>GZRM063</t>
  </si>
  <si>
    <t>GAZ|122</t>
  </si>
  <si>
    <t>GAZ|123</t>
  </si>
  <si>
    <t>GAZ|124</t>
  </si>
  <si>
    <t>GAZ|125</t>
  </si>
  <si>
    <t>Battered Chicken Fillets</t>
  </si>
  <si>
    <t>GZRM064</t>
  </si>
  <si>
    <t>GAZ|126</t>
  </si>
  <si>
    <t>Lemon Sauce</t>
  </si>
  <si>
    <t>GZRM065</t>
  </si>
  <si>
    <t>GAZ|127</t>
  </si>
  <si>
    <t>Sweet &amp; Sour Sauce - R1</t>
  </si>
  <si>
    <t>GZRM066</t>
  </si>
  <si>
    <t>GAZ|128</t>
  </si>
  <si>
    <t>Garlic &amp; Corriander Naan</t>
  </si>
  <si>
    <t>GZRM067</t>
  </si>
  <si>
    <t>GAZ|129</t>
  </si>
  <si>
    <t>Plain Naan</t>
  </si>
  <si>
    <t>GZRM068</t>
  </si>
  <si>
    <t>Prawn</t>
  </si>
  <si>
    <t>naan</t>
  </si>
  <si>
    <t>GFF121R</t>
  </si>
  <si>
    <t>GFF122R</t>
  </si>
  <si>
    <t>GFF123R</t>
  </si>
  <si>
    <t>GAZ|130</t>
  </si>
  <si>
    <t>LS25G-HF</t>
  </si>
  <si>
    <t>Lamb Samosa Cocktail 25G - Half Fried</t>
  </si>
  <si>
    <t>GAZ|131</t>
  </si>
  <si>
    <t>OB30G-HF</t>
  </si>
  <si>
    <t>Onion Bhaji Cocktail 30G - Half Fried</t>
  </si>
  <si>
    <t>GAZ|132</t>
  </si>
  <si>
    <t>Duck Spring Roll</t>
  </si>
  <si>
    <t>Duck Spring Roll Medium 50G - R1</t>
  </si>
  <si>
    <t>DSR50G1</t>
  </si>
  <si>
    <t>GZRM069</t>
  </si>
  <si>
    <t>GAZ|133</t>
  </si>
  <si>
    <t>GAZ|134</t>
  </si>
  <si>
    <t>GAZ|135</t>
  </si>
  <si>
    <t>GZRM070</t>
  </si>
  <si>
    <t>British Chicken</t>
  </si>
  <si>
    <t>British Cooked Chicken</t>
  </si>
  <si>
    <t>Vegetable Curry Sauce</t>
  </si>
  <si>
    <t>Rogan josh Sauce -R1</t>
  </si>
  <si>
    <t>Thai Green Curry Sauce</t>
  </si>
  <si>
    <t>GZRM071</t>
  </si>
  <si>
    <t>GZRM072</t>
  </si>
  <si>
    <t>GZRM073</t>
  </si>
  <si>
    <t>Cooked Beef Sliced</t>
  </si>
  <si>
    <t>GFF113R</t>
  </si>
  <si>
    <t>GFF114R</t>
  </si>
  <si>
    <t>GFF111R</t>
  </si>
  <si>
    <t>GFF110R</t>
  </si>
  <si>
    <t>GFF112R</t>
  </si>
  <si>
    <t>Number Of Person 1</t>
  </si>
  <si>
    <t>Number Of Person 5</t>
  </si>
  <si>
    <t>Number Of Person 4</t>
  </si>
  <si>
    <t>Number Of Person 3</t>
  </si>
  <si>
    <t>Number Of Person 2</t>
  </si>
  <si>
    <t>Description 2</t>
  </si>
  <si>
    <t>Hot &amp; Spicy Coated Prawns 12G</t>
  </si>
  <si>
    <t>Viet|007</t>
  </si>
  <si>
    <t>HSPR10G</t>
  </si>
  <si>
    <t>Onion Bhaji Cocktail 30G - IND</t>
  </si>
  <si>
    <t>GFF012-4F</t>
  </si>
  <si>
    <t>GFF012-6F</t>
  </si>
  <si>
    <t>GFF012-5F</t>
  </si>
  <si>
    <t>GFF120R</t>
  </si>
  <si>
    <t>GFF116R</t>
  </si>
  <si>
    <t>GFF125R</t>
  </si>
  <si>
    <t>GAZ|136</t>
  </si>
  <si>
    <t>GFF024-R</t>
  </si>
  <si>
    <t>GFF117R</t>
  </si>
  <si>
    <t>DSR20G1</t>
  </si>
  <si>
    <t>Duck Spring Roll 20G - R1</t>
  </si>
  <si>
    <t>No of Units Per Pastry Sheet</t>
  </si>
  <si>
    <t>GFF007R</t>
  </si>
  <si>
    <t>Chicken Pakora Cocktail</t>
  </si>
  <si>
    <t>GFF009-4R</t>
  </si>
  <si>
    <t>GFF009-2R</t>
  </si>
  <si>
    <t>GFF124R</t>
  </si>
  <si>
    <t>GFF109R</t>
  </si>
  <si>
    <t>Dip-R1</t>
  </si>
  <si>
    <t>Spicy Tomato Dip - R1</t>
  </si>
  <si>
    <t>Dip-R2</t>
  </si>
  <si>
    <t>Sweet Chilli Dip - R2</t>
  </si>
  <si>
    <t>Mozzrella Sticks</t>
  </si>
  <si>
    <t>MZSTK20G</t>
  </si>
  <si>
    <t>Stuffed Jalepeno Peppers</t>
  </si>
  <si>
    <t>JALP27G</t>
  </si>
  <si>
    <t>Mozzarella Sticks 20G</t>
  </si>
  <si>
    <t>Stuffed Jalapeno Peppers 27G</t>
  </si>
  <si>
    <t>Houmous Dip 30G</t>
  </si>
  <si>
    <t>GZRM074</t>
  </si>
  <si>
    <t>Plain Naan - Small</t>
  </si>
  <si>
    <t>Plain Naan - Large</t>
  </si>
  <si>
    <t>British sliced stir fry beef  5cm x 4cm thin sliced</t>
  </si>
  <si>
    <t>British 95vl diced lamb of leg  20-25gms pieces</t>
  </si>
  <si>
    <t>Sliced Chicken Breast</t>
  </si>
  <si>
    <t>GZRM075</t>
  </si>
  <si>
    <t>DIP40G-07</t>
  </si>
  <si>
    <t>British sliced chicken breast  - 9cm x 1.5cm long</t>
  </si>
  <si>
    <t>GFF127R</t>
  </si>
  <si>
    <t>GFF129R</t>
  </si>
  <si>
    <t>GFF130R</t>
  </si>
  <si>
    <t>GFF131R</t>
  </si>
  <si>
    <t>GFF132R</t>
  </si>
  <si>
    <t>GFF134R</t>
  </si>
  <si>
    <t>GFF135R</t>
  </si>
  <si>
    <t>GFF136R</t>
  </si>
  <si>
    <t>GFF137R</t>
  </si>
  <si>
    <t>GFF140R</t>
  </si>
  <si>
    <t>GFF138R</t>
  </si>
  <si>
    <t>GFF139R</t>
  </si>
  <si>
    <t>GFF133R</t>
  </si>
  <si>
    <t>GZRM076</t>
  </si>
  <si>
    <t>Korma Sauce - R1</t>
  </si>
  <si>
    <t>GFF141R</t>
  </si>
  <si>
    <t>GZRM077</t>
  </si>
  <si>
    <t>Tikka Masala Sauce - R1</t>
  </si>
  <si>
    <t>GFF143R</t>
  </si>
  <si>
    <t>GZRM078</t>
  </si>
  <si>
    <t>Pilau Rice - R1</t>
  </si>
  <si>
    <t>GFF145R</t>
  </si>
  <si>
    <t>GFF147R</t>
  </si>
  <si>
    <t>GFF146R</t>
  </si>
  <si>
    <t>GFF128R</t>
  </si>
  <si>
    <t>GFF148R</t>
  </si>
  <si>
    <t>GFF144R</t>
  </si>
  <si>
    <t>GFF149R</t>
  </si>
  <si>
    <t>GFF151R</t>
  </si>
  <si>
    <t>GFF150R</t>
  </si>
  <si>
    <t>GFF152R</t>
  </si>
  <si>
    <t>GFF154R</t>
  </si>
  <si>
    <t>GFF153R</t>
  </si>
  <si>
    <t>GZRM079</t>
  </si>
  <si>
    <t>Jasmine Rice - R1</t>
  </si>
  <si>
    <t>GFF162R</t>
  </si>
  <si>
    <t>GFF163R</t>
  </si>
  <si>
    <t>GFF164R</t>
  </si>
  <si>
    <t>Stir Fried Vegetables - R2</t>
  </si>
  <si>
    <t>GZRM080</t>
  </si>
  <si>
    <t>GFF158R</t>
  </si>
  <si>
    <t>GFF157R</t>
  </si>
  <si>
    <t>Stir Fried Vegetables - R3</t>
  </si>
  <si>
    <t>GZRM081</t>
  </si>
  <si>
    <t>GFF156R</t>
  </si>
  <si>
    <t>GFF159R</t>
  </si>
  <si>
    <t>GFF161R</t>
  </si>
  <si>
    <t>Cooked Egg</t>
  </si>
  <si>
    <t>GZRM082</t>
  </si>
  <si>
    <t>GZRM083</t>
  </si>
  <si>
    <t>GZRM084</t>
  </si>
  <si>
    <t>Beef</t>
  </si>
  <si>
    <t>GFF142R</t>
  </si>
  <si>
    <t>Ready Fried Onions</t>
  </si>
  <si>
    <t>Marinated</t>
  </si>
  <si>
    <t>Marinated Beef</t>
  </si>
  <si>
    <t>British Marinated Chicken</t>
  </si>
  <si>
    <t>Chicken Tikka Kebabs</t>
  </si>
  <si>
    <t>GFF165R</t>
  </si>
  <si>
    <t>GFF166R</t>
  </si>
  <si>
    <t>VIRANI FOOD PRODUTS</t>
  </si>
  <si>
    <t>Oyster &amp; Soy Sauce</t>
  </si>
  <si>
    <t>TCMB18G</t>
  </si>
  <si>
    <t>Rogan josh Sauce - R1</t>
  </si>
  <si>
    <t>Macaroni &amp; Cheese Roll</t>
  </si>
  <si>
    <t>MCR150G</t>
  </si>
  <si>
    <t>Macaroni &amp; Cheese Roll 150G</t>
  </si>
  <si>
    <t>GFF160R</t>
  </si>
  <si>
    <t>British Diced Breast chicken 12-14g (Tandoori)</t>
  </si>
  <si>
    <t>British Diced Breast chicken 12-14g (Marinated)</t>
  </si>
  <si>
    <t>British Diced Breast chicken 12-14g (Tikka Marinate)</t>
  </si>
  <si>
    <t>Recipe Status On Master Ingredient File</t>
  </si>
  <si>
    <t>Available</t>
  </si>
  <si>
    <t>Not Available</t>
  </si>
  <si>
    <t>NOT APPLICABLE</t>
  </si>
  <si>
    <t>GFF176R</t>
  </si>
  <si>
    <t>GFF177R</t>
  </si>
  <si>
    <t>Plain Rice Noodles</t>
  </si>
  <si>
    <t>Plain Egg Noodles</t>
  </si>
  <si>
    <t>GZRM085</t>
  </si>
  <si>
    <t>GZRM086</t>
  </si>
  <si>
    <t>Rice Noodles - R1</t>
  </si>
  <si>
    <t>Egg Noodles - R1</t>
  </si>
  <si>
    <t>GFF172R</t>
  </si>
  <si>
    <t>GZRM087</t>
  </si>
  <si>
    <t>Chicken Goujons</t>
  </si>
  <si>
    <t>Longday</t>
  </si>
  <si>
    <t>OB30G1</t>
  </si>
  <si>
    <t>Onion Bhaji Cocktail 30G - Apetito</t>
  </si>
  <si>
    <t>LS50G</t>
  </si>
  <si>
    <t>Lamb Samosa Medium 50G</t>
  </si>
  <si>
    <t>CTS50G</t>
  </si>
  <si>
    <t>Chicken Tikka Samosa Cocktail 50G</t>
  </si>
  <si>
    <t>VS50G</t>
  </si>
  <si>
    <t>Vegetable Samosa Cocktail 50G</t>
  </si>
  <si>
    <t>HUMZA</t>
  </si>
  <si>
    <t>Chicken Kebabs</t>
  </si>
  <si>
    <t>CCK50G</t>
  </si>
  <si>
    <t>Chicken Charcoal Kebabs 50G</t>
  </si>
  <si>
    <t>CCK25G</t>
  </si>
  <si>
    <t>Chicken Charcoal Kebabs 25G</t>
  </si>
  <si>
    <t>Lamb Kebabs</t>
  </si>
  <si>
    <t>LCK50G</t>
  </si>
  <si>
    <t>Lamb Charcoal Kebabs 50G</t>
  </si>
  <si>
    <t>Mexican Burger Qty Per Batch Changed</t>
  </si>
  <si>
    <t>Beef Keema Aloo</t>
  </si>
  <si>
    <t>GZRM088</t>
  </si>
  <si>
    <t>Chole Aloo</t>
  </si>
  <si>
    <t>GZRM089</t>
  </si>
  <si>
    <t>Added New Products</t>
  </si>
  <si>
    <t>GFF178R</t>
  </si>
  <si>
    <t>GFF179R</t>
  </si>
  <si>
    <t>Changed Qty Per Batch for Gff009-1r (30g &amp; 100g) as per sanjays (gm) email</t>
  </si>
  <si>
    <t>Changed Qty Per Batch for Gff009-1r (30g as per sanjays (gm) Call</t>
  </si>
  <si>
    <t>Changed Qty Per Batch For GFF166-R ( 50G as per Sanjay (gm) verbal request</t>
  </si>
  <si>
    <t>Allergen Name</t>
  </si>
  <si>
    <t>Allergen Category</t>
  </si>
  <si>
    <t>Milk</t>
  </si>
  <si>
    <t>Barley</t>
  </si>
  <si>
    <t>Sesame</t>
  </si>
  <si>
    <t>Fish</t>
  </si>
  <si>
    <t>Barley, Milk</t>
  </si>
  <si>
    <t>Barley, Milk, Mustard</t>
  </si>
  <si>
    <t>Sesame, Soya, Milk</t>
  </si>
  <si>
    <t>Mollusc, Soya, Wheat</t>
  </si>
  <si>
    <t>Soya, Wheat, Barley, Sesame</t>
  </si>
  <si>
    <t>Mustard, Barley</t>
  </si>
  <si>
    <t>Milk, Mustard</t>
  </si>
  <si>
    <t>Egg, Sesame</t>
  </si>
  <si>
    <t>Egg, Sesame, Soya, Barley</t>
  </si>
  <si>
    <t>Barley, Soya, Wheat</t>
  </si>
  <si>
    <t>Fish, Sesame</t>
  </si>
  <si>
    <t>Nut, Milk, Barley</t>
  </si>
  <si>
    <t>Sesame, Barley, Soya</t>
  </si>
  <si>
    <t>Egg</t>
  </si>
  <si>
    <t>Sulphite</t>
  </si>
  <si>
    <t>Wheat, Soya</t>
  </si>
  <si>
    <t>Wheat, Milk</t>
  </si>
  <si>
    <t>Wheat</t>
  </si>
  <si>
    <t>Soya, Wheat</t>
  </si>
  <si>
    <t>Wheat, soya</t>
  </si>
  <si>
    <t>GZRM090</t>
  </si>
  <si>
    <t>GZRM091</t>
  </si>
  <si>
    <t>Added Chapatiman New Products</t>
  </si>
  <si>
    <t>Milk, SO2</t>
  </si>
  <si>
    <t>GFF180R</t>
  </si>
  <si>
    <t>GFF181R</t>
  </si>
  <si>
    <t>Chicken Saag Masala (Chapatiman)</t>
  </si>
  <si>
    <t>Masala Chicken (Chapatiman)</t>
  </si>
  <si>
    <t>Changed Chapatiman Recipe Description</t>
  </si>
  <si>
    <t>Changed ob hf gff code to gff009-1r as per sanjays email</t>
  </si>
  <si>
    <t>Onion Bhaji - Half Fried</t>
  </si>
  <si>
    <t>Lamb Samosa - Half Fried</t>
  </si>
  <si>
    <t>Lamb Samosa - British</t>
  </si>
  <si>
    <t>LS100G1</t>
  </si>
  <si>
    <t>Lamb Samosa Large 100G- R1 (British)</t>
  </si>
  <si>
    <t>GFF183R</t>
  </si>
  <si>
    <t>Chicken Tikka Bites</t>
  </si>
  <si>
    <t>CHKTIK12G</t>
  </si>
  <si>
    <t>Chicken Tikka Bites 12G</t>
  </si>
  <si>
    <t>GFF184R</t>
  </si>
  <si>
    <t>COB20G1</t>
  </si>
  <si>
    <t>GFF033R</t>
  </si>
  <si>
    <t>Spinach Pakora</t>
  </si>
  <si>
    <t>SBH20G</t>
  </si>
  <si>
    <t>Spinach Pakora 20G</t>
  </si>
  <si>
    <t>Mango Sauce</t>
  </si>
  <si>
    <t>DIP30G-04</t>
  </si>
  <si>
    <t>DIP30G-05</t>
  </si>
  <si>
    <t>Mint raita Dip 30G</t>
  </si>
  <si>
    <t>Mango Dip 30G</t>
  </si>
  <si>
    <t>GFF186R</t>
  </si>
  <si>
    <t>GZRM092</t>
  </si>
  <si>
    <t>Chilli Con Carne</t>
  </si>
  <si>
    <t>Beef Chilli Con Carne</t>
  </si>
  <si>
    <t>GFF185R</t>
  </si>
  <si>
    <t>Steamed Rice</t>
  </si>
  <si>
    <t>Rice</t>
  </si>
  <si>
    <t>GZRM093</t>
  </si>
  <si>
    <t>Added New Contents Freshfayre Pot Meals</t>
  </si>
  <si>
    <t>GFF182R</t>
  </si>
  <si>
    <t>GFF036R - FALAFAL RECIPE CHANGE OVER AS PER EMAILS FROM QA CHANGED AMOUNT PER BATCH FROM 450 - 390</t>
  </si>
  <si>
    <t>SO2</t>
  </si>
  <si>
    <t>GFF167R</t>
  </si>
  <si>
    <t>CHKTIK20G1</t>
  </si>
  <si>
    <t>Chicken Tikka Skewers FR 20G</t>
  </si>
  <si>
    <t>Chicken Tikka Skewers FR</t>
  </si>
  <si>
    <t>GFF168R</t>
  </si>
  <si>
    <t>Chicken Korma Skewers FR</t>
  </si>
  <si>
    <t>CHKKOR20G1</t>
  </si>
  <si>
    <t>Chicken Korma Skewers FR 20G</t>
  </si>
  <si>
    <t>GFF169R</t>
  </si>
  <si>
    <t>Thai Chicken Money Bags FR</t>
  </si>
  <si>
    <t>Thai Chicken Money Bags FR 18G</t>
  </si>
  <si>
    <t>added new contents for whole foods items and ameded 1 item (money bag)</t>
  </si>
  <si>
    <t>PPRP20G</t>
  </si>
  <si>
    <t>Penang Prawn Parcel 20G</t>
  </si>
  <si>
    <t>GFF188R</t>
  </si>
  <si>
    <t>CHPH20G</t>
  </si>
  <si>
    <t>Wheat, Soya, Sesane</t>
  </si>
  <si>
    <t>GFF189R</t>
  </si>
  <si>
    <t>CHSC20G</t>
  </si>
  <si>
    <t>Barley, Wheat</t>
  </si>
  <si>
    <t>GFF190R</t>
  </si>
  <si>
    <t>Chicken Mushroom Vol Au Vents</t>
  </si>
  <si>
    <t>CMVOL12G</t>
  </si>
  <si>
    <t>Chicken Mushroom Vol Au Vents 12G</t>
  </si>
  <si>
    <t>GFF192R</t>
  </si>
  <si>
    <t>Sundried Tomato &amp; Goat Cheese Vol Au Vents</t>
  </si>
  <si>
    <t>Sundried Tomato &amp; Goat Cheese Vol Au Vents 12G</t>
  </si>
  <si>
    <t>SGVOL12G</t>
  </si>
  <si>
    <t>Crispy Battered Chiken</t>
  </si>
  <si>
    <t>CBCH45G</t>
  </si>
  <si>
    <t>Crispy Battered Chicken 45G</t>
  </si>
  <si>
    <t>DIP40G-08</t>
  </si>
  <si>
    <t>GFF187R</t>
  </si>
  <si>
    <t>LKEB20G</t>
  </si>
  <si>
    <t>LS25G1</t>
  </si>
  <si>
    <t>GFF173R</t>
  </si>
  <si>
    <t>Garlic Mayonnaise 40G</t>
  </si>
  <si>
    <t xml:space="preserve">Garlic Mayonnaise </t>
  </si>
  <si>
    <t>Lamb Samosa Cocktail 25G- R1 (British)</t>
  </si>
  <si>
    <t>GFF012-1R</t>
  </si>
  <si>
    <t>CHKTIK20G2</t>
  </si>
  <si>
    <t>Chicken Tikka Kebabs 20G</t>
  </si>
  <si>
    <t>GFF194R</t>
  </si>
  <si>
    <t>GZRM094</t>
  </si>
  <si>
    <t>Roasted Sweet Potatoes</t>
  </si>
  <si>
    <t>Added new content for freshfayre sweet potatos</t>
  </si>
  <si>
    <t>GFF171R</t>
  </si>
  <si>
    <t xml:space="preserve">GFF183-R DISCONTINUED AS GFF142-R IS SIMILAR </t>
  </si>
  <si>
    <t>GFF172R - Changed number of Units Per Batch to 900 From 750</t>
  </si>
  <si>
    <t>Changed no of units per batch  for GFF190R &amp; 192R From 100 - 1000</t>
  </si>
  <si>
    <t>Changed no of units per batch  for GFF190R &amp; 192R From 1000 - 1050  &amp; other to 800</t>
  </si>
  <si>
    <t>GFF195R</t>
  </si>
  <si>
    <t>British Chicken Pakora</t>
  </si>
  <si>
    <t>CPCOC20G</t>
  </si>
  <si>
    <t>British Chicken Pakora 18-20G</t>
  </si>
  <si>
    <t>Added New Content GFF195R - BRITISH CHICKEN PAKORA</t>
  </si>
  <si>
    <t>GFF203R</t>
  </si>
  <si>
    <t>Cooked Macaroni Pasta</t>
  </si>
  <si>
    <t>Pasta</t>
  </si>
  <si>
    <t>GZRM095</t>
  </si>
  <si>
    <t>Cooked Pasta Gramigna IQF (Mac and Cheese)</t>
  </si>
  <si>
    <t>FoodTeam</t>
  </si>
  <si>
    <t>H&amp;B Foods Ltd</t>
  </si>
  <si>
    <t>Grated Butler Secret Cheddar Cheese</t>
  </si>
  <si>
    <t>Cheese</t>
  </si>
  <si>
    <t>GZRM096</t>
  </si>
  <si>
    <t>Cheese Sauce</t>
  </si>
  <si>
    <t>GZRM097</t>
  </si>
  <si>
    <t>Shield Foods</t>
  </si>
  <si>
    <t>GFF196R</t>
  </si>
  <si>
    <t>Marinated King Prawn</t>
  </si>
  <si>
    <t>GZRM098</t>
  </si>
  <si>
    <t>Crustacean</t>
  </si>
  <si>
    <t>Added Content for Mac &amp; Cheese &amp; Marinated King Prawn For mango masala</t>
  </si>
  <si>
    <t>Marinated King Prawns (Crustacean)</t>
  </si>
  <si>
    <t>GFF1133</t>
  </si>
  <si>
    <t>GFF1176</t>
  </si>
  <si>
    <t>GFF1160</t>
  </si>
  <si>
    <t>GFF1221</t>
  </si>
  <si>
    <t>GFF1255</t>
  </si>
  <si>
    <t>GFF1256</t>
  </si>
  <si>
    <t xml:space="preserve">Added Gff Codes on Other Chicken content codes </t>
  </si>
  <si>
    <t>Ready Meals-P</t>
  </si>
  <si>
    <t>Changed Category on Chicken Items for planner purposes.</t>
  </si>
  <si>
    <t>Changed One Batch Qty for Produced dips to recipe weight in KG</t>
  </si>
  <si>
    <t>PEN001-06</t>
  </si>
  <si>
    <t>Dina Foods</t>
  </si>
  <si>
    <t>DIN001-01</t>
  </si>
  <si>
    <t>P&amp;B</t>
  </si>
  <si>
    <t>P&amp;B001-01</t>
  </si>
  <si>
    <t>P&amp;B001-02</t>
  </si>
  <si>
    <t>WINGYIP</t>
  </si>
  <si>
    <t>WIP001-11</t>
  </si>
  <si>
    <t>Added Origins and delisted un used contents</t>
  </si>
  <si>
    <t>Saunas Ltd</t>
  </si>
  <si>
    <t>SOU001-02</t>
  </si>
  <si>
    <t>SOU001-01</t>
  </si>
  <si>
    <t>SOU001-03</t>
  </si>
  <si>
    <t>Added Reference to Sounas naan bread</t>
  </si>
  <si>
    <t>GFF198R</t>
  </si>
  <si>
    <t>Massaman Curry Sauce</t>
  </si>
  <si>
    <t>GZRM099</t>
  </si>
  <si>
    <t>GFF199R</t>
  </si>
  <si>
    <t>Penang Curry Sauce</t>
  </si>
  <si>
    <t>GZRM100</t>
  </si>
  <si>
    <t>Barley, Crustacean, Fish, Sesame, Soya, Wheat</t>
  </si>
  <si>
    <t>GFF200R</t>
  </si>
  <si>
    <t>GZRM101</t>
  </si>
  <si>
    <t>GFF201R</t>
  </si>
  <si>
    <t>Goan Sauce</t>
  </si>
  <si>
    <t>GZRM102</t>
  </si>
  <si>
    <t>GFF202R</t>
  </si>
  <si>
    <t>GZRM103</t>
  </si>
  <si>
    <t>Marinated Cooked King Prawn R1</t>
  </si>
  <si>
    <t>SEE WOO</t>
  </si>
  <si>
    <t>SEE001-28</t>
  </si>
  <si>
    <t>Stir Fried Diced Spring Onions</t>
  </si>
  <si>
    <t>Stir Fried Diced Spring Onions  10MM</t>
  </si>
  <si>
    <t>Crushed Cashew nuts</t>
  </si>
  <si>
    <t>GZRM104</t>
  </si>
  <si>
    <t>Crushed Cashew Nuts</t>
  </si>
  <si>
    <t>Cashew</t>
  </si>
  <si>
    <t>GFF1264</t>
  </si>
  <si>
    <t>GFF1266</t>
  </si>
  <si>
    <t>GZRM105</t>
  </si>
  <si>
    <t>GZRM106</t>
  </si>
  <si>
    <t>Added New Components for booths thai wibit range</t>
  </si>
  <si>
    <t>BOWLANDER</t>
  </si>
  <si>
    <t>I H FOODS</t>
  </si>
  <si>
    <t>Steamed Green Beans</t>
  </si>
  <si>
    <t>Grilled Roasted Red Peppers Diced</t>
  </si>
  <si>
    <t>Grilled Roasted Red Peppers Diced 10MM</t>
  </si>
  <si>
    <t>Marinated King Prawn R1</t>
  </si>
  <si>
    <t>Change of recipe name GFF202R - FROM MARINATED KING PRAWN TO MARINATED KING PRAWN R1</t>
  </si>
  <si>
    <t>JAPCOOK EXPORT</t>
  </si>
  <si>
    <t>JAP001-01</t>
  </si>
  <si>
    <t>Gyoza Tori Veg</t>
  </si>
  <si>
    <t>VGYO20G</t>
  </si>
  <si>
    <t>Gyoza Tori Veg 20G</t>
  </si>
  <si>
    <t>Wheat, Soya, Sesame, Sulphites</t>
  </si>
  <si>
    <t>JAP001-02</t>
  </si>
  <si>
    <t>Gyoza Yasai Chicken</t>
  </si>
  <si>
    <t>Gyoza</t>
  </si>
  <si>
    <t>CGYO20G</t>
  </si>
  <si>
    <t>Gyoza Yasai Chicken 20G</t>
  </si>
  <si>
    <t>Soya, Wheat, Sulphites</t>
  </si>
  <si>
    <t>JAP001-03</t>
  </si>
  <si>
    <t>Gyoza EBI Prawn</t>
  </si>
  <si>
    <t>PGYO20G</t>
  </si>
  <si>
    <t>Gyoza EBI Prawn 20G</t>
  </si>
  <si>
    <t>Crustacean, Soya, Sesame, Wheeat</t>
  </si>
  <si>
    <t>FUTURE ENTERPRISES LTD</t>
  </si>
  <si>
    <t>FUT001-35</t>
  </si>
  <si>
    <t>Vegetable Wontons</t>
  </si>
  <si>
    <t>Dimsums</t>
  </si>
  <si>
    <t>VWON15G</t>
  </si>
  <si>
    <t>Vegetable Wonton 15G</t>
  </si>
  <si>
    <t>Soya, Wheat, Sesame</t>
  </si>
  <si>
    <t>MEADOW VALE FOODS</t>
  </si>
  <si>
    <t>MEA001-02</t>
  </si>
  <si>
    <t>MEA001-03</t>
  </si>
  <si>
    <t>Chicken Yakitori Skewers</t>
  </si>
  <si>
    <t>Yakitori</t>
  </si>
  <si>
    <t>CYAK25G</t>
  </si>
  <si>
    <t>Chicken Yakitori Skewers 25G</t>
  </si>
  <si>
    <t>Chicken Satay Skewers 30G</t>
  </si>
  <si>
    <t>Chicken Satay Skewers</t>
  </si>
  <si>
    <t>CSAT30G</t>
  </si>
  <si>
    <t>Added 6 New contents for new dayat range</t>
  </si>
  <si>
    <t>British Lamb Kebabs 20G</t>
  </si>
  <si>
    <t>GFF187R - LAMB KEBABS 20G TO BRITISH LAMB KEBABS 20G</t>
  </si>
  <si>
    <t>British Chicken With Plum &amp; Hoisin 20G</t>
  </si>
  <si>
    <t>British Chicken With Sweet Chilli &amp; Coriander 20G</t>
  </si>
  <si>
    <t>GFF188R  - Added British infront of description for identification</t>
  </si>
  <si>
    <t>GFF189R  - Added British infront of description for identification</t>
  </si>
  <si>
    <t>British Chicken With Plum &amp; Hoisin</t>
  </si>
  <si>
    <t>British Chicken With Sweet Chilli &amp; Coriander</t>
  </si>
  <si>
    <t>Updated Allergen on missing products ref to file name : 29.05.2018 - ALLERGEN UPDATE MASTER PRODUCT FILE 2015</t>
  </si>
  <si>
    <t>Barley, Crustacean, Sulphites, Wheat</t>
  </si>
  <si>
    <t>Sesame, Soya, Wheat</t>
  </si>
  <si>
    <t>CRUSTACEAN, FISH, SOYA, WHEAT</t>
  </si>
  <si>
    <t>Crustacean, Mollusc, Soya, Wheat</t>
  </si>
  <si>
    <t>Updated Allergen on missing products ref to techinical support email dated 30/05/2018 - MISSING ALLERGEN INFO IN PLANNER</t>
  </si>
  <si>
    <t>FOU001</t>
  </si>
  <si>
    <t>Wheat, Milk, Egg</t>
  </si>
  <si>
    <t>SUR001-01</t>
  </si>
  <si>
    <t>SUR001-02</t>
  </si>
  <si>
    <t>Updated Allergen on missing products ref to techinical support email dated 01/06/2018 - NEED ALLERGEN FOR THE FOLLOWING FOR PLANNER</t>
  </si>
  <si>
    <t>Added New Content For Booths New Everyday Range</t>
  </si>
  <si>
    <t>GFF205R</t>
  </si>
  <si>
    <t>Vegetable Balti Sauce</t>
  </si>
  <si>
    <t>GZRM107</t>
  </si>
  <si>
    <t>GFF206R</t>
  </si>
  <si>
    <t>Tandoori Paneer</t>
  </si>
  <si>
    <t>GZRM108</t>
  </si>
  <si>
    <t>GFF207R</t>
  </si>
  <si>
    <t>GZRM109</t>
  </si>
  <si>
    <t>MSRFP150G</t>
  </si>
  <si>
    <t>Milk, Wheat</t>
  </si>
  <si>
    <t>Lancashire Cheese &amp; Damson Jelly Square Parcels 150G</t>
  </si>
  <si>
    <t>LCDJQ150G</t>
  </si>
  <si>
    <t>GFF208R</t>
  </si>
  <si>
    <t>CPAC12G</t>
  </si>
  <si>
    <t>Chicken Panang Cups</t>
  </si>
  <si>
    <t>Chicken Panang Cups 12G</t>
  </si>
  <si>
    <t>Barley, Crustacean, Fish, Soya,Wheat</t>
  </si>
  <si>
    <t>GFF209R</t>
  </si>
  <si>
    <t>Chilli Beef Taco</t>
  </si>
  <si>
    <t>CBTAC14G</t>
  </si>
  <si>
    <t>Chilli Beef Taco 14G</t>
  </si>
  <si>
    <t>SALUD</t>
  </si>
  <si>
    <t>SAL001-01</t>
  </si>
  <si>
    <t>MZSTK20G1</t>
  </si>
  <si>
    <t>Breaded Mozzarella Sticks 20G - R1</t>
  </si>
  <si>
    <t>SAL001-02</t>
  </si>
  <si>
    <t>JALP21.5G</t>
  </si>
  <si>
    <t>Stuffed Jalapeno Peppers 21.5G</t>
  </si>
  <si>
    <t>ABERGAVENNY</t>
  </si>
  <si>
    <t>ABE001-01</t>
  </si>
  <si>
    <t>Breaded Cornish Camemebert W/Red Currant Compate (Ready Packed)</t>
  </si>
  <si>
    <t>Milk, Wheat, Egg</t>
  </si>
  <si>
    <t>ABE001-02</t>
  </si>
  <si>
    <t xml:space="preserve">Tomato &amp; Mozzarella Arancine </t>
  </si>
  <si>
    <t>12 Tomato &amp; Mozzarella Arancine 20G | 240G (Ready Packed)</t>
  </si>
  <si>
    <t>Breaded Cornish Camemebert W/Red Currant Compate | 200G (Ready Packed)</t>
  </si>
  <si>
    <t>ABE001-03</t>
  </si>
  <si>
    <t>Mac &amp; Cheese Bites</t>
  </si>
  <si>
    <t>10 Mac &amp; Cheese Bites 20G | 200G</t>
  </si>
  <si>
    <t>Added New Contents For Boooths X-Mas Lines</t>
  </si>
  <si>
    <t>TRANGS</t>
  </si>
  <si>
    <t>MR CRUMB</t>
  </si>
  <si>
    <t>MRC001-01</t>
  </si>
  <si>
    <t>Goats Cheese &amp; Marmalade Crostini (Ready Packed)</t>
  </si>
  <si>
    <t>Montery Jack &amp; Chorizo Crostini ( Ready Packed)</t>
  </si>
  <si>
    <t>12 Tiger Prawn Platter | 180G</t>
  </si>
  <si>
    <t>12 Tiger Prawn Platter (Ready Packed)</t>
  </si>
  <si>
    <t>MRC001-02</t>
  </si>
  <si>
    <t>TRA003-01</t>
  </si>
  <si>
    <t>10 Goats Cheese &amp; Marmalade Crostini 24G | 240G</t>
  </si>
  <si>
    <t>10 Montery Jack &amp; Chorizo Crostini 21G | 210G</t>
  </si>
  <si>
    <t>Added Prepacked items for booths from x-mas 2017</t>
  </si>
  <si>
    <t>LS40G1</t>
  </si>
  <si>
    <t>Lamb Samosa Cocktail 40G- R1 (British)</t>
  </si>
  <si>
    <t>GFF213R</t>
  </si>
  <si>
    <t>SP30G</t>
  </si>
  <si>
    <t>Spinach Pakora 30G</t>
  </si>
  <si>
    <t>GFF218R</t>
  </si>
  <si>
    <t>Keralan Masala Fried Chicken</t>
  </si>
  <si>
    <t>KMFCG</t>
  </si>
  <si>
    <t>GFF214R</t>
  </si>
  <si>
    <t>Spinach Sweet Corn Curry</t>
  </si>
  <si>
    <t>GZRM110</t>
  </si>
  <si>
    <t>GFF215R</t>
  </si>
  <si>
    <t>Mughlai Handi Sauce</t>
  </si>
  <si>
    <t>GZRM111</t>
  </si>
  <si>
    <t>Milk, Barley</t>
  </si>
  <si>
    <t>GFF217R</t>
  </si>
  <si>
    <t>Lahore Handi Sauce</t>
  </si>
  <si>
    <t>GZRM112</t>
  </si>
  <si>
    <t>GFF216R</t>
  </si>
  <si>
    <t>Chettinad Sauce</t>
  </si>
  <si>
    <t>GZRM113</t>
  </si>
  <si>
    <t>Mustard</t>
  </si>
  <si>
    <t>Added New  Contents for Booths Deli Range</t>
  </si>
  <si>
    <t>Added 2 Contents for 2 Booths Vegie Lines red thai and cous cous</t>
  </si>
  <si>
    <t>GFF210R</t>
  </si>
  <si>
    <t>Red Thai Vegetable Curry Sauce</t>
  </si>
  <si>
    <t>GZRM114</t>
  </si>
  <si>
    <t>Soya</t>
  </si>
  <si>
    <t>GFF211R</t>
  </si>
  <si>
    <t>Vegetable Tagine</t>
  </si>
  <si>
    <t>GZRM115</t>
  </si>
  <si>
    <t>GFF212R</t>
  </si>
  <si>
    <t>GZRM116</t>
  </si>
  <si>
    <t>Cous Cous</t>
  </si>
  <si>
    <t>Updated Units Per Batch Deli Lines</t>
  </si>
  <si>
    <t>GFF220R</t>
  </si>
  <si>
    <t>GFF219R</t>
  </si>
  <si>
    <t>GFF222R</t>
  </si>
  <si>
    <t>GFF221R</t>
  </si>
  <si>
    <t>221RMIX</t>
  </si>
  <si>
    <t>220RMIX</t>
  </si>
  <si>
    <t>GFF182 - LAMB SAMOSA 40G  (BRITISH) BATCH UNITS PER BATCH CHANGED FROM 1600 TO 1078 AS PER SANJAYS EMAIL</t>
  </si>
  <si>
    <t>GFF010-1R - SPINACH BHAJI COCKTAIL 30G UNITS PER BATCH CHANGED FROM 550 TO 520 AS PER SANJAYS EMAIL 24/09/2018</t>
  </si>
  <si>
    <t>GFF223R</t>
  </si>
  <si>
    <t>Turkey &amp; Leek Mix</t>
  </si>
  <si>
    <t>Turkey</t>
  </si>
  <si>
    <t>GZRM117</t>
  </si>
  <si>
    <t>GFF224R</t>
  </si>
  <si>
    <t>Baked Turkey 10mm</t>
  </si>
  <si>
    <t>GZRM118</t>
  </si>
  <si>
    <t>MEDITERRANEAN FOODS</t>
  </si>
  <si>
    <t>Parsnip &amp; Carrot Fritters</t>
  </si>
  <si>
    <t>MED001-01</t>
  </si>
  <si>
    <t>Fritters</t>
  </si>
  <si>
    <t>Parsnip &amp; Carrot Fritters 20G</t>
  </si>
  <si>
    <t xml:space="preserve">Added Contents for Turkey &amp; Leek Hot Pots - </t>
  </si>
  <si>
    <t>change meat suppliers name to tariq fom mathew</t>
  </si>
  <si>
    <t>GFF009-4R Units Per Batch Changed From 600-550 as per sanjanys request verbally on 17/10/2018</t>
  </si>
  <si>
    <t>Added No of units per btch for gff208/209r</t>
  </si>
  <si>
    <t>CHANGE CONTENT NAME DICED CHICKEN TO STEAMED DICED CHICKEN 10MM - GZRM038 / GFF1160</t>
  </si>
  <si>
    <t>Carrot &amp; Coriander Bhaji 20G</t>
  </si>
  <si>
    <t>Change Decription FOR GFF032R - CARROT &amp; ONION BHAJI 20G TO CARROT &amp; CORiANDER BHAJI 20G</t>
  </si>
  <si>
    <t>Steamed Diced Chicken 10mm</t>
  </si>
  <si>
    <t>Carrot &amp; Coriander Bhaji</t>
  </si>
  <si>
    <t>Carrot &amp; Coriander Bhaji 20G - R1</t>
  </si>
  <si>
    <t>gff032 discontinued and replaced with GFF184R CARROT &amp; CORIANDER BHAJI 20G - R1</t>
  </si>
  <si>
    <t>GFF121R &amp; GFF127R - ALLEGEN UPDATED</t>
  </si>
  <si>
    <t>GFF228R</t>
  </si>
  <si>
    <t>Beef Bolognaise</t>
  </si>
  <si>
    <t>GZRM119</t>
  </si>
  <si>
    <t>GFF229R</t>
  </si>
  <si>
    <t>Steamed Butternut Slices</t>
  </si>
  <si>
    <t>GZRM120</t>
  </si>
  <si>
    <t>Toasted Nut Mix</t>
  </si>
  <si>
    <t>GZRM121</t>
  </si>
  <si>
    <t>Nuts</t>
  </si>
  <si>
    <t>IHF001-53</t>
  </si>
  <si>
    <t>Fresh Parsley</t>
  </si>
  <si>
    <t>Panang Chicken</t>
  </si>
  <si>
    <t>Panang Curry - R1</t>
  </si>
  <si>
    <t>IHF001-50</t>
  </si>
  <si>
    <t>Cherry Tomato</t>
  </si>
  <si>
    <t>Fish Pie Mix</t>
  </si>
  <si>
    <t>Sweet Potato Mash</t>
  </si>
  <si>
    <t>DAREGAL GOURMET UK LTD</t>
  </si>
  <si>
    <t>DAR001-04</t>
  </si>
  <si>
    <t>IQF Curly Parsley Medium STD</t>
  </si>
  <si>
    <t>VIR001-32</t>
  </si>
  <si>
    <t>Paprika Power</t>
  </si>
  <si>
    <t>Fish, Mustard</t>
  </si>
  <si>
    <t>Rice &amp; Bean Mix</t>
  </si>
  <si>
    <t>GZRM122</t>
  </si>
  <si>
    <t>GZRM123</t>
  </si>
  <si>
    <t>GZRM124</t>
  </si>
  <si>
    <t>GZRM125</t>
  </si>
  <si>
    <t>GZRM126</t>
  </si>
  <si>
    <t>Jackfruit Salsa</t>
  </si>
  <si>
    <t>GZRM127</t>
  </si>
  <si>
    <t>Charred Corn</t>
  </si>
  <si>
    <t>GZRM128</t>
  </si>
  <si>
    <t>Added Minful Chef Contents - Range 305 - 318</t>
  </si>
  <si>
    <t>Red Thai Chicken Skewers</t>
  </si>
  <si>
    <t>GZRM129</t>
  </si>
  <si>
    <t>Added Booth thai Meal Box 1 Conttent Range 319</t>
  </si>
  <si>
    <t>Added GFF codes for Mindful Chef Contents</t>
  </si>
  <si>
    <t>GFF237R</t>
  </si>
  <si>
    <t>GFF236R</t>
  </si>
  <si>
    <t>GFF238R</t>
  </si>
  <si>
    <t>GFF230R</t>
  </si>
  <si>
    <t>GFF232R</t>
  </si>
  <si>
    <t>GFF231R</t>
  </si>
  <si>
    <t>Steamed Sweet Potato</t>
  </si>
  <si>
    <t>GZRM130</t>
  </si>
  <si>
    <t>Steamed Sweet Potato Diced 10MM</t>
  </si>
  <si>
    <t>GFF233R</t>
  </si>
  <si>
    <t>Charred Corn Kernels</t>
  </si>
  <si>
    <t>GFF234R</t>
  </si>
  <si>
    <t>GFF235R</t>
  </si>
  <si>
    <t>GFF1305</t>
  </si>
  <si>
    <t>GFF1306</t>
  </si>
  <si>
    <t>GFF1310</t>
  </si>
  <si>
    <t>GFF1313</t>
  </si>
  <si>
    <t>GFF1314</t>
  </si>
  <si>
    <t>Added Gff Codes on Topping items for them to work on planner</t>
  </si>
  <si>
    <t>1305MIX</t>
  </si>
  <si>
    <t>Added Code to Toasted nut mix</t>
  </si>
  <si>
    <t>KLUMAN &amp; BALTER LIMITED</t>
  </si>
  <si>
    <t>GFF1320</t>
  </si>
  <si>
    <t>GZRM131</t>
  </si>
  <si>
    <t>Roasted Cashews</t>
  </si>
  <si>
    <t>LP Roasted Cashew Nut</t>
  </si>
  <si>
    <t>Added Recipes For FSC</t>
  </si>
  <si>
    <t>GFF239R</t>
  </si>
  <si>
    <t>VS100GS1</t>
  </si>
  <si>
    <t>Vegetable Samosa Large 100G Seeded- R1</t>
  </si>
  <si>
    <t>GFF240R</t>
  </si>
  <si>
    <t>Chicken Tikka Samosa Large 100G- R1</t>
  </si>
  <si>
    <t>GFF243R</t>
  </si>
  <si>
    <t>GZRM132</t>
  </si>
  <si>
    <t>GFF244R</t>
  </si>
  <si>
    <t>GZRM133</t>
  </si>
  <si>
    <t>GFF241R</t>
  </si>
  <si>
    <t>Steamed Potato Diced</t>
  </si>
  <si>
    <t>GFF242R</t>
  </si>
  <si>
    <t>Steamed Carrot Diced</t>
  </si>
  <si>
    <t>GZRM134</t>
  </si>
  <si>
    <t>GZRM135</t>
  </si>
  <si>
    <t>Steamed Potato Diced 10MM</t>
  </si>
  <si>
    <t>Steamed Carrot Diced 10MM</t>
  </si>
  <si>
    <t>Vegetable Balti Sauce- R1</t>
  </si>
  <si>
    <t>CTS100G1</t>
  </si>
  <si>
    <t>GFF245R</t>
  </si>
  <si>
    <t>Added Recipe Code for Red Thai Chicken Skewers</t>
  </si>
  <si>
    <t>Amend Allegen category for GFF144R</t>
  </si>
  <si>
    <t>Vegetable Dopiaza</t>
  </si>
  <si>
    <t>GZRM136</t>
  </si>
  <si>
    <t>Added New Code Veg Doiaza for Booths Deli, Awaiting GFF Code</t>
  </si>
  <si>
    <t>GFF246R</t>
  </si>
  <si>
    <t>Added gff Code for Veg Dopiaza</t>
  </si>
  <si>
    <t>GFF247R</t>
  </si>
  <si>
    <t>Beef Taco Mix</t>
  </si>
  <si>
    <t>209RMIX</t>
  </si>
  <si>
    <t>Added New Contents For Costco Range</t>
  </si>
  <si>
    <t>Beef Empanada</t>
  </si>
  <si>
    <t>BEM18G</t>
  </si>
  <si>
    <t>Beef Empanada 18G</t>
  </si>
  <si>
    <t>GFF248R</t>
  </si>
  <si>
    <t>Chicken Flauta Mix</t>
  </si>
  <si>
    <t>GFF249R</t>
  </si>
  <si>
    <t>248RMIX</t>
  </si>
  <si>
    <t>wheat, barley, oat</t>
  </si>
  <si>
    <t>Date Created</t>
  </si>
  <si>
    <t>GFF250R</t>
  </si>
  <si>
    <t>Bean &amp; Corn Mix</t>
  </si>
  <si>
    <t>GFF251R</t>
  </si>
  <si>
    <t>250RMIX</t>
  </si>
  <si>
    <t>GFF252R</t>
  </si>
  <si>
    <t>CPM22G</t>
  </si>
  <si>
    <t>GFF253R</t>
  </si>
  <si>
    <t>SPB22G</t>
  </si>
  <si>
    <t>Sweet Potato &amp; Bean Fritter 22G</t>
  </si>
  <si>
    <t>Sweet Potato &amp; Bean Fritter</t>
  </si>
  <si>
    <t>GFF254R</t>
  </si>
  <si>
    <t>Mushroom &amp; Onions Fritter</t>
  </si>
  <si>
    <t>MUON25G</t>
  </si>
  <si>
    <t>Mushroom &amp; Onion Fritter 25G</t>
  </si>
  <si>
    <t>Updated Units Per Batch Costco Content</t>
  </si>
  <si>
    <t>Updated Units Per Batch Costco Content as discussed with magda 29/05/2019</t>
  </si>
  <si>
    <t>Adjustments on allergen values freom blank to -</t>
  </si>
  <si>
    <t>Added Timing on costco fritters based on 20g bhajis as discussed with sanjay</t>
  </si>
  <si>
    <t>Changes to Allergen Category from alphabets to letters as per technical requirement</t>
  </si>
  <si>
    <t>Add Plan time for VSR25G1 - 24 PLAN RATE PER MINUTE - WHOLEFOODS</t>
  </si>
  <si>
    <t>GFF255R</t>
  </si>
  <si>
    <t>GZRM137</t>
  </si>
  <si>
    <t>GFF256R</t>
  </si>
  <si>
    <t>Tikka Masala Sauce (MC)</t>
  </si>
  <si>
    <t>GZRM138</t>
  </si>
  <si>
    <t>GFF257R</t>
  </si>
  <si>
    <t>Marinated Chicken Tikka (MC)</t>
  </si>
  <si>
    <t>GZRM139</t>
  </si>
  <si>
    <t>Raw Coconut Chips</t>
  </si>
  <si>
    <t>KLU001-05</t>
  </si>
  <si>
    <t>Add Mind Full Chef new product contents</t>
  </si>
  <si>
    <t>GFF1338</t>
  </si>
  <si>
    <t>GFF263R</t>
  </si>
  <si>
    <t>Tagine Sauce (MC)</t>
  </si>
  <si>
    <t>GZRM140</t>
  </si>
  <si>
    <t>GFF262R</t>
  </si>
  <si>
    <t>GZRM141</t>
  </si>
  <si>
    <t>Tricolour Quinoa(MC)</t>
  </si>
  <si>
    <t>Tricolour Quinoa (MC)</t>
  </si>
  <si>
    <t>GFF261R</t>
  </si>
  <si>
    <t>Cooked Lamb Shoulder (MC)</t>
  </si>
  <si>
    <t>GZRM142</t>
  </si>
  <si>
    <t>GFF1342</t>
  </si>
  <si>
    <t>Roasted Almonds Flakes</t>
  </si>
  <si>
    <t>Nut</t>
  </si>
  <si>
    <t>GFF258R</t>
  </si>
  <si>
    <t>Lentil Mix (MC)</t>
  </si>
  <si>
    <t>KLU001-06</t>
  </si>
  <si>
    <t>GZRM143</t>
  </si>
  <si>
    <t>GFF259R</t>
  </si>
  <si>
    <t>Coconut Bechamel (MC)</t>
  </si>
  <si>
    <t>GZRM144</t>
  </si>
  <si>
    <t>GFF260R</t>
  </si>
  <si>
    <t>Veggie Pie Mix (MC)</t>
  </si>
  <si>
    <t>GZRM145</t>
  </si>
  <si>
    <t>BOW001-04</t>
  </si>
  <si>
    <t>GFF1346</t>
  </si>
  <si>
    <t>GFF264R</t>
  </si>
  <si>
    <t>FAL20G1</t>
  </si>
  <si>
    <t>Falafels 20G R1</t>
  </si>
  <si>
    <t>Sulphites, Sesame</t>
  </si>
  <si>
    <t>GFF265R</t>
  </si>
  <si>
    <t>Soaked Chickpeas</t>
  </si>
  <si>
    <t>GZRM146</t>
  </si>
  <si>
    <t>Added Content for Spar Falafel</t>
  </si>
  <si>
    <t>Added Mint Raita content for spar</t>
  </si>
  <si>
    <t>Added Houmous dip for spar</t>
  </si>
  <si>
    <t>Brakes Bros</t>
  </si>
  <si>
    <t>BRA001-10</t>
  </si>
  <si>
    <t>Amend discriptiong for courgette peas &amp; mint fritter</t>
  </si>
  <si>
    <t>Courgette Peas &amp; Lemon Fritter</t>
  </si>
  <si>
    <t>Courgette Peas &amp; Lemon Fritter 22G</t>
  </si>
  <si>
    <t>Lion Yogurt &amp; Mint Dressing - BRA001-10</t>
  </si>
  <si>
    <t>Houmous Dip - DIN001-01</t>
  </si>
  <si>
    <t>SAL001-03</t>
  </si>
  <si>
    <t>MZSTK25G</t>
  </si>
  <si>
    <t>Breaded Mozzarella Sticks 25G</t>
  </si>
  <si>
    <t>TRA003-06</t>
  </si>
  <si>
    <t>Prawn Tail On Short Crust Pastry</t>
  </si>
  <si>
    <t>PSS25G</t>
  </si>
  <si>
    <t>Prawn Tail On Short Crust Pastry 25G</t>
  </si>
  <si>
    <t>Sweet Mango Chutney</t>
  </si>
  <si>
    <t>CGM</t>
  </si>
  <si>
    <t>CGM001-01</t>
  </si>
  <si>
    <t>Camembert Bites</t>
  </si>
  <si>
    <t>CAMB20G</t>
  </si>
  <si>
    <t>Camembert Bites 20G</t>
  </si>
  <si>
    <t>Chicken Yakitori Kebabs</t>
  </si>
  <si>
    <t>CYAK20G</t>
  </si>
  <si>
    <t>Chicken Yakitori Kebabs 20G</t>
  </si>
  <si>
    <t>Yakitori Glaze Dip</t>
  </si>
  <si>
    <t>GZRM147</t>
  </si>
  <si>
    <t>Yakitori Glaze</t>
  </si>
  <si>
    <t>COPS18G</t>
  </si>
  <si>
    <t>Cheese &amp; Onion Loaded Potato Skins 18G</t>
  </si>
  <si>
    <t>MRC001-04</t>
  </si>
  <si>
    <t>MRC001-05</t>
  </si>
  <si>
    <t>MCR001-05</t>
  </si>
  <si>
    <t>Red Currant, Port &amp; Goat Cheese Crostini (Ready Packed)</t>
  </si>
  <si>
    <t>10 Red Currant, Port &amp; Goat Cheese Crostini 22G | 200G</t>
  </si>
  <si>
    <t>Sundried Tomato, Peppers &amp; Pesto Crostini</t>
  </si>
  <si>
    <t>MCR001-04</t>
  </si>
  <si>
    <t>10 Sundried Tomato, peppers &amp; Pesto Crostini | 18.5G | 185G</t>
  </si>
  <si>
    <t>TRA003-04</t>
  </si>
  <si>
    <t>PRAWN BAUGETTE TOAST</t>
  </si>
  <si>
    <t>PBT21G</t>
  </si>
  <si>
    <t>Prawn Baguette Toast 21G</t>
  </si>
  <si>
    <t>TRA003-05</t>
  </si>
  <si>
    <t>DUP20G</t>
  </si>
  <si>
    <t>Duck Money Bags</t>
  </si>
  <si>
    <t>DUM20G</t>
  </si>
  <si>
    <t>Duck Money Bags 20G</t>
  </si>
  <si>
    <t>Added New Lines For Booths X-mAs Lines 2019</t>
  </si>
  <si>
    <t>GFF182 - LAMB SAMOSA RECIPE DISCONTINUED AND MOVED TO GFF005R</t>
  </si>
  <si>
    <t>Date</t>
  </si>
  <si>
    <t>GFF024-R -  MEXICAN BURGER CHANGE IN NUMBER OF UNITS PER BATCH FROM 520 TO 360 AS PER EMAIL FROM GM DATED 12.08.2019</t>
  </si>
  <si>
    <t>GFF252R  - QTY PER BATCH CHANGED FROM 425 TO 188 AS PER GM EMAIL DATED  - 22/08/2019</t>
  </si>
  <si>
    <t>GFF267R</t>
  </si>
  <si>
    <t>GZRM148</t>
  </si>
  <si>
    <t>GFF269R</t>
  </si>
  <si>
    <t>GZRM150</t>
  </si>
  <si>
    <t>GZRM149</t>
  </si>
  <si>
    <t>GFF272R</t>
  </si>
  <si>
    <t>Beef &amp; Bean Chilli (MC)</t>
  </si>
  <si>
    <t>Rose Harissa Tagine Sauce (MC)</t>
  </si>
  <si>
    <t>Bean Bake Mix (MC)</t>
  </si>
  <si>
    <t>GFF273R</t>
  </si>
  <si>
    <t>Sunflower Mince Bolognese Sauce (MC)</t>
  </si>
  <si>
    <t>GZRM151</t>
  </si>
  <si>
    <t>Yellow Thai Tofu Curry  (MC)</t>
  </si>
  <si>
    <t>GFF274R</t>
  </si>
  <si>
    <t>GZRM152</t>
  </si>
  <si>
    <t xml:space="preserve">Chickpea Korma Sauce (MC) </t>
  </si>
  <si>
    <t>GFF277R</t>
  </si>
  <si>
    <t>GZRM153</t>
  </si>
  <si>
    <t>GFF280R</t>
  </si>
  <si>
    <t>GZRM154</t>
  </si>
  <si>
    <t>GFF268R</t>
  </si>
  <si>
    <t>Chipotle Sauce (MC)</t>
  </si>
  <si>
    <t>Crumb Mix (MC)</t>
  </si>
  <si>
    <t>GZRM156</t>
  </si>
  <si>
    <t>GZRM155</t>
  </si>
  <si>
    <t>BEACON FOODS LTD</t>
  </si>
  <si>
    <t>BEA001-02</t>
  </si>
  <si>
    <t>20mm Diced Butternut Squash</t>
  </si>
  <si>
    <t>GFF1371</t>
  </si>
  <si>
    <t>GFF270R</t>
  </si>
  <si>
    <t>Cacciatore Sauce (MC)</t>
  </si>
  <si>
    <t>GFF275R</t>
  </si>
  <si>
    <t>Red Rice (MC)</t>
  </si>
  <si>
    <t>GZRM157</t>
  </si>
  <si>
    <t>GFF278R</t>
  </si>
  <si>
    <t>Black Rice with Roasted Butternut Squash (MC)</t>
  </si>
  <si>
    <t>GZRM158</t>
  </si>
  <si>
    <t>GFF271R</t>
  </si>
  <si>
    <t>Roasted Chicken Strips (MC)</t>
  </si>
  <si>
    <t>GZRM159</t>
  </si>
  <si>
    <t>Bako London &amp; S E Ltd</t>
  </si>
  <si>
    <t>GFF1376</t>
  </si>
  <si>
    <t>Pumpkin Seed HT</t>
  </si>
  <si>
    <t>BAK001-03</t>
  </si>
  <si>
    <t xml:space="preserve">Roasted Nib Hazelnuts (2-6mm) </t>
  </si>
  <si>
    <t>GFF1377</t>
  </si>
  <si>
    <t>KLU001-01</t>
  </si>
  <si>
    <t>GFF1378</t>
  </si>
  <si>
    <t>Pine Nuts</t>
  </si>
  <si>
    <t>GFF276R</t>
  </si>
  <si>
    <t>Baked Tofu (MC)</t>
  </si>
  <si>
    <t>GZRM160</t>
  </si>
  <si>
    <t>GFF279R</t>
  </si>
  <si>
    <t>Roasted Couliflower (MC)</t>
  </si>
  <si>
    <t>GZRM161</t>
  </si>
  <si>
    <t>Added new contents for mindful chef recipes (other information pending)</t>
  </si>
  <si>
    <t>POD001-01</t>
  </si>
  <si>
    <t>PODPAK LTD</t>
  </si>
  <si>
    <t>UPDATED PODPAK AS NAME</t>
  </si>
  <si>
    <t>Vegetable samosa - removed milk as allergen</t>
  </si>
  <si>
    <t>GFF282R</t>
  </si>
  <si>
    <t>GFF284R</t>
  </si>
  <si>
    <t>GFF281R</t>
  </si>
  <si>
    <t>GFF283R</t>
  </si>
  <si>
    <t>Duck Parcel Filling</t>
  </si>
  <si>
    <t>Duck Money Bags Filling</t>
  </si>
  <si>
    <t>GZRM162</t>
  </si>
  <si>
    <t>GZRM163</t>
  </si>
  <si>
    <t>GFF285R</t>
  </si>
  <si>
    <t>GFF286R</t>
  </si>
  <si>
    <t>GFF287R</t>
  </si>
  <si>
    <t>Added Gff Codes For Booths X-Mas - Dudkc parcels</t>
  </si>
  <si>
    <t>Added Gff Codes For Booths X-Mas - YAKITORI AND POT SKINS</t>
  </si>
  <si>
    <t>Out Sourced-F</t>
  </si>
  <si>
    <t>AMDENDS ON CATEGORY FOR BOUGHT INN FRIED PRODUCTS - ADDED F AGAINST OUTSOURCED FOR FRYING PURPOSES IN PLAN</t>
  </si>
  <si>
    <t>MAN001-06</t>
  </si>
  <si>
    <t>HOP001-02</t>
  </si>
  <si>
    <t>HOPWELL LIMITED</t>
  </si>
  <si>
    <t>Duck Spring roll 20G</t>
  </si>
  <si>
    <t>TRA003-02</t>
  </si>
  <si>
    <t>Red &amp; White Bouble 18G</t>
  </si>
  <si>
    <t>Vegetable Spring roll 15G</t>
  </si>
  <si>
    <t>MAN001-17</t>
  </si>
  <si>
    <t>TRA003-03</t>
  </si>
  <si>
    <t>ADDED ALLERGEN AS MILK FOR GFF142R - AS PER MAGDA EMAIL DATED 04/11/19</t>
  </si>
  <si>
    <t>CHAGED CATEGORY FOR YAKITORI GLAZE FROM DIP TO READY MEALS FOR CALCUALTION PURPOSES</t>
  </si>
  <si>
    <t>discontinued some products</t>
  </si>
  <si>
    <t>GZRM032 / GFF1133 / MARINATED DICED CHICKEN - CODE DISCONTINUED AS NOW USING GZRM069 / GFF164R BRITISH DICED BREAST 1214G (MARINATED)</t>
  </si>
  <si>
    <t>GFF205R - VEGETABLE BALTI SAUCE TO BE REPLACED BY GFF244 - VEGETABLE BALTI SAUCE R1</t>
  </si>
  <si>
    <t xml:space="preserve">discontinued few lines </t>
  </si>
  <si>
    <t>added wedges and garlic mushroom as recipe available</t>
  </si>
  <si>
    <t>GFF227R</t>
  </si>
  <si>
    <t>Sour Cream With Chive</t>
  </si>
  <si>
    <t>Added GFF227R SOUR CREAM &amp; CHIVE</t>
  </si>
  <si>
    <t>DIP-R3</t>
  </si>
  <si>
    <t>GFF288R</t>
  </si>
  <si>
    <t>Lamb Pie Mix (MC)</t>
  </si>
  <si>
    <t>GZRM164</t>
  </si>
  <si>
    <t>GFF289R</t>
  </si>
  <si>
    <t>Spinach &amp; Sweet Potato Mash (MC)</t>
  </si>
  <si>
    <t>GZRM165</t>
  </si>
  <si>
    <t>GFF290R</t>
  </si>
  <si>
    <t>Spinach Dahl (MC)</t>
  </si>
  <si>
    <t>GZRM166</t>
  </si>
  <si>
    <t>GFF291R</t>
  </si>
  <si>
    <t>GZRM167</t>
  </si>
  <si>
    <t>Steamed Broccoli Florets (MC)</t>
  </si>
  <si>
    <t>GFF292R</t>
  </si>
  <si>
    <t>Sweet and Sour Sauce (MC)</t>
  </si>
  <si>
    <t>GZRM168</t>
  </si>
  <si>
    <t>GFF293R</t>
  </si>
  <si>
    <t>Thai Green Curry Sauce (MC)</t>
  </si>
  <si>
    <t>GZRM169</t>
  </si>
  <si>
    <t>GFF294R</t>
  </si>
  <si>
    <t>Steamed Green Beans (MC)</t>
  </si>
  <si>
    <t>GZRM170</t>
  </si>
  <si>
    <t>GFF295R</t>
  </si>
  <si>
    <t>Roasted Kalonji Seeds (MC)</t>
  </si>
  <si>
    <t>GZRM171</t>
  </si>
  <si>
    <t>Added Minful Chef Contents - Range 385 - 392</t>
  </si>
  <si>
    <t>GFF296R</t>
  </si>
  <si>
    <t>Hong Kong Battered Chicken</t>
  </si>
  <si>
    <t>GZRM172</t>
  </si>
  <si>
    <t>Added New Content for Hong Kong Chicken to differenciate between Goujon and Hong Kong</t>
  </si>
  <si>
    <t>GFF152R - RECIPE NAME CHANGED FROM BRITISH CHICKEN INNER FILLETS 12CM X 5 CM LONG TO BATTER CHICKEN FILLETS</t>
  </si>
  <si>
    <t>Add New contents for Gazebo rebranding</t>
  </si>
  <si>
    <t>GFF298R</t>
  </si>
  <si>
    <t>GFF299R</t>
  </si>
  <si>
    <t>Pies / Parcels</t>
  </si>
  <si>
    <t>PPCP85G</t>
  </si>
  <si>
    <t>Peri Peri Chicken Parcel 85G</t>
  </si>
  <si>
    <t>GFF300R</t>
  </si>
  <si>
    <t>MCT85G</t>
  </si>
  <si>
    <t>Peri Peri Chicken Parcel Mix</t>
  </si>
  <si>
    <t>Mexican Chicken Taquitos Mix</t>
  </si>
  <si>
    <t>Mexican Chicken Taquitos 85G</t>
  </si>
  <si>
    <t>GFF301R</t>
  </si>
  <si>
    <t>Vegetable Spring Roll Large 85G-R2</t>
  </si>
  <si>
    <t>VSR85G2</t>
  </si>
  <si>
    <t>GFF297R</t>
  </si>
  <si>
    <t>Sweet Potato Falafel</t>
  </si>
  <si>
    <t>SPF20G</t>
  </si>
  <si>
    <t>Sweet Potato Falafel 20G</t>
  </si>
  <si>
    <t>P&amp;B001-04</t>
  </si>
  <si>
    <t>Tamarind Sauce</t>
  </si>
  <si>
    <t>Tamarind Sauce - P&amp;B001-04</t>
  </si>
  <si>
    <t>SEE001-18</t>
  </si>
  <si>
    <t>Hoisin Sauce</t>
  </si>
  <si>
    <t>Hoisin Sauce - SEE001-18</t>
  </si>
  <si>
    <t>RHLK15G</t>
  </si>
  <si>
    <t>updated batch qty for gaz ftg lines</t>
  </si>
  <si>
    <t>D-25/03/2020</t>
  </si>
  <si>
    <t>D-04/05/2020</t>
  </si>
  <si>
    <t xml:space="preserve">Delist products 
GZRM011 Vegetable Fried Rice - GFF090R D-04/05/2020
CCK50G Chicken Charcoal Kebabs 50G - SUR001-01 D-04/05/2020
CCK25G Chicken Charcoal Kebabs 25G - None D-04/05/2020
LCK50G Lamb Charcoal Kebabs 50G - SUR001-02 D-25/03/2020
GZRM111 Mughlai Handi Sauce - GFF215R D-25/03/2020
GZRM113 Chettinad Sauce - GFF216R D-25/03/2020
GZRM136 Vegetable Dopiaza - GFF246R D-25/03/2020
</t>
  </si>
  <si>
    <t>19/02/2020_D-27/05/2020</t>
  </si>
  <si>
    <t>DELISTED GFF296R - REVERT BACK TO GFF152R</t>
  </si>
  <si>
    <t>GFF302R</t>
  </si>
  <si>
    <t>Pulled BBQ Jackfruit (MC)</t>
  </si>
  <si>
    <t>GFF303R</t>
  </si>
  <si>
    <t>Brown Rice with Red Kidney Bean (MC)</t>
  </si>
  <si>
    <t>GFF304R</t>
  </si>
  <si>
    <t>Mixed Salsa (MC)</t>
  </si>
  <si>
    <t>GFF305R</t>
  </si>
  <si>
    <t>Harissa Chickpea Tagine Sauce (MC)</t>
  </si>
  <si>
    <t>GFF306R</t>
  </si>
  <si>
    <t>Butternut Squash Quinoa (MC)</t>
  </si>
  <si>
    <t>GFF307R</t>
  </si>
  <si>
    <t>Red Rice with Coriander (MC)</t>
  </si>
  <si>
    <t>GFF308R</t>
  </si>
  <si>
    <t>Cooked Masala Chickpeas (MC)</t>
  </si>
  <si>
    <t>GZRM173</t>
  </si>
  <si>
    <t>GZRM174</t>
  </si>
  <si>
    <t>GZRM175</t>
  </si>
  <si>
    <t>GZRM176</t>
  </si>
  <si>
    <t>GZRM177</t>
  </si>
  <si>
    <t>GZRM178</t>
  </si>
  <si>
    <t>GZRM179</t>
  </si>
  <si>
    <t>ADDED NEW 7 CONTENTS FOR MINDFULE CHEF</t>
  </si>
  <si>
    <t>ABE001-04</t>
  </si>
  <si>
    <t>Breaded Camembert (lemon &amp; thyme crumb) with Redcurrant Dip</t>
  </si>
  <si>
    <t>Camembert ABE001-03 DELISTED AND REPLACED BY ABE001-04</t>
  </si>
  <si>
    <t>GFF309R</t>
  </si>
  <si>
    <t>Roasted Pine Nuts (MC)</t>
  </si>
  <si>
    <t>GZRM180</t>
  </si>
  <si>
    <t>Delisted Pine Nuts and Replaced by Roasted Pine Nuts For Mindful Chef</t>
  </si>
  <si>
    <t>Changed Production rate on products refer to change note 03/07/2020</t>
  </si>
  <si>
    <t>Changed unites per batch for gff005r  and gff009-1r</t>
  </si>
  <si>
    <t>Various Changes ref to change note dated 28/07/2020</t>
  </si>
  <si>
    <t>Varies</t>
  </si>
  <si>
    <t>Vegetable Spring Roll Large 85G-R1</t>
  </si>
  <si>
    <t>Discontinued Gff006 And Replace With Gff114R</t>
  </si>
  <si>
    <t>VSR85G1</t>
  </si>
  <si>
    <t>D-17/08/2020</t>
  </si>
  <si>
    <t>Add Content For X-Mas Lines Booths 2020</t>
  </si>
  <si>
    <t>Chicken Tikka Pakora Bites</t>
  </si>
  <si>
    <t>Katsu Chicken Bites</t>
  </si>
  <si>
    <t>Salt &amp; Pepper Chicken Bites</t>
  </si>
  <si>
    <t>Crispy Battered Prawn</t>
  </si>
  <si>
    <t>Mini Mac &amp; Cheese Cups</t>
  </si>
  <si>
    <t>Katsu Dip</t>
  </si>
  <si>
    <t>Hot Jalapeno peppers</t>
  </si>
  <si>
    <t>Hot Jalapeno Peppers</t>
  </si>
  <si>
    <t>Mustard, Soya, Wheat</t>
  </si>
  <si>
    <t>CTPBG</t>
  </si>
  <si>
    <t>KCBG</t>
  </si>
  <si>
    <t>SPCBG</t>
  </si>
  <si>
    <t>TRA003-07</t>
  </si>
  <si>
    <t>KAT-DIP</t>
  </si>
  <si>
    <t>HJALPG</t>
  </si>
  <si>
    <t>GFF314R</t>
  </si>
  <si>
    <t>GZRM181</t>
  </si>
  <si>
    <t>Added Chicken GFF314R FOR FSC SAMOSA</t>
  </si>
  <si>
    <t>Delisted - 
Code	Description	Unit Weight
FAL20G	Falafels 20G	20 G
FAL20G1	Falafels 20G R1	20 G
SB100G	Spinach Bhaji Large 100G	100 G
SB30G	Spinach Bhaji Cocktail 30G	30 G
COPS90G	Cheese &amp; Onion Loaded Potato Skins 90G	90 G</t>
  </si>
  <si>
    <t>D-09/09/2020</t>
  </si>
  <si>
    <t>19/06/2019
D-09/09/2020</t>
  </si>
  <si>
    <t>GFF315R</t>
  </si>
  <si>
    <t>Garlic Chilli Chicken Wings (CC)</t>
  </si>
  <si>
    <t>GFF316R</t>
  </si>
  <si>
    <t>Andhra Fried Chicken (CC)</t>
  </si>
  <si>
    <t>GZRM182</t>
  </si>
  <si>
    <t>GZRM183</t>
  </si>
  <si>
    <t>VS25GS1</t>
  </si>
  <si>
    <t>Vegetable Samosa 25G Seeded- GFF239R</t>
  </si>
  <si>
    <t xml:space="preserve">new contents for chef creation </t>
  </si>
  <si>
    <t>OB30G2</t>
  </si>
  <si>
    <t>Onion Bhaji Cocktail 30G - GFF121R</t>
  </si>
  <si>
    <t>GFF317R</t>
  </si>
  <si>
    <t>GZRM184</t>
  </si>
  <si>
    <t>GFF318R</t>
  </si>
  <si>
    <t>Haryali Masala Sauce (CC)</t>
  </si>
  <si>
    <t>GZRM185</t>
  </si>
  <si>
    <t>KLU001-02</t>
  </si>
  <si>
    <t>Roasted BL Nibbed Almonds</t>
  </si>
  <si>
    <t>Roasted Nibbed Almonds</t>
  </si>
  <si>
    <t>GFF319R</t>
  </si>
  <si>
    <t>GZRM186</t>
  </si>
  <si>
    <t>Chettinad Sauce (CC)</t>
  </si>
  <si>
    <t>GZRM187</t>
  </si>
  <si>
    <t>Nawabi Curry (CC)</t>
  </si>
  <si>
    <t>GZRM188</t>
  </si>
  <si>
    <t>Cooked Diced Lamb (CC)</t>
  </si>
  <si>
    <t>GZRM189</t>
  </si>
  <si>
    <t>GFF320R</t>
  </si>
  <si>
    <t>GFF321R</t>
  </si>
  <si>
    <t>GFF322R</t>
  </si>
  <si>
    <t xml:space="preserve">Keralan Curry Sauce (CC) </t>
  </si>
  <si>
    <t>GFF323R</t>
  </si>
  <si>
    <t>GFF324R</t>
  </si>
  <si>
    <t>Punjabi Saag Aloo Channa (CC)</t>
  </si>
  <si>
    <t>GFF325R</t>
  </si>
  <si>
    <t>Tarka Dahl (CC)</t>
  </si>
  <si>
    <t>GFF326R</t>
  </si>
  <si>
    <t>Kashmiri Rice (CC)</t>
  </si>
  <si>
    <t>GFF327R</t>
  </si>
  <si>
    <t>GZRM190</t>
  </si>
  <si>
    <t>GZRM191</t>
  </si>
  <si>
    <t>GZRM192</t>
  </si>
  <si>
    <t>GZRM193</t>
  </si>
  <si>
    <t>GZRM194</t>
  </si>
  <si>
    <t>Milk, Sulphites</t>
  </si>
  <si>
    <t>Sulphites</t>
  </si>
  <si>
    <t>Gazebo Marinated Chicken (CC)</t>
  </si>
  <si>
    <t>Kashmiri Curry (CC)</t>
  </si>
  <si>
    <t>Mixed Vegetable Pilau Rice (CC)</t>
  </si>
  <si>
    <t>Updated Content description Chef Creation</t>
  </si>
  <si>
    <t>GFF204R</t>
  </si>
  <si>
    <t>MADE CHANGES STEAMED DGREEN BEAN REF TO CHANGE NOTE DATED 16/09/2020</t>
  </si>
  <si>
    <t>GFF207R - ORIGIN CHNAGED AND CHANGED FROM OUT SOURCED TO PRODUCED</t>
  </si>
  <si>
    <t>MINDFUL CHEF MISO CONTENTS</t>
  </si>
  <si>
    <t>GFF310R</t>
  </si>
  <si>
    <t>GFF311R</t>
  </si>
  <si>
    <t>GFF312R</t>
  </si>
  <si>
    <t>GFF313R</t>
  </si>
  <si>
    <t>Miso Aubergine (MC)</t>
  </si>
  <si>
    <t>Stir Fry Vegetables (MC)</t>
  </si>
  <si>
    <t>Steamed Soya Bean (MC)</t>
  </si>
  <si>
    <t>Brown Rice W/Spring Onion (MC)</t>
  </si>
  <si>
    <t>GZRM195</t>
  </si>
  <si>
    <t>GZRM196</t>
  </si>
  <si>
    <t>GZRM197</t>
  </si>
  <si>
    <t>GZRM198</t>
  </si>
  <si>
    <t>Sesame, Nuts</t>
  </si>
  <si>
    <t>Rectified Category for KLU001-02 from accessory to Ready meal as not picking on planner</t>
  </si>
  <si>
    <t>GFF1424</t>
  </si>
  <si>
    <t>SAL001-05</t>
  </si>
  <si>
    <t>MMCC20G</t>
  </si>
  <si>
    <t>Mini Mac &amp; Cheese Cups 20G</t>
  </si>
  <si>
    <t>Grated Mature Chader</t>
  </si>
  <si>
    <t>HAB001-24</t>
  </si>
  <si>
    <t>GFF328R</t>
  </si>
  <si>
    <t>GFF329R</t>
  </si>
  <si>
    <t>GFF331R</t>
  </si>
  <si>
    <t>GFF332R</t>
  </si>
  <si>
    <t>GFF330R</t>
  </si>
  <si>
    <t>GFF335R</t>
  </si>
  <si>
    <t>GFF336R</t>
  </si>
  <si>
    <t>Kashmiri Dum Gravy</t>
  </si>
  <si>
    <t>Kashmiri Chicken Bites</t>
  </si>
  <si>
    <t>GZRM199</t>
  </si>
  <si>
    <t>GZRM200</t>
  </si>
  <si>
    <t>Added New content for Simply Lunch</t>
  </si>
  <si>
    <t>GFF226R</t>
  </si>
  <si>
    <t>GFF226R / GFF209R AMENDS BEEF CHILLI TACO</t>
  </si>
  <si>
    <t>Updated Details For Booths - X-Mas range 2020</t>
  </si>
  <si>
    <t>Updated Details For Booths - X-Mas range 2020 - salt &amp; pepper chicken</t>
  </si>
  <si>
    <t>Updated Units per batch for GFF033R / GFF184R AS PER EMAIL FROM CELFERN DATED 14/10/20</t>
  </si>
  <si>
    <t>WIN001-11</t>
  </si>
  <si>
    <t>PEC-DIP</t>
  </si>
  <si>
    <t xml:space="preserve">Added Pecking Duck Sauce for booths x-mas </t>
  </si>
  <si>
    <t>KIMS FOOD</t>
  </si>
  <si>
    <t>KIM001-02</t>
  </si>
  <si>
    <t>British Dry Coated Beef Strips</t>
  </si>
  <si>
    <t>GFF334R</t>
  </si>
  <si>
    <t>GFF333R</t>
  </si>
  <si>
    <t>Hot &amp; Spicy Onion Bhaji</t>
  </si>
  <si>
    <t>SOB40G</t>
  </si>
  <si>
    <t>Hot &amp; Spicy Onion Bhaji 40G</t>
  </si>
  <si>
    <t>GZRM201</t>
  </si>
  <si>
    <t>Balti Sauce-R2</t>
  </si>
  <si>
    <t>Wheat, Sesame</t>
  </si>
  <si>
    <t>Added Contents for AYR Lines Booths</t>
  </si>
  <si>
    <t>GFF1442</t>
  </si>
  <si>
    <t>FUT001-03</t>
  </si>
  <si>
    <t>Vegetable Samosa Bite 15G - FUT001-03</t>
  </si>
  <si>
    <t>VS15G-FUT</t>
  </si>
  <si>
    <t>DISCONTINUED GFF298R</t>
  </si>
  <si>
    <t>02/03/2020_D-28/10/2020</t>
  </si>
  <si>
    <t>GFF301R - ELIMINATED ROSE FROM DESCRIPTION</t>
  </si>
  <si>
    <t>Harissa Lamb Kofta</t>
  </si>
  <si>
    <t>Harissa Lamb Kofta 15G</t>
  </si>
  <si>
    <t>Added Booths Deli &amp; Mindful Chef Lines</t>
  </si>
  <si>
    <t>GFF339R</t>
  </si>
  <si>
    <t>Dhansak Sauce</t>
  </si>
  <si>
    <t>GFF340R</t>
  </si>
  <si>
    <t>Ceylon Sauce</t>
  </si>
  <si>
    <t>GFF337R</t>
  </si>
  <si>
    <t>Vegetable Bhuna</t>
  </si>
  <si>
    <t>GFF338R</t>
  </si>
  <si>
    <t>Mushroom Bhaji</t>
  </si>
  <si>
    <t>GFF341R</t>
  </si>
  <si>
    <t>Barbacoa Bean (MC)</t>
  </si>
  <si>
    <t>Corn and Red Pepper Brown Rice (MC)</t>
  </si>
  <si>
    <t>GFF342R</t>
  </si>
  <si>
    <t>GZRM202</t>
  </si>
  <si>
    <t>GZRM203</t>
  </si>
  <si>
    <t>GZRM204</t>
  </si>
  <si>
    <t>SOB100G</t>
  </si>
  <si>
    <t>MUB100G</t>
  </si>
  <si>
    <t>GZRM205</t>
  </si>
  <si>
    <t>GZRM206</t>
  </si>
  <si>
    <t>Mushroom Bhaji 100G</t>
  </si>
  <si>
    <t>Hot &amp; Spicy Onion Bhaji 100G</t>
  </si>
  <si>
    <t>Pickle Slaw Mix 2 "Thick Cut"</t>
  </si>
  <si>
    <t>FRE006-01</t>
  </si>
  <si>
    <t>GFF1453</t>
  </si>
  <si>
    <t>Freshcut Foods</t>
  </si>
  <si>
    <t>added allergeb for chefs creation contents</t>
  </si>
  <si>
    <t>Milk, Nuts, Barley</t>
  </si>
  <si>
    <t>Milk, Soya, Wheat, Barley</t>
  </si>
  <si>
    <t>Mustard, Sulphites</t>
  </si>
  <si>
    <t>Barley, Mustard</t>
  </si>
  <si>
    <t>GFF343R</t>
  </si>
  <si>
    <t>Chopped Mushrooms</t>
  </si>
  <si>
    <t>GZRM207</t>
  </si>
  <si>
    <t>Updated Booths Deli &amp; Mindful Chef content</t>
  </si>
  <si>
    <t>GFF1455</t>
  </si>
  <si>
    <t>SCDIP</t>
  </si>
  <si>
    <t>Sweet Chilli Dip Pot</t>
  </si>
  <si>
    <t>Added Sweet chilli Dip new content for calculation purposes - 23/11/2020</t>
  </si>
  <si>
    <t>Rectified chicken pakora category</t>
  </si>
  <si>
    <t>Katsu dip category changed to ready meals from dips for planning purposes</t>
  </si>
  <si>
    <t>Courgette Peas &amp; Lemon Fritter 30G</t>
  </si>
  <si>
    <t>Mushroom &amp; Onion Fritter 30G</t>
  </si>
  <si>
    <t>Sweet Potato &amp; Black Bean Fritter 30G</t>
  </si>
  <si>
    <t>CPM30G</t>
  </si>
  <si>
    <t>SPB30G</t>
  </si>
  <si>
    <t>MUB30G</t>
  </si>
  <si>
    <t>Added New Costco Fritter Contents</t>
  </si>
  <si>
    <t>17/05/2019 D 30/11/2020</t>
  </si>
  <si>
    <t>Changed production rate as per change note dates 04/12/20</t>
  </si>
  <si>
    <t>PIQUANT LIMITED</t>
  </si>
  <si>
    <t>PIQ001-01</t>
  </si>
  <si>
    <t>MRDIP</t>
  </si>
  <si>
    <t xml:space="preserve">30% Yogurt &amp; Mint </t>
  </si>
  <si>
    <t>Milk, Egg</t>
  </si>
  <si>
    <t>GFF344R</t>
  </si>
  <si>
    <t>Marinated King Prawn R2</t>
  </si>
  <si>
    <t>GZRM208</t>
  </si>
  <si>
    <t>Marinated King Prawns R2</t>
  </si>
  <si>
    <t>Added New Content For Chefs Creation Changes Mint Raita &amp; Marinated Prawn</t>
  </si>
  <si>
    <t>D-08/02/2021</t>
  </si>
  <si>
    <t>Ref to change note dated 08/02/2021</t>
  </si>
  <si>
    <t>GFF348R</t>
  </si>
  <si>
    <t>Saag Paneer</t>
  </si>
  <si>
    <t>GZRM209</t>
  </si>
  <si>
    <t>GFF345R</t>
  </si>
  <si>
    <t>GFF346R</t>
  </si>
  <si>
    <t>GFF347R</t>
  </si>
  <si>
    <t>Kadai Sauce (CC)</t>
  </si>
  <si>
    <t>Spicy Chicken Tikka (CC)</t>
  </si>
  <si>
    <t>Fried Vegetables (CC)</t>
  </si>
  <si>
    <t>GZRM210</t>
  </si>
  <si>
    <t>GZRM211</t>
  </si>
  <si>
    <t>GZRM212</t>
  </si>
  <si>
    <t>Added Content for 2 new chefs creation range</t>
  </si>
  <si>
    <t>REMINT RAITA OUTPUT FOR PLANNER - REFER TO CHANGE NOTE DATED 22/02/2021</t>
  </si>
  <si>
    <t>Removed Allergen from Pine nuts</t>
  </si>
  <si>
    <t>GFF350R</t>
  </si>
  <si>
    <t>Spinach &amp; Feta Parcel</t>
  </si>
  <si>
    <t>GFF349R</t>
  </si>
  <si>
    <t>Spinach &amp; Feta Parcel Filling</t>
  </si>
  <si>
    <t>GFF355R</t>
  </si>
  <si>
    <t>GFF1468</t>
  </si>
  <si>
    <t>Spinach Baby Leaves</t>
  </si>
  <si>
    <t>GFF1470</t>
  </si>
  <si>
    <t>Medium Grd 3 HBE Eggs</t>
  </si>
  <si>
    <t>Eggs</t>
  </si>
  <si>
    <t>SFP32.5G</t>
  </si>
  <si>
    <t>Spinach &amp; Feta Parcel 32.5G</t>
  </si>
  <si>
    <t>GZRM213</t>
  </si>
  <si>
    <t>GZRM214</t>
  </si>
  <si>
    <t>IHF001-58</t>
  </si>
  <si>
    <t>Spinach Baby Leaves (RTE)</t>
  </si>
  <si>
    <t>Mixed Seeds</t>
  </si>
  <si>
    <t>FRE008-01</t>
  </si>
  <si>
    <t>Added new content for fsc and spar</t>
  </si>
  <si>
    <t>Medium Grd 3 HBE Eggs 42G</t>
  </si>
  <si>
    <t>GFF354R</t>
  </si>
  <si>
    <t>Pasteurising Mixed Seeds</t>
  </si>
  <si>
    <t>GZRM215</t>
  </si>
  <si>
    <t>Ameds to mixed seeds for FSC lines</t>
  </si>
  <si>
    <t>GFF356R</t>
  </si>
  <si>
    <t>Cashew Satay Sauce (MC)</t>
  </si>
  <si>
    <t>GFF357R</t>
  </si>
  <si>
    <t xml:space="preserve">Mindful Chef Cooked Chicken </t>
  </si>
  <si>
    <t>GFF359R</t>
  </si>
  <si>
    <t>Barbacoa Sauce (MC)</t>
  </si>
  <si>
    <t>GFF360R</t>
  </si>
  <si>
    <t>Cooked Beef Chuck (MC)</t>
  </si>
  <si>
    <t>GFF361R</t>
  </si>
  <si>
    <t>Steamed Sweetcorn (MC)</t>
  </si>
  <si>
    <t>GFF362R</t>
  </si>
  <si>
    <t>Keralan Curry Sauce (MC)</t>
  </si>
  <si>
    <t>GFF363R</t>
  </si>
  <si>
    <t>Steamed Cod (MC)</t>
  </si>
  <si>
    <t>GFF364R</t>
  </si>
  <si>
    <t>Mediterranean Sauce (MC)</t>
  </si>
  <si>
    <t>GFF365R</t>
  </si>
  <si>
    <t>Pesto Salmon (MC)</t>
  </si>
  <si>
    <t>GFF358R</t>
  </si>
  <si>
    <t>Stir Fry Veg for Cashew Chicken (MC)</t>
  </si>
  <si>
    <t>Sauce</t>
  </si>
  <si>
    <t>GZRM216</t>
  </si>
  <si>
    <t>GZRM217</t>
  </si>
  <si>
    <t>GZRM219</t>
  </si>
  <si>
    <t>GZRM218</t>
  </si>
  <si>
    <t>GZRM220</t>
  </si>
  <si>
    <t>GZRM221</t>
  </si>
  <si>
    <t>GZRM222</t>
  </si>
  <si>
    <t>GZRM223</t>
  </si>
  <si>
    <t>GZRM224</t>
  </si>
  <si>
    <t>GZRM225</t>
  </si>
  <si>
    <t>Nut, Soya</t>
  </si>
  <si>
    <t>Fish, Nuts</t>
  </si>
  <si>
    <t>Added New content for MC interim products</t>
  </si>
  <si>
    <t>Wheat, Sesame, Soya</t>
  </si>
  <si>
    <t>Updated Alergen for GFF166R -  ADDED SESAME AND CHANGED CATEGORY FROM 3 TO 1</t>
  </si>
  <si>
    <t>GFF367R</t>
  </si>
  <si>
    <t>GFF366R</t>
  </si>
  <si>
    <t>Parsley Sweet Potato Mash (MC)</t>
  </si>
  <si>
    <t>Fish Pie Mix (MC)</t>
  </si>
  <si>
    <t>GZRM226</t>
  </si>
  <si>
    <t>GZRM227</t>
  </si>
  <si>
    <t>Added New Content MC line Fish Pie</t>
  </si>
  <si>
    <t>GFF369R</t>
  </si>
  <si>
    <t>GFF368R</t>
  </si>
  <si>
    <t>Lamb Samosa Filling (Cook)</t>
  </si>
  <si>
    <t>Onion Bhaji Mild (Cook)</t>
  </si>
  <si>
    <t>LS40G2</t>
  </si>
  <si>
    <t>Lamb Samosa Cocktail 40G- R2</t>
  </si>
  <si>
    <t>Mild Onion Bhaji Cocktail 40G</t>
  </si>
  <si>
    <t>MOB40G</t>
  </si>
  <si>
    <t>Added 2 New contents for Cooks Indian Snack Range</t>
  </si>
  <si>
    <t>GFF1215</t>
  </si>
  <si>
    <t>29/07/2019, D- 08/07/2021</t>
  </si>
  <si>
    <t>Changed GFF040R to GFF005R</t>
  </si>
  <si>
    <t>GFF372R</t>
  </si>
  <si>
    <t>Lancashire Cheese &amp; Plum Chutney Parcels</t>
  </si>
  <si>
    <t>LCPJP150G</t>
  </si>
  <si>
    <t>Lancashire Cheese &amp; Plum Chutney Parcels 150G</t>
  </si>
  <si>
    <t>Added New Booths Lacashire Cheese and plum jelly parcel content</t>
  </si>
  <si>
    <t>GFF370R</t>
  </si>
  <si>
    <t>GFF371R</t>
  </si>
  <si>
    <t>PIQ001-02</t>
  </si>
  <si>
    <t>Marie Rose Sauce</t>
  </si>
  <si>
    <t>GZRM228</t>
  </si>
  <si>
    <t>GZRM229</t>
  </si>
  <si>
    <t>MARRDIP</t>
  </si>
  <si>
    <t>18/06/2019, D-03/08/2021</t>
  </si>
  <si>
    <t>Added MC Contents and Prawn Marie rose content</t>
  </si>
  <si>
    <t>Lentil Mix (MC) - GFF370R</t>
  </si>
  <si>
    <t>Coconut Bechamel (MC) - GFF371R</t>
  </si>
  <si>
    <t>Roasted Aubergine Roundels</t>
  </si>
  <si>
    <t>D-09/08/2021</t>
  </si>
  <si>
    <t>Updated Batch Qty  - ref to change note 09/08/2021 - GFF003,GFF004,GFF005,GFF114</t>
  </si>
  <si>
    <t>Added New MC 10 LINES CONTENTS</t>
  </si>
  <si>
    <t>Chickpea Tagine Sauce (MC)</t>
  </si>
  <si>
    <t>Chickpea Tikka Masala Sauce (MC)</t>
  </si>
  <si>
    <t>Pasteurising Coconut Chips</t>
  </si>
  <si>
    <t>Pasteurising Cashew Nuts</t>
  </si>
  <si>
    <t>Pasteurising Almond Flakes</t>
  </si>
  <si>
    <t>Panang Curry Sauce (MC)</t>
  </si>
  <si>
    <t>Sunflower Bolognese Sauce (MC)</t>
  </si>
  <si>
    <t>GFF375R</t>
  </si>
  <si>
    <t>GFF390R</t>
  </si>
  <si>
    <t>GFF378R</t>
  </si>
  <si>
    <t>GFF379R</t>
  </si>
  <si>
    <t>GFF387R</t>
  </si>
  <si>
    <t>GFF391R</t>
  </si>
  <si>
    <t>GFF352R</t>
  </si>
  <si>
    <t>GFF389R</t>
  </si>
  <si>
    <t>GFF351R</t>
  </si>
  <si>
    <t>GFF377R</t>
  </si>
  <si>
    <t>GFF382R</t>
  </si>
  <si>
    <t>Hartley's Farm Foods Ltd</t>
  </si>
  <si>
    <t>GZRM232</t>
  </si>
  <si>
    <t>GZRM233</t>
  </si>
  <si>
    <t>GZRM236</t>
  </si>
  <si>
    <t>GZRM237</t>
  </si>
  <si>
    <t>GZRM238</t>
  </si>
  <si>
    <t>GZRM240</t>
  </si>
  <si>
    <t>GZRM241</t>
  </si>
  <si>
    <t>GZRM244</t>
  </si>
  <si>
    <t>GZRM245</t>
  </si>
  <si>
    <t>GZRM246</t>
  </si>
  <si>
    <t>GZRM247</t>
  </si>
  <si>
    <t>GZRM249</t>
  </si>
  <si>
    <t>18/06/2019  D-11/08/2021</t>
  </si>
  <si>
    <t>08/10/2019 - D-11/08/2021</t>
  </si>
  <si>
    <t>Cacciatore Sauce (MC) - R1</t>
  </si>
  <si>
    <t>Tikka Masala Sauce (MC) - R1</t>
  </si>
  <si>
    <t>Marinated Chicken Tikka (MC) - R1</t>
  </si>
  <si>
    <t>Cooked Lamb Shoulder (MC) - R1</t>
  </si>
  <si>
    <t xml:space="preserve">Diced Lemon &amp; Garlic Chicken </t>
  </si>
  <si>
    <t>GFF1500</t>
  </si>
  <si>
    <t>GFF374R</t>
  </si>
  <si>
    <t>GFF388R</t>
  </si>
  <si>
    <t>GFF373R</t>
  </si>
  <si>
    <t>GFF381R</t>
  </si>
  <si>
    <t>Lamb Shepherd's Pie Mix (MC)</t>
  </si>
  <si>
    <t>Chickpea Korma Sauce (MC)</t>
  </si>
  <si>
    <t>Chilli Con Carne Mix (MC)</t>
  </si>
  <si>
    <t>GZRM250</t>
  </si>
  <si>
    <t>GZRM251</t>
  </si>
  <si>
    <t>GZRM252</t>
  </si>
  <si>
    <t>GZRM253</t>
  </si>
  <si>
    <t>Tagine Sauce (MC)-R1</t>
  </si>
  <si>
    <t>Chickpea Korma Sauce (MC)-R1</t>
  </si>
  <si>
    <t>18/06/2019 - D - 19/08/2021</t>
  </si>
  <si>
    <t>08/10/2019 - D - 19/08/2021</t>
  </si>
  <si>
    <t>07/02/2020 - D - 19/08/2021</t>
  </si>
  <si>
    <t>19/06/2020 - D - 19/08/2021</t>
  </si>
  <si>
    <t>18/09/2020 - D - 19/08/2021</t>
  </si>
  <si>
    <t>05/11/2020 - D - 19/08/2021</t>
  </si>
  <si>
    <t>Delisted MC Contents old</t>
  </si>
  <si>
    <t>GFF392R</t>
  </si>
  <si>
    <t>GZRM254</t>
  </si>
  <si>
    <t>Steamed Green Beans Fresh</t>
  </si>
  <si>
    <t>Added New Content Steamed Green Beans</t>
  </si>
  <si>
    <t>Finedal Foods</t>
  </si>
  <si>
    <t>FIN002-01</t>
  </si>
  <si>
    <t>Lemon Grass Sping Rolls</t>
  </si>
  <si>
    <t>Bang Bang Cauliflour</t>
  </si>
  <si>
    <t>Pea &amp; Mint Fritters</t>
  </si>
  <si>
    <t>Beef &amp; Horseredish York Pudding</t>
  </si>
  <si>
    <t>VLSRB21G</t>
  </si>
  <si>
    <t>BBCBG</t>
  </si>
  <si>
    <t>P&amp;MF20G</t>
  </si>
  <si>
    <t>LCPJP20G</t>
  </si>
  <si>
    <t>Lemon Grass Spring Rolls 21G</t>
  </si>
  <si>
    <t>Bang Bang Couliflour KG</t>
  </si>
  <si>
    <t>Pea &amp; Mint Fritter 20G</t>
  </si>
  <si>
    <t>Beef &amp; Horseredish York Pudding 14.5G</t>
  </si>
  <si>
    <t>Lancashire Cheese &amp; Plum Chutney Parcels 20G</t>
  </si>
  <si>
    <t>Added Booths X-Mas contents for X-Mas requirement Purposes final details to be confirmed</t>
  </si>
  <si>
    <t>SPFP25G</t>
  </si>
  <si>
    <t>Spinach &amp; Feta Parcel 25G</t>
  </si>
  <si>
    <t>Changed Qty Per Batch GFF370R from 40 to 1200</t>
  </si>
  <si>
    <t>GFF393R</t>
  </si>
  <si>
    <t>GFF394R</t>
  </si>
  <si>
    <t>GFF376R</t>
  </si>
  <si>
    <t>GFF384R</t>
  </si>
  <si>
    <t>Thai Green Curry Sauce (MC) - R1</t>
  </si>
  <si>
    <t>Spinach Dahl (MC) - R1</t>
  </si>
  <si>
    <t>GZRM255</t>
  </si>
  <si>
    <t>GZRM256</t>
  </si>
  <si>
    <t>Added 2 New contents for MC Range</t>
  </si>
  <si>
    <t>Updated Content</t>
  </si>
  <si>
    <t>GFF396R</t>
  </si>
  <si>
    <t>Fried Potato Wedges</t>
  </si>
  <si>
    <t>GFF397R</t>
  </si>
  <si>
    <t xml:space="preserve">Salsa Sauce </t>
  </si>
  <si>
    <t>GFF398R</t>
  </si>
  <si>
    <t xml:space="preserve">Mix for Enchilada Roll </t>
  </si>
  <si>
    <t>GFF399R</t>
  </si>
  <si>
    <t>Enchilada Roll</t>
  </si>
  <si>
    <t>GFF400R</t>
  </si>
  <si>
    <t xml:space="preserve">Enchilada Sauce </t>
  </si>
  <si>
    <t>MXF001-02</t>
  </si>
  <si>
    <t>FUN001-23</t>
  </si>
  <si>
    <t>Medium Hot &amp; Chunky Salsa Picante</t>
  </si>
  <si>
    <t>Sliced Jalapeno</t>
  </si>
  <si>
    <t>GZRM257</t>
  </si>
  <si>
    <t>GZRM258</t>
  </si>
  <si>
    <t>GZRM259</t>
  </si>
  <si>
    <t>GZRM260</t>
  </si>
  <si>
    <t>GZRM261</t>
  </si>
  <si>
    <t>Soya, Barley</t>
  </si>
  <si>
    <t>Soya, Barley, Wheat, Oat</t>
  </si>
  <si>
    <t>Added Content for Booths Mexican AYR range</t>
  </si>
  <si>
    <t>VSR50G2</t>
  </si>
  <si>
    <t>Vegetable Spring Roll Medium 50G- Cook</t>
  </si>
  <si>
    <t>Added Content for Cook Veg Spring roll new variant for distinguishing</t>
  </si>
  <si>
    <t>GFF383R</t>
  </si>
  <si>
    <t>GFF385R</t>
  </si>
  <si>
    <t>GFF386R</t>
  </si>
  <si>
    <t>Veggie Pie Mix (MC)- R1</t>
  </si>
  <si>
    <t>Bean Bake Mix (MC)- R1</t>
  </si>
  <si>
    <t>Crumb Mix (MC)- R1</t>
  </si>
  <si>
    <t>GZRM262</t>
  </si>
  <si>
    <t>GZRM263</t>
  </si>
  <si>
    <t>GZRM264</t>
  </si>
  <si>
    <t>Added Content for MC two new lines</t>
  </si>
  <si>
    <t>GFF403R ADDED</t>
  </si>
  <si>
    <t>GFF403R</t>
  </si>
  <si>
    <t>Marinated King Prawns (Ready Meals)</t>
  </si>
  <si>
    <t>GZRM265</t>
  </si>
  <si>
    <t>GFF401R</t>
  </si>
  <si>
    <t>GFF402R</t>
  </si>
  <si>
    <t>GFF404R</t>
  </si>
  <si>
    <t>Spinach &amp; Feta Parcel Filling (xmas)</t>
  </si>
  <si>
    <t>Spinach &amp; Feta Parcel (xmas)</t>
  </si>
  <si>
    <t>GZRM266</t>
  </si>
  <si>
    <t>Added Booths X-Mas Content GFF Nos</t>
  </si>
  <si>
    <t>GFF405R</t>
  </si>
  <si>
    <t>PIQ001-03</t>
  </si>
  <si>
    <t>GFF406R</t>
  </si>
  <si>
    <t xml:space="preserve">Steamed Spinach </t>
  </si>
  <si>
    <t>GZRM267</t>
  </si>
  <si>
    <t>Steamed Spinach</t>
  </si>
  <si>
    <t>GFF380R</t>
  </si>
  <si>
    <t>GZRM268</t>
  </si>
  <si>
    <t>Chipotle Sauce (MC)- R1</t>
  </si>
  <si>
    <t>Booths Fried Onions</t>
  </si>
  <si>
    <t>Changed Recipe Name GFF140R - refer to change note dated 05/11/2021</t>
  </si>
  <si>
    <t>GFF409R</t>
  </si>
  <si>
    <t>Mini Vegetable Spring Rolls Filling</t>
  </si>
  <si>
    <t>VSR15G1</t>
  </si>
  <si>
    <t>Added New Content for GFF409R</t>
  </si>
  <si>
    <t>Vegetable Spring Roll 15G - GFF409R</t>
  </si>
  <si>
    <t>GFF410R</t>
  </si>
  <si>
    <t>GFF411R</t>
  </si>
  <si>
    <t>GFF412R</t>
  </si>
  <si>
    <t>GFF413R</t>
  </si>
  <si>
    <t>Makhani Sauce (MC)</t>
  </si>
  <si>
    <t>Korma Sauce (MC)</t>
  </si>
  <si>
    <t>Saag Chana Butternut Sauce (MC)</t>
  </si>
  <si>
    <t>GZRM269</t>
  </si>
  <si>
    <t>GZRM271</t>
  </si>
  <si>
    <t>GZRM272</t>
  </si>
  <si>
    <t>GZRM270</t>
  </si>
  <si>
    <t>Mustard, Nuts</t>
  </si>
  <si>
    <t>Added New MC Content</t>
  </si>
  <si>
    <t>Veg Red Thai Sauce (MC)</t>
  </si>
  <si>
    <t>GFF414R</t>
  </si>
  <si>
    <t>Cooked Vermicelli</t>
  </si>
  <si>
    <t>GFF415R</t>
  </si>
  <si>
    <t xml:space="preserve">Soaked Mushrooms </t>
  </si>
  <si>
    <t>GFF416R</t>
  </si>
  <si>
    <t>Mushrooms Spring  Roll Mix</t>
  </si>
  <si>
    <t>GFF417R</t>
  </si>
  <si>
    <t>Mushroom &amp; Vegetables Spring Roll</t>
  </si>
  <si>
    <t>GZRM273</t>
  </si>
  <si>
    <t>GZRM274</t>
  </si>
  <si>
    <t>GZRM275</t>
  </si>
  <si>
    <t>MVSR40G</t>
  </si>
  <si>
    <t>Milk, Soya, Wheat, Sesame</t>
  </si>
  <si>
    <t>Added New Content for Burning Rose Spring rolls</t>
  </si>
  <si>
    <t>Mushroom &amp; Vegetables Spring Roll 40G</t>
  </si>
  <si>
    <t>Cooked Chicken Tikka Frozen (MC)</t>
  </si>
  <si>
    <t>GFF1538</t>
  </si>
  <si>
    <t>GZRM276</t>
  </si>
  <si>
    <t>Added New content for mc ready cooked chicken tikka</t>
  </si>
  <si>
    <t>GFF418R</t>
  </si>
  <si>
    <t>South Indian Sauce (MC)</t>
  </si>
  <si>
    <t>GZRM277</t>
  </si>
  <si>
    <t>New content for MC line</t>
  </si>
  <si>
    <t>RECTIFIED RED RICE STATUS</t>
  </si>
  <si>
    <t>gff024r - changed output</t>
  </si>
  <si>
    <t>RTE Carrot Baton</t>
  </si>
  <si>
    <t>IHF001-76</t>
  </si>
  <si>
    <t>New Content for JO</t>
  </si>
  <si>
    <t>GFF419R</t>
  </si>
  <si>
    <t>Chilli Con Carne (Takul)</t>
  </si>
  <si>
    <t>GZRM278</t>
  </si>
  <si>
    <t>GFF420R</t>
  </si>
  <si>
    <t>GZRM279</t>
  </si>
  <si>
    <t>Steamed Rice- R1</t>
  </si>
  <si>
    <t>GFF422R</t>
  </si>
  <si>
    <t>GFF421R</t>
  </si>
  <si>
    <t>GFF423R</t>
  </si>
  <si>
    <t>GFF424R</t>
  </si>
  <si>
    <t>Spinach &amp; Feta Rolls Filling</t>
  </si>
  <si>
    <t>Spinach &amp; Feta Rolls</t>
  </si>
  <si>
    <t>Lamb Potato Chaps Frying</t>
  </si>
  <si>
    <t>Broad Bean Bites Frying</t>
  </si>
  <si>
    <t>GZRM280</t>
  </si>
  <si>
    <t>Spinach &amp; Feta Rolls 30G</t>
  </si>
  <si>
    <t>SFR30G</t>
  </si>
  <si>
    <t>Lamb Potato Chaps 42.5G</t>
  </si>
  <si>
    <t>Broad Bean Bites 40G</t>
  </si>
  <si>
    <t>LPC42.5G</t>
  </si>
  <si>
    <t>BBB40G</t>
  </si>
  <si>
    <t>JARDOX</t>
  </si>
  <si>
    <t>JAR001-01</t>
  </si>
  <si>
    <t>Spicy Tomato Dip Sachet</t>
  </si>
  <si>
    <t>STDS40G</t>
  </si>
  <si>
    <t>Spicy Tomato Dip Sachet 40G</t>
  </si>
  <si>
    <t>REF TO CHANGE NOTE DATED 18/07/2022 - BATCH SIZE CHANGE ON GFF122R AND GFF121R</t>
  </si>
  <si>
    <t>TRA003-13</t>
  </si>
  <si>
    <t>TRA003-14</t>
  </si>
  <si>
    <t>No Pork Belly Bites 200G (Ready Packed)</t>
  </si>
  <si>
    <t>TRA003-09</t>
  </si>
  <si>
    <t>TRA003-10</t>
  </si>
  <si>
    <t>Vegan Bao Bun Selection 180G (Ready Packed)</t>
  </si>
  <si>
    <t>TRA003-11</t>
  </si>
  <si>
    <t>Prawn Lollipop Selection 136G (Ready Packed)</t>
  </si>
  <si>
    <t>TRA003-12</t>
  </si>
  <si>
    <t>Coated Prawn Selection 132G (Ready Packed)</t>
  </si>
  <si>
    <t>INN001-01</t>
  </si>
  <si>
    <t>Halloumi Fries</t>
  </si>
  <si>
    <t>Halloumi Fries KG</t>
  </si>
  <si>
    <t>INNOVATE FOODS LTD</t>
  </si>
  <si>
    <t>CK FOODS</t>
  </si>
  <si>
    <t>CKF001-01</t>
  </si>
  <si>
    <t>CKF001-02</t>
  </si>
  <si>
    <t>Hot &amp; Spicy Chicken Bites (15G-17G)</t>
  </si>
  <si>
    <t>Southern Fried Breaded Mini Fillets (45G-55G)</t>
  </si>
  <si>
    <t>HAWSHEAD</t>
  </si>
  <si>
    <t>HAW001-04</t>
  </si>
  <si>
    <t>Chilli Jam</t>
  </si>
  <si>
    <t>CHJDIP</t>
  </si>
  <si>
    <t>PIQ001-04</t>
  </si>
  <si>
    <t>PIQ001-05</t>
  </si>
  <si>
    <t>Mint Raita Dip Pot</t>
  </si>
  <si>
    <t>MRDIP25G</t>
  </si>
  <si>
    <t>Mint Raita Dip Pot 25G</t>
  </si>
  <si>
    <t>Garlic Mayonnaise Dip Pot</t>
  </si>
  <si>
    <t>GMADIP25G</t>
  </si>
  <si>
    <t>Garlic Mayonnaise Dip Pot 25G</t>
  </si>
  <si>
    <t>Jack Fruit Hog Roast Parcel</t>
  </si>
  <si>
    <t>Red Onion &amp; Goat Cheese Parcel</t>
  </si>
  <si>
    <t>JFHRP150G</t>
  </si>
  <si>
    <t>ROGCP150G</t>
  </si>
  <si>
    <t>BDMCM20G</t>
  </si>
  <si>
    <t>Jack Fruit Hog Roast Parcel 150G</t>
  </si>
  <si>
    <t>Red Onion &amp; Goat Cheese Parcel 150G</t>
  </si>
  <si>
    <t>Added New Contets for Booths X-Mas lines howver details to be confirmed</t>
  </si>
  <si>
    <t>Prawn Bao Bun Selection 180G (Ready Packed)</t>
  </si>
  <si>
    <t>TRA003-1.1</t>
  </si>
  <si>
    <t>10 King Prawn Selection 150G (Ready Packed)</t>
  </si>
  <si>
    <t>Vegan Shiumai 200G (Ready Packed)</t>
  </si>
  <si>
    <t>D-26/09/2022</t>
  </si>
  <si>
    <t>23/10/2020 - D-26/09/2022</t>
  </si>
  <si>
    <t>GFF1000</t>
  </si>
  <si>
    <t>GFF425R</t>
  </si>
  <si>
    <t>GFF426R</t>
  </si>
  <si>
    <t>Onion Bhaji Bite 12G - GFF425R</t>
  </si>
  <si>
    <t>Vegetable Pakora Bite 12G - GFF426R</t>
  </si>
  <si>
    <t>New Recipe added</t>
  </si>
  <si>
    <t>OB12G1</t>
  </si>
  <si>
    <t>VP12G1</t>
  </si>
  <si>
    <t>OB100G2</t>
  </si>
  <si>
    <t>Onion Bhaji Large 100G - GFF121R</t>
  </si>
  <si>
    <t>D-05/10/2022</t>
  </si>
  <si>
    <t>VP100G1</t>
  </si>
  <si>
    <t>Vegetable Pakora Large 100G - GFF122R</t>
  </si>
  <si>
    <t>New Content Created Onion Bhaji</t>
  </si>
  <si>
    <t>CSR50G2</t>
  </si>
  <si>
    <t>Chicken Spring Roll Medium 50G - Takul</t>
  </si>
  <si>
    <t>D-14/10/2022</t>
  </si>
  <si>
    <t>GFF428R</t>
  </si>
  <si>
    <t>GFF431R</t>
  </si>
  <si>
    <t>GFF433R</t>
  </si>
  <si>
    <t>GFF427R</t>
  </si>
  <si>
    <t xml:space="preserve">Jackfruit Hog Roast Mix </t>
  </si>
  <si>
    <t>GFF429R</t>
  </si>
  <si>
    <t>Steamed Red Cabbage</t>
  </si>
  <si>
    <t>GFF430R</t>
  </si>
  <si>
    <t>Marmalade Mix</t>
  </si>
  <si>
    <t>GFF432R</t>
  </si>
  <si>
    <t xml:space="preserve">Cranberry Mix </t>
  </si>
  <si>
    <t>GZRM281</t>
  </si>
  <si>
    <t>GZRM282</t>
  </si>
  <si>
    <t>GZRM283</t>
  </si>
  <si>
    <t>GZRM284</t>
  </si>
  <si>
    <t>Soya, Sesame, Wheat</t>
  </si>
  <si>
    <t>Soya, Sesame, Wheat, Mustard</t>
  </si>
  <si>
    <t>Crustacean, Wheat, Soya</t>
  </si>
  <si>
    <t>Milk, Wheat, Soya</t>
  </si>
  <si>
    <t>Wheat, Egg</t>
  </si>
  <si>
    <t>Wheat,Egg, Milk, Sulphites</t>
  </si>
  <si>
    <t xml:space="preserve"> Mustard, Egg</t>
  </si>
  <si>
    <t>Added Pending Booths X-Mas Content</t>
  </si>
  <si>
    <t>11/08/2021, D - 05/12/2022</t>
  </si>
  <si>
    <t>Cooked Minced Chicken (JO)</t>
  </si>
  <si>
    <t>Thigh Chicken Tikka (JO)</t>
  </si>
  <si>
    <t>Amended Names on GFF314 AND 355 REPLACED FSC WITH JO</t>
  </si>
  <si>
    <t>18/03/2022, D:21/02/2023</t>
  </si>
  <si>
    <t>Wheat, Soya, Milk</t>
  </si>
  <si>
    <t>Changes to Chicken Spring Roll GFF007R PASTRY AND ALLERGEN</t>
  </si>
  <si>
    <t>GFF434R</t>
  </si>
  <si>
    <t>GFF435R</t>
  </si>
  <si>
    <t>GFF436R</t>
  </si>
  <si>
    <t>GFF437R</t>
  </si>
  <si>
    <t>GFF438R</t>
  </si>
  <si>
    <t>GFF439R</t>
  </si>
  <si>
    <t>GFF440R</t>
  </si>
  <si>
    <t>GFF441R</t>
  </si>
  <si>
    <t>Roasted Mixed Peppers (MC)</t>
  </si>
  <si>
    <t>Roasted Butternut Squash (MC)</t>
  </si>
  <si>
    <t>GZRM285</t>
  </si>
  <si>
    <t>GZRM286</t>
  </si>
  <si>
    <t>GZRM287</t>
  </si>
  <si>
    <t>GZRM288</t>
  </si>
  <si>
    <t>GZRM289</t>
  </si>
  <si>
    <t>GZRM290</t>
  </si>
  <si>
    <t>GZRM291</t>
  </si>
  <si>
    <t>GZRM292</t>
  </si>
  <si>
    <t>Brown Rice (MC)</t>
  </si>
  <si>
    <t>Chilli Con Carne (MC)</t>
  </si>
  <si>
    <t>Tikka Masala Sauce (MC) - R2</t>
  </si>
  <si>
    <t>Black Rice (MC)</t>
  </si>
  <si>
    <t>Chickpea Korma Sauce (MC)-R2</t>
  </si>
  <si>
    <t>Spinach Dahl (MC) - R2</t>
  </si>
  <si>
    <t>Added New MC Contents Improved Recipe</t>
  </si>
  <si>
    <t>Coriander Black Rice (MC)</t>
  </si>
  <si>
    <t>Coriander Brown Rice (MC)</t>
  </si>
  <si>
    <t>GFF238/ GFF255 - NAME CHANGED ADDED CORIANDER ON THE DESCRIPTION</t>
  </si>
  <si>
    <t>Changed timings for all snack range</t>
  </si>
  <si>
    <t>D-27/04/2023</t>
  </si>
  <si>
    <t>GFF442R</t>
  </si>
  <si>
    <t>Chicken Samosa (COOK)</t>
  </si>
  <si>
    <t>CTS40G1</t>
  </si>
  <si>
    <t>Chicken Tikka Samosa Cook 40G</t>
  </si>
  <si>
    <t>Added Cook Chicken Samosa</t>
  </si>
  <si>
    <t>GFF443R</t>
  </si>
  <si>
    <t>Roasted Red Peppers 10mm</t>
  </si>
  <si>
    <t>GZRM293</t>
  </si>
  <si>
    <t>Added New Content for Booths Goan Prawn - roasted red peppers made in house instead of baught inn</t>
  </si>
  <si>
    <t>Discontinued unused contents</t>
  </si>
  <si>
    <t>Batter Chicken Bites</t>
  </si>
  <si>
    <t>GFF152R-1R</t>
  </si>
  <si>
    <t>Batter for Chicken Bites</t>
  </si>
  <si>
    <t>Batter</t>
  </si>
  <si>
    <t>GZRM294</t>
  </si>
  <si>
    <t>GFF005R - UNITS PER BATCH CHANGED AS PER EMAIL FROM TAUFIQUE DATED 18/07/2023</t>
  </si>
  <si>
    <t>14/10/2022 d 11/08/2023</t>
  </si>
  <si>
    <t>Duck Spring Roll (Cook)</t>
  </si>
  <si>
    <t>DSR50G2</t>
  </si>
  <si>
    <t>Duck Spring Roll Medium 50G (Cook)</t>
  </si>
  <si>
    <t>Wheat, Sesame, Soya, Milk</t>
  </si>
  <si>
    <t>GFF452R</t>
  </si>
  <si>
    <t>GFF448R</t>
  </si>
  <si>
    <t>GFF449R</t>
  </si>
  <si>
    <t>Fragrant Rice</t>
  </si>
  <si>
    <t>Red Thai Curry Sauce (Cuisine)</t>
  </si>
  <si>
    <t>GZRM295</t>
  </si>
  <si>
    <t>GZRM296</t>
  </si>
  <si>
    <t>New Lines</t>
  </si>
  <si>
    <t>20-25mm Steam Cooked Diced Chicken</t>
  </si>
  <si>
    <t>GFF1587</t>
  </si>
  <si>
    <t>GZRM297</t>
  </si>
  <si>
    <t>Added Content for Cuisine Changeover</t>
  </si>
  <si>
    <t>GFF453R</t>
  </si>
  <si>
    <t>Hoisin Dip</t>
  </si>
  <si>
    <t>GZRM298</t>
  </si>
  <si>
    <t>GFF450R</t>
  </si>
  <si>
    <t>GFF451R</t>
  </si>
  <si>
    <t>Peri Peri Chicken Samosa Mix</t>
  </si>
  <si>
    <t xml:space="preserve">Mexican Chicken Samosa Mix </t>
  </si>
  <si>
    <t>CPSA100G</t>
  </si>
  <si>
    <t>CMSA100G</t>
  </si>
  <si>
    <t>Peri Peri Chicken Samosa 100G</t>
  </si>
  <si>
    <t>Mexican Chicken Samosa 100G</t>
  </si>
  <si>
    <t>Added 2 new samosa's</t>
  </si>
  <si>
    <t>GFF454R</t>
  </si>
  <si>
    <t>GFF455R</t>
  </si>
  <si>
    <t>GFF456R</t>
  </si>
  <si>
    <t>GFF457R</t>
  </si>
  <si>
    <t>GFF458R</t>
  </si>
  <si>
    <t>GFF459R</t>
  </si>
  <si>
    <t>GFF460R</t>
  </si>
  <si>
    <t>GFF461R</t>
  </si>
  <si>
    <t>GFF462R</t>
  </si>
  <si>
    <t>GFF463R</t>
  </si>
  <si>
    <t>GFF446R</t>
  </si>
  <si>
    <t>GFF444R</t>
  </si>
  <si>
    <t>GFF447R</t>
  </si>
  <si>
    <t>SAL001-06</t>
  </si>
  <si>
    <t>ABE001-05</t>
  </si>
  <si>
    <t xml:space="preserve">Redcurrant Dip </t>
  </si>
  <si>
    <t>Mexican Bean &amp; Corn Parcel Mix</t>
  </si>
  <si>
    <t>Bombay Potato Samosa Mix</t>
  </si>
  <si>
    <t>Chicken Tikka Skewers (XMAS)</t>
  </si>
  <si>
    <t>Tandoori Chicken Skewers (XMAS)</t>
  </si>
  <si>
    <t>Corn Fritters</t>
  </si>
  <si>
    <t xml:space="preserve">Southern Fried Chicken </t>
  </si>
  <si>
    <t xml:space="preserve">Hot &amp; Spicy Chicken Bites </t>
  </si>
  <si>
    <t xml:space="preserve">GF Katsu Chicken Bites </t>
  </si>
  <si>
    <t>GF Salt &amp; Pepper Chicken Bites</t>
  </si>
  <si>
    <t xml:space="preserve">Chicken Fajita Mix </t>
  </si>
  <si>
    <t>Chipotle Sauce (Booths)</t>
  </si>
  <si>
    <t xml:space="preserve">Piri Piri Chicken Mix </t>
  </si>
  <si>
    <t>Camembert Bites (20g each,300 pieces/case)</t>
  </si>
  <si>
    <t>2 Breaded Camembert with Cranberry and Port Dip</t>
  </si>
  <si>
    <t>RCDIP</t>
  </si>
  <si>
    <t>Redcurrent Dip</t>
  </si>
  <si>
    <t>Mexican Bean &amp; Corn Parcel 25G</t>
  </si>
  <si>
    <t>MBCP25G</t>
  </si>
  <si>
    <t>BPS25G</t>
  </si>
  <si>
    <t>GZRM299</t>
  </si>
  <si>
    <t>GZRM300</t>
  </si>
  <si>
    <t>COF30G</t>
  </si>
  <si>
    <t>GZRM301</t>
  </si>
  <si>
    <t>GZRM302</t>
  </si>
  <si>
    <t>GZRM303</t>
  </si>
  <si>
    <t>GZRM304</t>
  </si>
  <si>
    <t>GZRM305</t>
  </si>
  <si>
    <t>GZRM306</t>
  </si>
  <si>
    <t>GZRM307</t>
  </si>
  <si>
    <t>CAMB20G1</t>
  </si>
  <si>
    <t>Camembert Bites 20G- D</t>
  </si>
  <si>
    <t>2 Breaded Camembert with Cranberry &amp; Port Dip (Ready Packed)</t>
  </si>
  <si>
    <t>Barley, Soya, Mustard</t>
  </si>
  <si>
    <t>Barley, Soya</t>
  </si>
  <si>
    <t>Added New Contents for Booths X-Mas</t>
  </si>
  <si>
    <t>Bombay Potato Samosa 25G</t>
  </si>
  <si>
    <t>GFF445R</t>
  </si>
  <si>
    <t xml:space="preserve">Tomato &amp; Pepper Rice </t>
  </si>
  <si>
    <t>GZRM308</t>
  </si>
  <si>
    <t>Corn Fritters 30G</t>
  </si>
  <si>
    <t>MX FOODS</t>
  </si>
  <si>
    <t>Ambient 16.5cm (6.5") Flour Tortillas (CAT B)</t>
  </si>
  <si>
    <t>TORTI</t>
  </si>
  <si>
    <t>CAMSTAR</t>
  </si>
  <si>
    <t>CAM003-01</t>
  </si>
  <si>
    <t>Salsa Dip</t>
  </si>
  <si>
    <t>SALDIP</t>
  </si>
  <si>
    <t>MXF001-01</t>
  </si>
  <si>
    <t>02/09/2020, D - 07/11/2023</t>
  </si>
  <si>
    <t>GFF464R</t>
  </si>
  <si>
    <t xml:space="preserve">Chilli Garlic Sauce </t>
  </si>
  <si>
    <t>GFF465R</t>
  </si>
  <si>
    <t xml:space="preserve">Teriyaki Sauce </t>
  </si>
  <si>
    <t>GFF466R</t>
  </si>
  <si>
    <t>Steamed Cauliflower</t>
  </si>
  <si>
    <t>GFF467R</t>
  </si>
  <si>
    <t xml:space="preserve">Cheese Sauce </t>
  </si>
  <si>
    <t>GFF468R</t>
  </si>
  <si>
    <t>Steamed Sliced Potato</t>
  </si>
  <si>
    <t>GFF469R</t>
  </si>
  <si>
    <t xml:space="preserve">Garlic Bachamel Sauce </t>
  </si>
  <si>
    <t>GFF470R</t>
  </si>
  <si>
    <t>Sweet Chilli Sauce(Temp.Control)</t>
  </si>
  <si>
    <t>GZRM309</t>
  </si>
  <si>
    <t>GZRM310</t>
  </si>
  <si>
    <t>GZRM311</t>
  </si>
  <si>
    <t>GZRM312</t>
  </si>
  <si>
    <t>GZRM313</t>
  </si>
  <si>
    <t>GZRM314</t>
  </si>
  <si>
    <t>GZRM315</t>
  </si>
  <si>
    <t>Added Stir Fried Sauces</t>
  </si>
  <si>
    <t xml:space="preserve">Cooked Chilled 8” No Egg T&amp;P Noodles </t>
  </si>
  <si>
    <t>GFF1616</t>
  </si>
  <si>
    <t>GZRM316</t>
  </si>
  <si>
    <t>D -  31/01/2024</t>
  </si>
  <si>
    <t>Duck Spring Roll Content Discontinued</t>
  </si>
  <si>
    <t>D - 31/01/2024</t>
  </si>
  <si>
    <t>02/03/2020 D-31/01/2024</t>
  </si>
  <si>
    <t>02/03/2020 - D-31/01/2024</t>
  </si>
  <si>
    <t>GFF471R</t>
  </si>
  <si>
    <t>GFF472R</t>
  </si>
  <si>
    <t>GFF473R</t>
  </si>
  <si>
    <t>GFF474R</t>
  </si>
  <si>
    <t>GFF475R</t>
  </si>
  <si>
    <t xml:space="preserve">Aromatic Rice </t>
  </si>
  <si>
    <t xml:space="preserve">Cooked Spicy Chicken </t>
  </si>
  <si>
    <t>Makhani Sauce (MD)</t>
  </si>
  <si>
    <t>Stir Fried Noodles</t>
  </si>
  <si>
    <t>GZRM317</t>
  </si>
  <si>
    <t>GZRM318</t>
  </si>
  <si>
    <t>GZRM319</t>
  </si>
  <si>
    <t>GZRM320</t>
  </si>
  <si>
    <t>GZRM321</t>
  </si>
  <si>
    <t>Aromatic Rice</t>
  </si>
  <si>
    <t>Cooked Spicy Chicken</t>
  </si>
  <si>
    <t>Stir Fried Chicken (MD)</t>
  </si>
  <si>
    <t>Egg, Soya, Wheat</t>
  </si>
  <si>
    <t>New Contents for MD Foods</t>
  </si>
  <si>
    <t>GFF476R</t>
  </si>
  <si>
    <t>Steamed Noodles</t>
  </si>
  <si>
    <t>GZRM322</t>
  </si>
  <si>
    <t>Added Steamed Noodles for MD Recipe</t>
  </si>
  <si>
    <t>Mustard, Soya</t>
  </si>
  <si>
    <t>White Mature Cheddar Grated</t>
  </si>
  <si>
    <t>Added Hello Fresh Gazebo 2 Ready Meal range</t>
  </si>
  <si>
    <t>GFF1623</t>
  </si>
  <si>
    <t>GZRM323</t>
  </si>
  <si>
    <t>Mushroom, Spinach &amp; Ricotta Filo Parcels</t>
  </si>
  <si>
    <t>Mushroom and Spinach Mix</t>
  </si>
  <si>
    <t>Mushroom, Spinach &amp; Ricotta Cheese Mix</t>
  </si>
  <si>
    <t>Mushroom, Spinach &amp; Ricotta Filo Parcels 150G</t>
  </si>
  <si>
    <t>Amends on Recipe GFF220R, GFF221R, GFF222R</t>
  </si>
  <si>
    <t>GFF477R-S</t>
  </si>
  <si>
    <t>Shawarma Spice Mix</t>
  </si>
  <si>
    <t>GFF478R</t>
  </si>
  <si>
    <t xml:space="preserve">Beef Chilli Mix </t>
  </si>
  <si>
    <t>GFF479R</t>
  </si>
  <si>
    <t>Chicken Thigh Pakora Bites</t>
  </si>
  <si>
    <t>GFF480R</t>
  </si>
  <si>
    <t>Chicken Thigh Katsu Bites</t>
  </si>
  <si>
    <t>GFF481R</t>
  </si>
  <si>
    <t>Chicken Thigh Salt &amp; Pepper Bites</t>
  </si>
  <si>
    <t>GFF482R</t>
  </si>
  <si>
    <t xml:space="preserve">Chicken Tikka Mix </t>
  </si>
  <si>
    <t>GFF483R</t>
  </si>
  <si>
    <t>Chicken Shawarma Mix</t>
  </si>
  <si>
    <t>GFF484R</t>
  </si>
  <si>
    <t>Chicken Tikka Wrap</t>
  </si>
  <si>
    <t>GFF485R</t>
  </si>
  <si>
    <t xml:space="preserve">Chicken Shawarma Wrap </t>
  </si>
  <si>
    <t>GFF486R</t>
  </si>
  <si>
    <t>Beef Burrito</t>
  </si>
  <si>
    <t>477RMIX</t>
  </si>
  <si>
    <t>478RMIX</t>
  </si>
  <si>
    <t>482RMIX</t>
  </si>
  <si>
    <t>483RMIX</t>
  </si>
  <si>
    <t>CTPBG-R1</t>
  </si>
  <si>
    <t>CTKBG</t>
  </si>
  <si>
    <t>CTSSBG</t>
  </si>
  <si>
    <t>CTWRP</t>
  </si>
  <si>
    <t>CSWRP</t>
  </si>
  <si>
    <t>BBWRP</t>
  </si>
  <si>
    <t>Wheat, Soya, Mustard, Barlley</t>
  </si>
  <si>
    <t>Wheat, Soya, Barlley</t>
  </si>
  <si>
    <t>Milk, Soya, Barley</t>
  </si>
  <si>
    <t>Milk, Soya, Barley,Wheat, Oat</t>
  </si>
  <si>
    <t>Chicken Tikka Wrap 170G</t>
  </si>
  <si>
    <t>Chicken Shawarma Wrap  170G</t>
  </si>
  <si>
    <t>Beef Burrito 170G</t>
  </si>
  <si>
    <t>GFF487R</t>
  </si>
  <si>
    <t xml:space="preserve">Chat Patta Bombay Potato </t>
  </si>
  <si>
    <t>Tawa Chunky Veg Curry</t>
  </si>
  <si>
    <t xml:space="preserve">Paneer Jalfrezi </t>
  </si>
  <si>
    <t>Hot Tikka Masala Sauce</t>
  </si>
  <si>
    <t>Palak Gravy</t>
  </si>
  <si>
    <t xml:space="preserve">Spicy Pilau Rice </t>
  </si>
  <si>
    <t>GFF488R</t>
  </si>
  <si>
    <t>GFF489R</t>
  </si>
  <si>
    <t>GFF490R</t>
  </si>
  <si>
    <t>GFF491R</t>
  </si>
  <si>
    <t>GFF492R</t>
  </si>
  <si>
    <t>GFF493R</t>
  </si>
  <si>
    <t>GZRM324</t>
  </si>
  <si>
    <t>GZRM325</t>
  </si>
  <si>
    <t>GZRM326</t>
  </si>
  <si>
    <t>GZRM327</t>
  </si>
  <si>
    <t>GZRM328</t>
  </si>
  <si>
    <t>GZRM329</t>
  </si>
  <si>
    <t>GZRM330</t>
  </si>
  <si>
    <t>Lamb Kofta</t>
  </si>
  <si>
    <t>Nawabi Curry</t>
  </si>
  <si>
    <t>GFF494R</t>
  </si>
  <si>
    <t>GFF495R</t>
  </si>
  <si>
    <t>Xmas BBQ Pulled Beef Mix</t>
  </si>
  <si>
    <t>GFF496R</t>
  </si>
  <si>
    <t>Xmas Pulled Chicken Shawarma Mix</t>
  </si>
  <si>
    <t>GFF497R</t>
  </si>
  <si>
    <t>Xmas Thigh Chicken Tikka Skewers</t>
  </si>
  <si>
    <t>GFF498R</t>
  </si>
  <si>
    <t>GFF499R</t>
  </si>
  <si>
    <t>Xmas Gochujang Chicken Skewers</t>
  </si>
  <si>
    <t>GFF500R</t>
  </si>
  <si>
    <t>GFF503R</t>
  </si>
  <si>
    <t>GFF504R</t>
  </si>
  <si>
    <t>Xmas Hot &amp; Spicy Chicken Samosa Filling</t>
  </si>
  <si>
    <t>GFF505R</t>
  </si>
  <si>
    <t>Xmas Hot &amp; Spicy Chicken Samosa</t>
  </si>
  <si>
    <t>GFF506R</t>
  </si>
  <si>
    <t>Thai Fish Cake</t>
  </si>
  <si>
    <t>BAK002-001</t>
  </si>
  <si>
    <t>Mini Naan Canape Base</t>
  </si>
  <si>
    <t>366001-24</t>
  </si>
  <si>
    <t>EVFAV Barbecue Sauce</t>
  </si>
  <si>
    <t>MONTANA</t>
  </si>
  <si>
    <t>MON001-02</t>
  </si>
  <si>
    <t>Mini Hot Dog Rolls</t>
  </si>
  <si>
    <t>TRA003-15</t>
  </si>
  <si>
    <t>TRA003-16</t>
  </si>
  <si>
    <t>GFF Oriental Selection 236G (Ready Packed)</t>
  </si>
  <si>
    <t>GFF Garlic and Herb Butterfly Prawn 128G (Ready Packed)</t>
  </si>
  <si>
    <t>GZRM331</t>
  </si>
  <si>
    <t>494RMIX</t>
  </si>
  <si>
    <t>495RMIX</t>
  </si>
  <si>
    <t>496RMIX</t>
  </si>
  <si>
    <t>MADIP</t>
  </si>
  <si>
    <t>GZRM332</t>
  </si>
  <si>
    <t>CGADIP</t>
  </si>
  <si>
    <t>GZRM333</t>
  </si>
  <si>
    <t>504RMIX</t>
  </si>
  <si>
    <t>HCTS25G</t>
  </si>
  <si>
    <t>TFC20G</t>
  </si>
  <si>
    <t>Xmas Breaded Chicken Bites</t>
  </si>
  <si>
    <t>Xmas Chilli and Garlic Dip</t>
  </si>
  <si>
    <t>Mango &amp; Coriander Dip</t>
  </si>
  <si>
    <t>Xmas Hot &amp; Spicy Chicken Samosa 25G</t>
  </si>
  <si>
    <t>Thai Fish Cake 20G - TRANGS</t>
  </si>
  <si>
    <t>Mini Hot Dog Rolls 11.5G</t>
  </si>
  <si>
    <t>Barley, Soya, Wheat, Sesame</t>
  </si>
  <si>
    <t>GFF502R</t>
  </si>
  <si>
    <t>GFF501R</t>
  </si>
  <si>
    <t>Tomato &amp; Coriander Dip</t>
  </si>
  <si>
    <t>Xmas Hot &amp; Spicy Chicken Bites</t>
  </si>
  <si>
    <t>GZRM334</t>
  </si>
  <si>
    <t>TOCODIP</t>
  </si>
  <si>
    <t>Crustacean, Sesame, Wheat, Soya</t>
  </si>
  <si>
    <t>Added New Content for Booths X-Mas Range</t>
  </si>
  <si>
    <t>GFF508R</t>
  </si>
  <si>
    <t>Lidl Xmas Vegetable Samosa</t>
  </si>
  <si>
    <t>VS25G-R1</t>
  </si>
  <si>
    <t>Xmas Vegetable Samosa 25G</t>
  </si>
  <si>
    <t>GFF507R</t>
  </si>
  <si>
    <t>Lidl Xmas Vegetable Samosa Filling</t>
  </si>
  <si>
    <t>Vegetables</t>
  </si>
  <si>
    <t>507RMIX</t>
  </si>
  <si>
    <t>Xmas Vegetable Samosa Filling</t>
  </si>
  <si>
    <t>Added New Content Lidl</t>
  </si>
  <si>
    <t>GFF509R</t>
  </si>
  <si>
    <t>Lamb Samosa Filling (COOK)</t>
  </si>
  <si>
    <t>LS40G3</t>
  </si>
  <si>
    <t>Lamb Samosa Cocktail 40G (COOK)</t>
  </si>
  <si>
    <t>Cook Lamb Samosa recipe</t>
  </si>
  <si>
    <t>GFF510R</t>
  </si>
  <si>
    <t>509RMIX</t>
  </si>
  <si>
    <t>Lamb Samosa (COOK)</t>
  </si>
  <si>
    <t>CHINA</t>
  </si>
  <si>
    <t>Chicken Samosa 40G Frying</t>
  </si>
  <si>
    <t>Chicken Spring Rolls 35G Frying</t>
  </si>
  <si>
    <t>GFF511R</t>
  </si>
  <si>
    <t>GFF512R</t>
  </si>
  <si>
    <t>CS40G-WEI</t>
  </si>
  <si>
    <t>CSR35-WEI</t>
  </si>
  <si>
    <t>Chicken Samosa 40G - WEI001-01</t>
  </si>
  <si>
    <t>Chicken Spring Roll 35G - WEI001-02</t>
  </si>
  <si>
    <t>Sesame, Wheat, Soya</t>
  </si>
  <si>
    <t>WEI001-03</t>
  </si>
  <si>
    <t>WEI001-04</t>
  </si>
  <si>
    <t>Takul Halal Festive Feasts Oriental Bites| 760G X 6</t>
  </si>
  <si>
    <t>Takul Halal Festive Feasts Gyoza Dumplings | 800G X 6</t>
  </si>
  <si>
    <t>BEE001-01</t>
  </si>
  <si>
    <t>Takul Halal Festive Feasts Indian Savouries | 850G X 6</t>
  </si>
  <si>
    <t>BVEG001-01</t>
  </si>
  <si>
    <t>GFF513R</t>
  </si>
  <si>
    <t>Channa Masala Seasoning</t>
  </si>
  <si>
    <t>GZRM335</t>
  </si>
  <si>
    <t>GFF514R</t>
  </si>
  <si>
    <t>GZRM336</t>
  </si>
  <si>
    <t>Arrabiata Sauce - R1</t>
  </si>
  <si>
    <t>GFF1132</t>
  </si>
  <si>
    <t>GFF515R</t>
  </si>
  <si>
    <t>GFF516R</t>
  </si>
  <si>
    <t>GFF517R</t>
  </si>
  <si>
    <t xml:space="preserve">Egg Fried Rice </t>
  </si>
  <si>
    <t>COOK Katsu Chicken</t>
  </si>
  <si>
    <t>Thai Style Corn Fritters</t>
  </si>
  <si>
    <t>GZRM337</t>
  </si>
  <si>
    <t>GZRM338</t>
  </si>
  <si>
    <t>TCF25G</t>
  </si>
  <si>
    <t>Egg Fried Rice - R2</t>
  </si>
  <si>
    <t>Katsu Chicken Bites - Cook</t>
  </si>
  <si>
    <t>Thai Corn Fritters 25G</t>
  </si>
  <si>
    <t>Wheat, Soya, Mustard</t>
  </si>
  <si>
    <t>GFF518R</t>
  </si>
  <si>
    <t>Danora Chicken Tikka Samosa Jumbo</t>
  </si>
  <si>
    <t>Danora Chicken Tikka Samosa Jumbo Mix</t>
  </si>
  <si>
    <t>518RMIX</t>
  </si>
  <si>
    <t>GFF519R</t>
  </si>
  <si>
    <t>CTS120G1</t>
  </si>
  <si>
    <t>Danora Chicken Tikka Samosa 120G</t>
  </si>
  <si>
    <t>Added Danora Chicken Tikka Samosa</t>
  </si>
  <si>
    <t>Added Cook New Line</t>
  </si>
  <si>
    <t>WEI002-07</t>
  </si>
  <si>
    <t>Vegetable Gyoza 20G</t>
  </si>
  <si>
    <t>40 ONION BHAJJI 40GM - RESALE | 1600G</t>
  </si>
  <si>
    <t>30 VEG SAMOSA 40GM - RESALE | 1200G</t>
  </si>
  <si>
    <t>SRI001-05</t>
  </si>
  <si>
    <t>SRI001-06</t>
  </si>
  <si>
    <t>Gc- 40 Onion Bhaji 40G RSL| 1600G</t>
  </si>
  <si>
    <t>Gc- 30 Vegetable Samosa 40G RSL | 1200G</t>
  </si>
  <si>
    <t>Ready Packed</t>
  </si>
  <si>
    <t>GFF529R</t>
  </si>
  <si>
    <t>Danora Chicken Tikka Samosa 25G</t>
  </si>
  <si>
    <t>CTS25G2</t>
  </si>
  <si>
    <t>GFF114-1R</t>
  </si>
  <si>
    <t>GFF530R</t>
  </si>
  <si>
    <t>GFF005-1R</t>
  </si>
  <si>
    <t>GFF531R</t>
  </si>
  <si>
    <t>GFF004-1R</t>
  </si>
  <si>
    <t>GFF532R</t>
  </si>
  <si>
    <t>Vegetable Spring Rolls (TYJ) 85G</t>
  </si>
  <si>
    <t>Lamb Samosa Mix</t>
  </si>
  <si>
    <t xml:space="preserve">Chicken Tikka Samosa Mix </t>
  </si>
  <si>
    <t>Chiken</t>
  </si>
  <si>
    <t>114RMIX</t>
  </si>
  <si>
    <t>VSR85G3</t>
  </si>
  <si>
    <t>005RMIX</t>
  </si>
  <si>
    <t>LS100G2</t>
  </si>
  <si>
    <t>004RMIX</t>
  </si>
  <si>
    <t>CTS100G2</t>
  </si>
  <si>
    <t>Chicken Tikka Samosa 100G (Yellow)</t>
  </si>
  <si>
    <t>Lamb Samosa 100G (Seeded)</t>
  </si>
  <si>
    <t>Soya,Wheat</t>
  </si>
  <si>
    <t>Added Morrisons Range</t>
  </si>
  <si>
    <t>Wheat, Milk, Barley, Soya</t>
  </si>
  <si>
    <t>Vegetable Spring Roll Mix</t>
  </si>
  <si>
    <t>GFF520R</t>
  </si>
  <si>
    <t>GFF521R</t>
  </si>
  <si>
    <t>GFF522R</t>
  </si>
  <si>
    <t>GFF523R</t>
  </si>
  <si>
    <t>GFF524R</t>
  </si>
  <si>
    <t>GFF525R</t>
  </si>
  <si>
    <t>GFF526R</t>
  </si>
  <si>
    <t>GFF527R</t>
  </si>
  <si>
    <t>GFF528R</t>
  </si>
  <si>
    <t>OA-Fruity Sauce</t>
  </si>
  <si>
    <t>OA-Special Pilau Rice</t>
  </si>
  <si>
    <t>OA- Korma Sauce</t>
  </si>
  <si>
    <t>OA-Butter Sauce</t>
  </si>
  <si>
    <t>OA-Jalfrezi Sauce</t>
  </si>
  <si>
    <t>OA-Beef Curry Sauce</t>
  </si>
  <si>
    <t>OA-Bhuna Sauce</t>
  </si>
  <si>
    <t xml:space="preserve">OA- Curry Sauce </t>
  </si>
  <si>
    <t>OA-Vegetable Tikka Masala Sauce</t>
  </si>
  <si>
    <t>GFF1694</t>
  </si>
  <si>
    <t>GFF1695</t>
  </si>
  <si>
    <t>Cooked Diced Beef</t>
  </si>
  <si>
    <t>Cooked Diced Lamb</t>
  </si>
  <si>
    <t>GZRM339</t>
  </si>
  <si>
    <t>GZRM340</t>
  </si>
  <si>
    <t>GZRM341</t>
  </si>
  <si>
    <t>GZRM342</t>
  </si>
  <si>
    <t>GZRM343</t>
  </si>
  <si>
    <t>GZRM344</t>
  </si>
  <si>
    <t>GZRM345</t>
  </si>
  <si>
    <t>GZRM346</t>
  </si>
  <si>
    <t>GZRM347</t>
  </si>
  <si>
    <t>GZRM348</t>
  </si>
  <si>
    <t>GZRM349</t>
  </si>
  <si>
    <t>Milk, SO2, Mustard</t>
  </si>
  <si>
    <t>Added Oakhouse Contents</t>
  </si>
  <si>
    <t>GFF533R</t>
  </si>
  <si>
    <t>OA-Tikka Masala Sauce</t>
  </si>
  <si>
    <t>GZRM350</t>
  </si>
  <si>
    <t>WEI002-01</t>
  </si>
  <si>
    <t>WEI002-02</t>
  </si>
  <si>
    <t>Chicken Samosa 40G (Pre-Fried)</t>
  </si>
  <si>
    <t>Chicken Springroll 30G (Pre-Fried)</t>
  </si>
  <si>
    <t>CS40G-WEI1</t>
  </si>
  <si>
    <t>CSR30G-WEI</t>
  </si>
  <si>
    <t>Added Costco contents</t>
  </si>
  <si>
    <t>H-SMITH</t>
  </si>
  <si>
    <t>GFF1699</t>
  </si>
  <si>
    <t>Crispy Coated Poppin Chicken</t>
  </si>
  <si>
    <t>CCPC9G</t>
  </si>
  <si>
    <t>Celery, Wheat</t>
  </si>
  <si>
    <t>GFF534R</t>
  </si>
  <si>
    <t>GZ-Deli Dhansak Sauce</t>
  </si>
  <si>
    <t>GZRM351</t>
  </si>
  <si>
    <t>GFF535R</t>
  </si>
  <si>
    <t>Navratna Sauce</t>
  </si>
  <si>
    <t>GZRM352</t>
  </si>
  <si>
    <t>Milk, Barley, SO2</t>
  </si>
  <si>
    <t>GFF536R</t>
  </si>
  <si>
    <t>Gz Deli-Bhuna Curry Sauce</t>
  </si>
  <si>
    <t>GZRM353</t>
  </si>
  <si>
    <t>GFF537R</t>
  </si>
  <si>
    <t>Gz Deli-Chicken Tikka Samosa (Yellow) 100G</t>
  </si>
  <si>
    <t>CTS100G3</t>
  </si>
  <si>
    <t>Deli Chicken Tikka Samosa (Yellow) 100G</t>
  </si>
  <si>
    <t>GFF539R</t>
  </si>
  <si>
    <t>Masala Chicken Keema Roll - Mix</t>
  </si>
  <si>
    <t>539RMIX</t>
  </si>
  <si>
    <t>GFF540R</t>
  </si>
  <si>
    <t>GZRM354</t>
  </si>
  <si>
    <t xml:space="preserve">Gz Deli-Chicken Tikka Bites </t>
  </si>
  <si>
    <t>GFF541R</t>
  </si>
  <si>
    <t xml:space="preserve">Aldi Vegetable Samosa 50G  </t>
  </si>
  <si>
    <t>GFF543R</t>
  </si>
  <si>
    <t xml:space="preserve">Aldi Lamb Samosa 50G </t>
  </si>
  <si>
    <t>VS50G1</t>
  </si>
  <si>
    <t>LS50G1</t>
  </si>
  <si>
    <t>Aldi Lamb Samosa 50G</t>
  </si>
  <si>
    <t>Aldi Vegetable Samosa 50G</t>
  </si>
  <si>
    <t>Cook Vegetable Spring Rolls Mix</t>
  </si>
  <si>
    <t>543RMIX</t>
  </si>
  <si>
    <t>GFF544R</t>
  </si>
  <si>
    <t xml:space="preserve">Cook Vegetable Spring Rolls </t>
  </si>
  <si>
    <t>VSR50G3</t>
  </si>
  <si>
    <t>Cook Vegetable Spring Roll Medium 50G</t>
  </si>
  <si>
    <t>Barley, Wheat, Soya</t>
  </si>
  <si>
    <t>Masala Chicken Keema Roll 85G</t>
  </si>
  <si>
    <t>MCKR85G</t>
  </si>
  <si>
    <t>GFF545R</t>
  </si>
  <si>
    <t>Soya, Wheat, Milk</t>
  </si>
  <si>
    <t>GFF003-1R</t>
  </si>
  <si>
    <t>Vegetable Samosa Mix</t>
  </si>
  <si>
    <t>003-1RMIX</t>
  </si>
  <si>
    <t>GFF542R</t>
  </si>
  <si>
    <t>Onion Bhaji 40G (Pre-Fried)</t>
  </si>
  <si>
    <t>Onion Bhaji 40G (Pre-Fried) - Ind</t>
  </si>
  <si>
    <t>SRI001-01</t>
  </si>
  <si>
    <t>OB40G-SRI1</t>
  </si>
  <si>
    <t>OB50G</t>
  </si>
  <si>
    <t>Onion Bhaji Coctail 50G - GFF121R</t>
  </si>
  <si>
    <t>GFF546R</t>
  </si>
  <si>
    <t>GFF547R</t>
  </si>
  <si>
    <t>Cooked Lamb Diced - Oakhouse</t>
  </si>
  <si>
    <t>Cooked Beef Diced - Oakhouse</t>
  </si>
  <si>
    <t>GZRM355</t>
  </si>
  <si>
    <t>GZRM356</t>
  </si>
  <si>
    <t>GFF548R</t>
  </si>
  <si>
    <t>GFF549R</t>
  </si>
  <si>
    <t xml:space="preserve">Chilli Beef Empanadas Filling </t>
  </si>
  <si>
    <t>GFF550R</t>
  </si>
  <si>
    <t xml:space="preserve">Chilli Beef Empanadas </t>
  </si>
  <si>
    <t>GFF551R</t>
  </si>
  <si>
    <t xml:space="preserve">Duck Samosa Filling </t>
  </si>
  <si>
    <t>GFF552R</t>
  </si>
  <si>
    <t>GFF553R</t>
  </si>
  <si>
    <t>Barber Vintage Cheese And Christmas Chutney Parcel</t>
  </si>
  <si>
    <t xml:space="preserve">Plum Chilli Dip </t>
  </si>
  <si>
    <t>Duck Samosa's</t>
  </si>
  <si>
    <t>BVCP20G</t>
  </si>
  <si>
    <t>Vintage Cheddar &amp; Spiced Chutney Filo Bites 20G</t>
  </si>
  <si>
    <t>549RMIX</t>
  </si>
  <si>
    <t>551RMIX</t>
  </si>
  <si>
    <t>CBE20G</t>
  </si>
  <si>
    <t>Chilli Beef Empanadas 20G</t>
  </si>
  <si>
    <t>Duck Samosa 25G</t>
  </si>
  <si>
    <t>DSA25G</t>
  </si>
  <si>
    <t>GZRM357</t>
  </si>
  <si>
    <t>Soya, Wheat ,Sesame</t>
  </si>
  <si>
    <t>TRA003-18</t>
  </si>
  <si>
    <t>8 Tempura Vegetable Fritters W/Sweet Chilli Dip 270G (Ready Packed)</t>
  </si>
  <si>
    <t>TRA003-17</t>
  </si>
  <si>
    <t>8 Sesame King Prawn Toast with Ponzu Dip | 230G (Ready Packed)</t>
  </si>
  <si>
    <t>Brie &amp; Cranberry Money Bags</t>
  </si>
  <si>
    <t>Brie &amp; Cranberry Money Bags 20G</t>
  </si>
  <si>
    <t>WEI002-13</t>
  </si>
  <si>
    <t>WEI002-12</t>
  </si>
  <si>
    <t>WEI002-10</t>
  </si>
  <si>
    <t>WEI002-09</t>
  </si>
  <si>
    <t>WEI002-14</t>
  </si>
  <si>
    <t>WEI002-15</t>
  </si>
  <si>
    <t>WEI002-16</t>
  </si>
  <si>
    <t>WEI002-17</t>
  </si>
  <si>
    <t>WEI002-11</t>
  </si>
  <si>
    <t>WEI002-08</t>
  </si>
  <si>
    <t>IS- Chick'n Hut Battered Chicken Nuggets | 400G X 8</t>
  </si>
  <si>
    <t>IS- Chick'n Hut Breaded Chicken Dippers| 400G X 8</t>
  </si>
  <si>
    <t>IS- Chick'n Hut Breaded Firecracker Chicken Steaks | 400G X 8</t>
  </si>
  <si>
    <t>IS- Chick'n Hut Breaded Katsu Style Chicken Steaks | 400G X 8</t>
  </si>
  <si>
    <t>IS- Chick'n Hut Salt &amp; Pepper Breaded Chicken Fillets | 400G X 8</t>
  </si>
  <si>
    <t>IS- Chick'n Hut Peri Peri Breaded Chicken Fillets | 400G X 8</t>
  </si>
  <si>
    <t>IS- Chick'n Hut Hot &amp; Spicy Breaded Chicken Strips | 400G X 8</t>
  </si>
  <si>
    <t>IS- Chick'n Hut Southern Fried Breaded Chicken Strips | 400G X 8</t>
  </si>
  <si>
    <t>IS- Chick'n Hut Chicken Tikka Chunks | 400G X 8</t>
  </si>
  <si>
    <t>IS- Chick'n Hut Breaded Hot &amp; Spicy Chicken Chunks | 400G X 8</t>
  </si>
  <si>
    <t>Onion Bhaji 30G (Pre-Fried)</t>
  </si>
  <si>
    <t>Onion Bhaji 30G (Pre-Fried) - Ind</t>
  </si>
  <si>
    <t>OB30G-SRI2</t>
  </si>
  <si>
    <t>Vegetable Samosa 40G (Pre-Fried)</t>
  </si>
  <si>
    <t>Vegetable Samosa 40G (Pre-Fried) - Ind</t>
  </si>
  <si>
    <t>VS40G-SRI3</t>
  </si>
  <si>
    <t>SRI001-02</t>
  </si>
  <si>
    <t>SRI001-03</t>
  </si>
  <si>
    <t>GFF554R</t>
  </si>
  <si>
    <t>Low Salt Balti Sauce</t>
  </si>
  <si>
    <t>GZRM358</t>
  </si>
  <si>
    <t>SRI001-04</t>
  </si>
  <si>
    <t>Vegetable Samosa 25G (Pre-Fried)</t>
  </si>
  <si>
    <t>VS25G-SRI4</t>
  </si>
  <si>
    <t>Vegetable Samosa 25G (Pre-Fried) - Ind</t>
  </si>
  <si>
    <t>WEI002-03</t>
  </si>
  <si>
    <t>Vegetable Spring Roll 30G (Pre-Fried)</t>
  </si>
  <si>
    <t>VSR30G-WEI3</t>
  </si>
  <si>
    <t>Minced Butter Chicken</t>
  </si>
  <si>
    <t>GFF556R</t>
  </si>
  <si>
    <t>Fried 20mm Potato Diced</t>
  </si>
  <si>
    <t>GZRM359</t>
  </si>
  <si>
    <t>GRIFFITHS FOOD</t>
  </si>
  <si>
    <t>GRI001-01</t>
  </si>
  <si>
    <t>Spicy Tomato Dip (Standard Film) 80g</t>
  </si>
  <si>
    <t>STDS80G</t>
  </si>
  <si>
    <t>Spicy Tomato Dip Sachet 80G</t>
  </si>
  <si>
    <t>06/06/2022, D- 21/05/2026</t>
  </si>
  <si>
    <t>GFF558R</t>
  </si>
  <si>
    <t>Sweet and Sour Sauce  ( Simmers)</t>
  </si>
  <si>
    <t>GFF559R</t>
  </si>
  <si>
    <t>GFF560R</t>
  </si>
  <si>
    <t>GFF561R</t>
  </si>
  <si>
    <t>GFF562R</t>
  </si>
  <si>
    <t>Panang Sauce (Simmers)</t>
  </si>
  <si>
    <t>GFF563R</t>
  </si>
  <si>
    <t>GFF564R</t>
  </si>
  <si>
    <t>GFF565R</t>
  </si>
  <si>
    <t>Fragrant Rice (Simmer)</t>
  </si>
  <si>
    <t>GZRM360</t>
  </si>
  <si>
    <t>GZRM366</t>
  </si>
  <si>
    <t>GZRM367</t>
  </si>
  <si>
    <t>GZRM368</t>
  </si>
  <si>
    <t>GZRM369</t>
  </si>
  <si>
    <t>GZRM370</t>
  </si>
  <si>
    <t>GZRM371</t>
  </si>
  <si>
    <t>GZRM372</t>
  </si>
  <si>
    <t>Egg, Wheat, Soya</t>
  </si>
  <si>
    <t>Barley, Crustacean, Wheat, Soya</t>
  </si>
  <si>
    <t>Added Simmer Recipes</t>
  </si>
  <si>
    <t>Egg Fried Rice (Simmers)</t>
  </si>
  <si>
    <t>Coriander Marinated Chicken (Simmers)</t>
  </si>
  <si>
    <t>Steamed Cauliflower  Minced (Simmers)</t>
  </si>
  <si>
    <t>Steamed Mixed Veg (Simmers)</t>
  </si>
  <si>
    <t>Cooked Lamb Mince (For Lamb Samosa )</t>
  </si>
  <si>
    <t>GFF566R</t>
  </si>
  <si>
    <t>GFF567R</t>
  </si>
  <si>
    <t>Ruby Curry Sauce</t>
  </si>
  <si>
    <t>Jewelled Pilau Rice</t>
  </si>
  <si>
    <t>GZRM373</t>
  </si>
  <si>
    <t>GZRM374</t>
  </si>
  <si>
    <t>Added Bistro Contents</t>
  </si>
  <si>
    <t>GFF568R</t>
  </si>
  <si>
    <t>Danora Chicken Samosa (Thailand)</t>
  </si>
  <si>
    <t>CTS120G2</t>
  </si>
  <si>
    <t>Danora Chicken Samosa 120G (Thailand)</t>
  </si>
  <si>
    <t>Added Danora musgrave chicen samosa</t>
  </si>
  <si>
    <t>GFF569R</t>
  </si>
  <si>
    <t>Danora Chicken Samosa Mix (Thailand)</t>
  </si>
  <si>
    <t>GZRM375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</si>
</sst>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General\ &quot;G&quot;"/>
    <numFmt numFmtId="165" formatCode="General\ &quot;KG&quot;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Arial"/>
      <family val="2"/>
    </font>
    <font>
      <b/>
      <sz val="12"/>
      <color indexed="8"/>
      <name val="Tahoma"/>
      <family val="2"/>
    </font>
    <font>
      <sz val="12"/>
      <color indexed="8"/>
      <name val="Tahoma"/>
      <family val="2"/>
    </font>
    <font>
      <sz val="12"/>
      <name val="Tahoma"/>
      <family val="2"/>
    </font>
    <font>
      <sz val="12"/>
      <name val="Arial"/>
      <family val="2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3" fillId="0" borderId="0"/>
  </cellStyleXfs>
  <cellXfs count="9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5" fillId="0" borderId="3" xfId="0" applyFont="1" applyBorder="1"/>
    <xf numFmtId="0" fontId="6" fillId="0" borderId="2" xfId="0" applyFont="1" applyBorder="1"/>
    <xf numFmtId="0" fontId="7" fillId="3" borderId="4" xfId="0" applyFont="1" applyFill="1" applyBorder="1" applyAlignment="1">
      <alignment horizontal="left"/>
    </xf>
    <xf numFmtId="0" fontId="7" fillId="3" borderId="5" xfId="0" applyFont="1" applyFill="1" applyBorder="1" applyAlignment="1">
      <alignment horizontal="left"/>
    </xf>
    <xf numFmtId="49" fontId="8" fillId="0" borderId="5" xfId="0" applyNumberFormat="1" applyFont="1" applyBorder="1"/>
    <xf numFmtId="0" fontId="8" fillId="0" borderId="5" xfId="1" applyNumberFormat="1" applyFont="1" applyBorder="1" applyAlignment="1">
      <alignment horizontal="left" wrapText="1"/>
    </xf>
    <xf numFmtId="0" fontId="7" fillId="0" borderId="5" xfId="0" applyFont="1" applyBorder="1"/>
    <xf numFmtId="0" fontId="7" fillId="0" borderId="6" xfId="0" applyFont="1" applyBorder="1"/>
    <xf numFmtId="0" fontId="9" fillId="4" borderId="2" xfId="0" applyFont="1" applyFill="1" applyBorder="1" applyAlignment="1">
      <alignment horizontal="center"/>
    </xf>
    <xf numFmtId="0" fontId="7" fillId="0" borderId="2" xfId="0" applyFont="1" applyBorder="1"/>
    <xf numFmtId="0" fontId="7" fillId="0" borderId="2" xfId="1" applyNumberFormat="1" applyFont="1" applyBorder="1" applyAlignment="1">
      <alignment horizontal="left"/>
    </xf>
    <xf numFmtId="0" fontId="7" fillId="0" borderId="2" xfId="1" applyNumberFormat="1" applyFont="1" applyBorder="1" applyAlignment="1">
      <alignment horizontal="left" wrapText="1"/>
    </xf>
    <xf numFmtId="43" fontId="7" fillId="0" borderId="2" xfId="1" applyFont="1" applyBorder="1" applyAlignment="1">
      <alignment horizontal="left" wrapText="1"/>
    </xf>
    <xf numFmtId="43" fontId="7" fillId="0" borderId="2" xfId="1" applyFont="1" applyBorder="1" applyAlignment="1">
      <alignment horizontal="left" vertical="top" wrapText="1"/>
    </xf>
    <xf numFmtId="0" fontId="7" fillId="0" borderId="2" xfId="0" applyFont="1" applyBorder="1" applyAlignment="1">
      <alignment horizontal="left"/>
    </xf>
    <xf numFmtId="43" fontId="7" fillId="0" borderId="7" xfId="1" applyFont="1" applyBorder="1" applyAlignment="1">
      <alignment horizontal="left" wrapText="1"/>
    </xf>
    <xf numFmtId="0" fontId="9" fillId="0" borderId="0" xfId="0" applyFont="1"/>
    <xf numFmtId="0" fontId="0" fillId="0" borderId="2" xfId="0" applyBorder="1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8" xfId="0" applyBorder="1"/>
    <xf numFmtId="0" fontId="0" fillId="0" borderId="8" xfId="0" applyBorder="1" applyAlignment="1">
      <alignment horizontal="left"/>
    </xf>
    <xf numFmtId="0" fontId="0" fillId="6" borderId="2" xfId="0" applyFill="1" applyBorder="1"/>
    <xf numFmtId="0" fontId="1" fillId="6" borderId="0" xfId="0" applyFont="1" applyFill="1"/>
    <xf numFmtId="0" fontId="0" fillId="0" borderId="0" xfId="0" applyAlignment="1">
      <alignment horizontal="right"/>
    </xf>
    <xf numFmtId="0" fontId="4" fillId="6" borderId="2" xfId="0" applyFont="1" applyFill="1" applyBorder="1" applyAlignment="1">
      <alignment vertical="center" wrapText="1"/>
    </xf>
    <xf numFmtId="0" fontId="10" fillId="10" borderId="2" xfId="0" applyFont="1" applyFill="1" applyBorder="1" applyAlignment="1">
      <alignment horizontal="left" vertical="center" wrapText="1"/>
    </xf>
    <xf numFmtId="49" fontId="4" fillId="10" borderId="2" xfId="0" applyNumberFormat="1" applyFont="1" applyFill="1" applyBorder="1" applyAlignment="1">
      <alignment vertical="center" wrapText="1"/>
    </xf>
    <xf numFmtId="0" fontId="4" fillId="10" borderId="2" xfId="1" applyNumberFormat="1" applyFont="1" applyFill="1" applyBorder="1" applyAlignment="1">
      <alignment horizontal="left" vertical="center" wrapText="1"/>
    </xf>
    <xf numFmtId="0" fontId="10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64" fontId="0" fillId="0" borderId="0" xfId="0" applyNumberFormat="1" applyAlignment="1">
      <alignment horizontal="right"/>
    </xf>
    <xf numFmtId="164" fontId="0" fillId="0" borderId="9" xfId="0" applyNumberFormat="1" applyBorder="1" applyAlignment="1">
      <alignment horizontal="right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vertical="center" wrapText="1"/>
    </xf>
    <xf numFmtId="164" fontId="2" fillId="2" borderId="10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12" fillId="2" borderId="10" xfId="0" applyFont="1" applyFill="1" applyBorder="1" applyAlignment="1">
      <alignment vertical="center" wrapText="1"/>
    </xf>
    <xf numFmtId="164" fontId="0" fillId="0" borderId="1" xfId="0" applyNumberFormat="1" applyBorder="1" applyAlignment="1">
      <alignment horizontal="center"/>
    </xf>
    <xf numFmtId="0" fontId="15" fillId="0" borderId="0" xfId="0" applyFont="1"/>
    <xf numFmtId="0" fontId="16" fillId="0" borderId="0" xfId="0" applyFont="1"/>
    <xf numFmtId="164" fontId="15" fillId="0" borderId="0" xfId="0" applyNumberFormat="1" applyFont="1"/>
    <xf numFmtId="16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vertical="center" wrapText="1"/>
    </xf>
    <xf numFmtId="164" fontId="17" fillId="2" borderId="10" xfId="0" applyNumberFormat="1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vertical="center" wrapText="1"/>
    </xf>
    <xf numFmtId="0" fontId="17" fillId="2" borderId="10" xfId="0" applyFont="1" applyFill="1" applyBorder="1" applyAlignment="1">
      <alignment horizontal="left" vertical="center" wrapText="1"/>
    </xf>
    <xf numFmtId="0" fontId="15" fillId="0" borderId="0" xfId="0" applyFont="1" applyAlignment="1">
      <alignment wrapText="1"/>
    </xf>
    <xf numFmtId="0" fontId="15" fillId="0" borderId="1" xfId="0" applyFont="1" applyBorder="1"/>
    <xf numFmtId="0" fontId="15" fillId="0" borderId="1" xfId="0" applyFont="1" applyBorder="1" applyAlignment="1">
      <alignment horizontal="left"/>
    </xf>
    <xf numFmtId="164" fontId="15" fillId="0" borderId="1" xfId="0" applyNumberFormat="1" applyFont="1" applyBorder="1"/>
    <xf numFmtId="16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12" borderId="1" xfId="0" applyFont="1" applyFill="1" applyBorder="1"/>
    <xf numFmtId="165" fontId="15" fillId="0" borderId="1" xfId="0" applyNumberFormat="1" applyFont="1" applyBorder="1"/>
    <xf numFmtId="164" fontId="15" fillId="13" borderId="1" xfId="0" applyNumberFormat="1" applyFont="1" applyFill="1" applyBorder="1" applyAlignment="1">
      <alignment horizontal="center"/>
    </xf>
    <xf numFmtId="0" fontId="15" fillId="0" borderId="8" xfId="0" applyFont="1" applyBorder="1"/>
    <xf numFmtId="0" fontId="19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4" fontId="15" fillId="0" borderId="1" xfId="0" applyNumberFormat="1" applyFont="1" applyBorder="1" applyAlignment="1">
      <alignment horizontal="center" wrapText="1"/>
    </xf>
    <xf numFmtId="0" fontId="20" fillId="0" borderId="0" xfId="0" applyFont="1"/>
    <xf numFmtId="14" fontId="0" fillId="0" borderId="1" xfId="0" applyNumberFormat="1" applyBorder="1" applyAlignment="1">
      <alignment horizontal="center"/>
    </xf>
    <xf numFmtId="0" fontId="15" fillId="0" borderId="11" xfId="0" applyFont="1" applyBorder="1"/>
    <xf numFmtId="0" fontId="15" fillId="0" borderId="12" xfId="0" applyFont="1" applyBorder="1"/>
    <xf numFmtId="0" fontId="15" fillId="0" borderId="13" xfId="0" applyFont="1" applyBorder="1"/>
    <xf numFmtId="0" fontId="0" fillId="0" borderId="2" xfId="0" applyBorder="1" applyAlignment="1">
      <alignment vertical="center"/>
    </xf>
    <xf numFmtId="0" fontId="11" fillId="7" borderId="2" xfId="0" applyFont="1" applyFill="1" applyBorder="1" applyAlignment="1">
      <alignment horizontal="left"/>
    </xf>
    <xf numFmtId="0" fontId="11" fillId="5" borderId="2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 wrapText="1"/>
    </xf>
  </cellXfs>
  <cellStyles count="3">
    <cellStyle name="Comma_PRODUCTION PLAN MASTER TEMPLATE" xfId="1" xr:uid="{00000000-0005-0000-0000-000000000000}"/>
    <cellStyle name="Normal" xfId="0" builtinId="0"/>
    <cellStyle name="Normal 2" xfId="2" xr:uid="{00000000-0005-0000-0000-000002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hargav - Gazebo Cuisine" id="{DD2BBD07-72D7-4F52-94BB-000F80580FA0}" userId="Bhargav - Gazebo Cuisine" providerId="None"/>
  <person displayName="Sales-Admin" id="{8C56F8A4-92C8-42F4-A1B8-FA6FA5100C13}" userId="S-1-5-21-3690086992-72211959-3538062833-1121" providerId="AD"/>
  <person displayName="Bhargav - Gazebo Cuisine" id="{F41F2735-ADD6-4E54-A44A-A0472D9A0DAE}" userId="S::Bhargav@gazebocuisine.co.uk::c179bd5c-8c38-470f-bfe8-0c2675aa580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3" dT="2022-08-03T12:04:49.84" personId="{8C56F8A4-92C8-42F4-A1B8-FA6FA5100C13}" id="{9A4D293C-6CE2-4341-8639-9413725FAD0A}" done="1">
    <text>From : 250
To : 320</text>
  </threadedComment>
  <threadedComment ref="Q3" dT="2020-07-03T14:44:36.52" personId="{DD2BBD07-72D7-4F52-94BB-000F80580FA0}" id="{44B46C98-79A0-42ED-B4A3-370D86D3C0CA}" done="1">
    <text>FROM 10 TO 30</text>
  </threadedComment>
  <threadedComment ref="O4" dT="2022-06-27T08:31:31.19" personId="{8C56F8A4-92C8-42F4-A1B8-FA6FA5100C13}" id="{088977AA-13A3-431D-9976-FB2CD8B3EDBF}" done="1">
    <text>From : 2400
To :  3100 due to batch size change</text>
  </threadedComment>
  <threadedComment ref="Q4" dT="2020-07-03T14:29:49.66" personId="{DD2BBD07-72D7-4F52-94BB-000F80580FA0}" id="{2184B8E6-3009-4A91-95C0-A2EB50F0F950}" done="1">
    <text>FROM 16 TO 35</text>
  </threadedComment>
  <threadedComment ref="Q4" dT="2023-04-04T14:35:30.07" personId="{8C56F8A4-92C8-42F4-A1B8-FA6FA5100C13}" id="{DD3028FB-FE72-43C4-B240-B25BF3EE6EB4}" parentId="{2184B8E6-3009-4A91-95C0-A2EB50F0F950}">
    <text>To 25</text>
  </threadedComment>
  <threadedComment ref="O6" dT="2022-06-27T08:32:35.40" personId="{8C56F8A4-92C8-42F4-A1B8-FA6FA5100C13}" id="{A92170A5-84BB-47F3-A1D7-A7BAD13A4D2D}" done="1">
    <text>From : 3680
To :  4700 due to batch size change</text>
  </threadedComment>
  <threadedComment ref="Q6" dT="2020-07-03T14:31:27.26" personId="{DD2BBD07-72D7-4F52-94BB-000F80580FA0}" id="{340CD788-38A4-464F-9646-B9A35E436EE3}" done="1">
    <text>FROM 20.25 TO 32.5</text>
  </threadedComment>
  <threadedComment ref="Q6" dT="2023-04-04T14:36:32.10" personId="{8C56F8A4-92C8-42F4-A1B8-FA6FA5100C13}" id="{B32B405E-3486-4AA0-ABA3-EC09F44FE61D}" parentId="{340CD788-38A4-464F-9646-B9A35E436EE3}">
    <text>To 32</text>
  </threadedComment>
  <threadedComment ref="O7" dT="2022-06-27T08:32:57.12" personId="{8C56F8A4-92C8-42F4-A1B8-FA6FA5100C13}" id="{B662FA9A-D5ED-4756-9245-BF05B6AAF849}" done="1">
    <text>From : 7200
To :  9250 due to batch size change</text>
  </threadedComment>
  <threadedComment ref="Q7" dT="2020-07-03T14:32:05.54" personId="{DD2BBD07-72D7-4F52-94BB-000F80580FA0}" id="{5BC162AA-01D4-4A8E-B28E-8CDBAF6D420F}" done="1">
    <text>CHANGED FROM 28 TO 40</text>
  </threadedComment>
  <threadedComment ref="O8" dT="2022-06-27T08:33:28.41" personId="{8C56F8A4-92C8-42F4-A1B8-FA6FA5100C13}" id="{19B7C8D3-FEB3-4C1F-BD4E-D8B657F846DA}" done="1">
    <text>From : 12800
To :  16500 due to batch size change</text>
  </threadedComment>
  <threadedComment ref="Q8" dT="2023-04-04T14:37:40.25" personId="{8C56F8A4-92C8-42F4-A1B8-FA6FA5100C13}" id="{52859A37-FACF-4337-8636-2B15C95A71F7}" done="1">
    <text>From 26 to 42.5</text>
  </threadedComment>
  <threadedComment ref="Q10" dT="2020-07-03T14:29:49.66" personId="{DD2BBD07-72D7-4F52-94BB-000F80580FA0}" id="{92F6E637-DAEC-4616-B29C-2D593C21294E}" done="1">
    <text>FROM 16 TO 32.5</text>
  </threadedComment>
  <threadedComment ref="Q10" dT="2023-04-04T15:16:00.91" personId="{8C56F8A4-92C8-42F4-A1B8-FA6FA5100C13}" id="{DC0CB38A-6E31-4ED4-A88B-E6FDA6CBEA81}" parentId="{92F6E637-DAEC-4616-B29C-2D593C21294E}">
    <text>To 27</text>
  </threadedComment>
  <threadedComment ref="Q12" dT="2020-12-07T13:04:59.35" personId="{8C56F8A4-92C8-42F4-A1B8-FA6FA5100C13}" id="{B580AEED-BFC4-41D7-94CF-351A684B2A44}" done="1">
    <text>FROM : 28
TO : 46.3</text>
  </threadedComment>
  <threadedComment ref="Q12" dT="2023-04-04T15:17:03.43" personId="{8C56F8A4-92C8-42F4-A1B8-FA6FA5100C13}" id="{5E21BFB0-8C84-4064-BF71-11DB8E95A136}" parentId="{B580AEED-BFC4-41D7-94CF-351A684B2A44}">
    <text>To 35</text>
  </threadedComment>
  <threadedComment ref="Q13" dT="2023-04-04T15:17:29.29" personId="{8C56F8A4-92C8-42F4-A1B8-FA6FA5100C13}" id="{0C6F92F8-EBDA-4E43-9C98-C743344C5091}" done="1">
    <text>From 20 to 35</text>
  </threadedComment>
  <threadedComment ref="Q14" dT="2020-07-03T14:52:10.39" personId="{DD2BBD07-72D7-4F52-94BB-000F80580FA0}" id="{D21C7842-3D5F-4842-BCDE-D3FCAE47AA89}" done="1">
    <text>FROM 28 TO 40</text>
  </threadedComment>
  <threadedComment ref="Q14" dT="2023-04-04T15:18:07.55" personId="{8C56F8A4-92C8-42F4-A1B8-FA6FA5100C13}" id="{7710E0F8-97F1-4AF6-A06E-02174EE29754}" parentId="{D21C7842-3D5F-4842-BCDE-D3FCAE47AA89}">
    <text>To 35</text>
  </threadedComment>
  <threadedComment ref="Q15" dT="2020-07-03T14:52:32.38" personId="{DD2BBD07-72D7-4F52-94BB-000F80580FA0}" id="{2D780BEB-69C5-4B6B-A042-8DB3E97CB8CE}" done="1">
    <text>FROM 10 TO 30</text>
  </threadedComment>
  <threadedComment ref="Q15" dT="2023-04-04T15:18:26.76" personId="{8C56F8A4-92C8-42F4-A1B8-FA6FA5100C13}" id="{6430B594-E82C-4109-87D0-27C8655E9A78}" parentId="{2D780BEB-69C5-4B6B-A042-8DB3E97CB8CE}">
    <text>27</text>
  </threadedComment>
  <threadedComment ref="O16" dT="2020-07-24T09:27:26.51" personId="{DD2BBD07-72D7-4F52-94BB-000F80580FA0}" id="{5AC7C019-2E1A-4C90-B09C-9C83DCF9E0EA}">
    <text>FROM: 700 TO 600 AS PER CELFERN</text>
  </threadedComment>
  <threadedComment ref="O16" dT="2022-05-12T10:06:22.63" personId="{8C56F8A4-92C8-42F4-A1B8-FA6FA5100C13}" id="{8FDBD9BB-AF1A-443C-8FB8-4AB553880FA5}" parentId="{5AC7C019-2E1A-4C90-B09C-9C83DCF9E0EA}">
    <text>from 2400 to 2600 asp per ddevang</text>
  </threadedComment>
  <threadedComment ref="Q16" dT="2020-07-03T14:58:08.88" personId="{DD2BBD07-72D7-4F52-94BB-000F80580FA0}" id="{92FD6126-30AA-4960-BD1E-3A3057642672}" done="1">
    <text>FROM 16 TO 28</text>
  </threadedComment>
  <threadedComment ref="Q16" dT="2023-04-04T15:19:14.86" personId="{8C56F8A4-92C8-42F4-A1B8-FA6FA5100C13}" id="{EBF71903-40F5-4E66-A243-0A927165A579}" parentId="{92FD6126-30AA-4960-BD1E-3A3057642672}">
    <text>27</text>
  </threadedComment>
  <threadedComment ref="O17" dT="2020-07-24T09:28:22.45" personId="{DD2BBD07-72D7-4F52-94BB-000F80580FA0}" id="{43694954-D0DA-4865-A836-37524DC277CD}">
    <text>FROM : 3000 TO 2450</text>
  </threadedComment>
  <threadedComment ref="O17" dT="2022-05-12T10:16:34.49" personId="{8C56F8A4-92C8-42F4-A1B8-FA6FA5100C13}" id="{185BD8EB-5AE5-4681-AD1F-B6EBB2FDD83F}" parentId="{43694954-D0DA-4865-A836-37524DC277CD}">
    <text>from 9800
to 13500</text>
  </threadedComment>
  <threadedComment ref="Q17" dT="2023-04-04T15:19:42.52" personId="{8C56F8A4-92C8-42F4-A1B8-FA6FA5100C13}" id="{6C948B1D-7C1F-4CD0-AB8F-0EE138145B5B}" done="1">
    <text>From 26 to 37.5</text>
  </threadedComment>
  <threadedComment ref="O18" dT="2020-07-24T09:29:40.15" personId="{DD2BBD07-72D7-4F52-94BB-000F80580FA0}" id="{C3EC229A-F690-44CC-A031-7433E416DD8A}" done="1">
    <text>FROM 1600 TO 1450</text>
  </threadedComment>
  <threadedComment ref="O18" dT="2022-05-12T10:06:47.85" personId="{8C56F8A4-92C8-42F4-A1B8-FA6FA5100C13}" id="{917C1472-A467-4A52-A284-0CF435CAA560}" parentId="{C3EC229A-F690-44CC-A031-7433E416DD8A}">
    <text>from 5800
to : 8000</text>
  </threadedComment>
  <threadedComment ref="O18" dT="2023-07-20T08:39:05.77" personId="{F41F2735-ADD6-4E54-A44A-A0472D9A0DAE}" id="{3AE7E0E5-B385-43E6-95CD-126E0A077F25}" parentId="{C3EC229A-F690-44CC-A031-7433E416DD8A}">
    <text>To 6400 as per email from Taufque dated  18/07/2023</text>
  </threadedComment>
  <threadedComment ref="Q18" dT="2020-07-03T14:58:43.48" personId="{DD2BBD07-72D7-4F52-94BB-000F80580FA0}" id="{0D17EBD7-BB5F-4A56-B5C5-F4CF5C51A368}" done="1">
    <text>FROM 27.5 TO 40</text>
  </threadedComment>
  <threadedComment ref="Q18" dT="2023-04-04T15:20:08.70" personId="{8C56F8A4-92C8-42F4-A1B8-FA6FA5100C13}" id="{61E0D7FD-1CB4-4930-AF54-1906CF4E3336}" parentId="{0D17EBD7-BB5F-4A56-B5C5-F4CF5C51A368}">
    <text>35</text>
  </threadedComment>
  <threadedComment ref="C19" dT="2021-07-19T09:37:28.05" personId="{8C56F8A4-92C8-42F4-A1B8-FA6FA5100C13}" id="{13325ABE-39CB-44E4-B317-98E0569E96B7}" done="1">
    <text>Change Recipe Ref to GFF040R, to GFF005R to standardise recipe. as per email from magda dated 16/07/2021</text>
  </threadedComment>
  <threadedComment ref="O19" dT="2021-07-19T09:38:08.13" personId="{8C56F8A4-92C8-42F4-A1B8-FA6FA5100C13}" id="{44638751-D4C8-4660-B70E-FC867ED16AC2}">
    <text>FROM : 250
TO : 500
DUE TO RECIPE CHANGE</text>
  </threadedComment>
  <threadedComment ref="O19" dT="2022-05-12T10:18:52.89" personId="{8C56F8A4-92C8-42F4-A1B8-FA6FA5100C13}" id="{3F958FA9-C00E-4A48-86BD-D6096516C718}" parentId="{44638751-D4C8-4660-B70E-FC867ED16AC2}">
    <text>from 2000
to : 2600</text>
  </threadedComment>
  <threadedComment ref="Q19" dT="2020-07-03T14:59:03.99" personId="{DD2BBD07-72D7-4F52-94BB-000F80580FA0}" id="{E941C471-63F2-404A-846D-DCE82FEB905D}" done="1">
    <text>FROM 10 TO 30</text>
  </threadedComment>
  <threadedComment ref="Q19" dT="2023-04-04T15:20:26.84" personId="{8C56F8A4-92C8-42F4-A1B8-FA6FA5100C13}" id="{8259940E-74F8-42F7-BD6D-046277A4FB75}" parentId="{E941C471-63F2-404A-846D-DCE82FEB905D}">
    <text>27</text>
  </threadedComment>
  <threadedComment ref="Q20" dT="2020-07-03T14:59:31.47" personId="{DD2BBD07-72D7-4F52-94BB-000F80580FA0}" id="{1174094B-BA88-49C8-9A3E-F4725C7D344C}" done="1">
    <text>FROM 22 TO 32.5</text>
  </threadedComment>
  <threadedComment ref="Q20" dT="2023-04-04T15:20:50.21" personId="{8C56F8A4-92C8-42F4-A1B8-FA6FA5100C13}" id="{FE901406-CBCF-4A67-BD23-448E2DD58FE0}" parentId="{1174094B-BA88-49C8-9A3E-F4725C7D344C}">
    <text>27</text>
  </threadedComment>
  <threadedComment ref="O21" dT="2022-06-27T08:34:36.72" personId="{8C56F8A4-92C8-42F4-A1B8-FA6FA5100C13}" id="{4BEEAC5B-003C-42EB-9865-92355BC6A0A9}">
    <text>From : 600
To :  800 due to batch size change</text>
  </threadedComment>
  <threadedComment ref="Q21" dT="2020-07-03T15:00:37.00" personId="{DD2BBD07-72D7-4F52-94BB-000F80580FA0}" id="{45A707EA-F12E-4C19-97F2-92AB185F4706}" done="1">
    <text>FROM 26 TO 35</text>
  </threadedComment>
  <threadedComment ref="Q21" dT="2023-04-04T15:21:36.95" personId="{8C56F8A4-92C8-42F4-A1B8-FA6FA5100C13}" id="{3A067BA8-3592-4B6A-814A-0807DAC612B3}" parentId="{45A707EA-F12E-4C19-97F2-92AB185F4706}">
    <text>30</text>
  </threadedComment>
  <threadedComment ref="N22" dT="2020-08-17T11:45:58.33" personId="{8C56F8A4-92C8-42F4-A1B8-FA6FA5100C13}" id="{1F96C02E-441F-4608-9955-3E3E9761B6A0}" done="1">
    <text>discontinnued</text>
  </threadedComment>
  <threadedComment ref="N23" dT="2020-08-17T11:46:06.53" personId="{8C56F8A4-92C8-42F4-A1B8-FA6FA5100C13}" id="{BF76EF42-5FE1-477B-9E4F-370B257C5561}" done="1">
    <text>Discontinued</text>
  </threadedComment>
  <threadedComment ref="Q23" dT="2020-07-03T15:01:30.71" personId="{DD2BBD07-72D7-4F52-94BB-000F80580FA0}" id="{EDB5DF81-6F19-469F-9A5E-625F1B511CFB}" done="1">
    <text>FROM 26 TO 35</text>
  </threadedComment>
  <threadedComment ref="Q24" dT="2020-07-03T15:02:17.95" personId="{DD2BBD07-72D7-4F52-94BB-000F80580FA0}" id="{08622E10-D41A-436B-B379-67F3ED1BE6C5}" done="1">
    <text>FROM 26 TO 35</text>
  </threadedComment>
  <threadedComment ref="Q24" dT="2023-04-04T15:21:56.75" personId="{8C56F8A4-92C8-42F4-A1B8-FA6FA5100C13}" id="{2FFDE145-FCF4-4765-B412-8A34521A2B26}" parentId="{08622E10-D41A-436B-B379-67F3ED1BE6C5}">
    <text>30</text>
  </threadedComment>
  <threadedComment ref="Q25" dT="2023-04-04T15:22:58.81" personId="{8C56F8A4-92C8-42F4-A1B8-FA6FA5100C13}" id="{D85E1AC1-B7CE-4BB3-B31D-20D0AE6C9325}" done="1">
    <text>From 16 to 21</text>
  </threadedComment>
  <threadedComment ref="O35" dT="2021-02-08T12:14:26.84" personId="{8C56F8A4-92C8-42F4-A1B8-FA6FA5100C13}" id="{88DAB24C-ADCE-4B3B-BFEA-9F950CF417C1}" done="1">
    <text>FROM: 1200
TO: 1412</text>
  </threadedComment>
  <threadedComment ref="Q35" dT="2023-04-04T15:24:18.68" personId="{8C56F8A4-92C8-42F4-A1B8-FA6FA5100C13}" id="{86DE5777-CA65-4820-BD81-1CA1120EE537}" done="1">
    <text>From 55 to 60</text>
  </threadedComment>
  <threadedComment ref="Q36" dT="2023-04-04T15:24:52.83" personId="{8C56F8A4-92C8-42F4-A1B8-FA6FA5100C13}" id="{CE2F0C44-2AC3-4457-90EA-4D819C1B5FFE}" done="1">
    <text>From 40.7 to 45</text>
  </threadedComment>
  <threadedComment ref="Q39" dT="2020-07-03T15:00:37.00" personId="{DD2BBD07-72D7-4F52-94BB-000F80580FA0}" id="{59475F76-646C-4438-B5B8-6AE6FD335955}" done="1">
    <text>FROM 26 TO 35</text>
  </threadedComment>
  <threadedComment ref="Q40" dT="2020-07-03T15:01:30.71" personId="{DD2BBD07-72D7-4F52-94BB-000F80580FA0}" id="{C12C3919-7ECC-4E6A-8AD0-073B3B6A19D8}" done="1">
    <text>FROM 26 TO 35</text>
  </threadedComment>
  <threadedComment ref="Q40" dT="2023-04-04T15:25:42.78" personId="{8C56F8A4-92C8-42F4-A1B8-FA6FA5100C13}" id="{FDC1B346-DFB1-4FD2-B18E-5A51631A0E39}" parentId="{C12C3919-7ECC-4E6A-8AD0-073B3B6A19D8}">
    <text>30</text>
  </threadedComment>
  <threadedComment ref="O44" dT="2020-07-24T09:31:10.90" personId="{DD2BBD07-72D7-4F52-94BB-000F80580FA0}" id="{96B65686-8929-4E74-991D-05CF226F5FF2}" done="1">
    <text>Sales Admin:
03/05/2017- Changed from 1200 - 1600
12/05/2017 - Chnaged From 1600 - 1450</text>
  </threadedComment>
  <threadedComment ref="O44" dT="2020-07-24T09:31:25.74" personId="{DD2BBD07-72D7-4F52-94BB-000F80580FA0}" id="{E4875A6D-F21E-474D-89FA-BED86E6770F6}" parentId="{96B65686-8929-4E74-991D-05CF226F5FF2}">
    <text>FROM 1450 TO 1550</text>
  </threadedComment>
  <threadedComment ref="O44" dT="2021-02-08T12:25:15.13" personId="{8C56F8A4-92C8-42F4-A1B8-FA6FA5100C13}" id="{672B3CC2-8DB2-4EE2-918C-AE2C4B83F1F1}" parentId="{96B65686-8929-4E74-991D-05CF226F5FF2}">
    <text>FROM 1550 TO 1587</text>
  </threadedComment>
  <threadedComment ref="O126" dT="2021-02-08T12:15:43.30" personId="{8C56F8A4-92C8-42F4-A1B8-FA6FA5100C13}" id="{1E53014E-4938-4E6C-A730-2C6D5C7D9029}" done="1">
    <text>FROM : 625
TO : 617</text>
  </threadedComment>
  <threadedComment ref="O126" dT="2022-07-18T09:01:37.49" personId="{8C56F8A4-92C8-42F4-A1B8-FA6FA5100C13}" id="{6C3D1623-5C62-4888-A27A-44DD9D38BBC0}" parentId="{1E53014E-4938-4E6C-A730-2C6D5C7D9029}">
    <text>TO 2500 DUE TO BATCH SIZE CHANGE</text>
  </threadedComment>
  <threadedComment ref="Q126" dT="2020-12-07T13:06:57.01" personId="{8C56F8A4-92C8-42F4-A1B8-FA6FA5100C13}" id="{C23BCCEC-5690-4240-8A2B-C1DE515C9EDF}" done="1">
    <text>FROM 30
TO : 32</text>
  </threadedComment>
  <threadedComment ref="Q126" dT="2023-04-04T15:30:41.55" personId="{8C56F8A4-92C8-42F4-A1B8-FA6FA5100C13}" id="{9AB84523-FAE8-47FD-9B84-2B98C0EECD7E}" parentId="{C23BCCEC-5690-4240-8A2B-C1DE515C9EDF}">
    <text>To 50</text>
  </threadedComment>
  <threadedComment ref="Q127" dT="2020-07-03T14:53:08.60" personId="{DD2BBD07-72D7-4F52-94BB-000F80580FA0}" id="{0C7E2D8C-E6E0-4CAB-BE3E-0B917B99B654}" done="1">
    <text>FROM 28 TO 40</text>
  </threadedComment>
  <threadedComment ref="Q127" dT="2023-04-04T15:31:14.31" personId="{8C56F8A4-92C8-42F4-A1B8-FA6FA5100C13}" id="{6C25322D-37B3-425C-9430-66BF89839F87}" parentId="{0C7E2D8C-E6E0-4CAB-BE3E-0B917B99B654}">
    <text>To 30</text>
  </threadedComment>
  <threadedComment ref="O128" dT="2021-02-08T12:18:52.30" personId="{8C56F8A4-92C8-42F4-A1B8-FA6FA5100C13}" id="{A613BB85-EBDB-4042-85BD-9588537651F3}" done="1">
    <text>FROM 1000
TO 1092</text>
  </threadedComment>
  <threadedComment ref="O128" dT="2022-07-18T09:03:19.15" personId="{8C56F8A4-92C8-42F4-A1B8-FA6FA5100C13}" id="{599AF2F1-AD85-4900-AF8B-79E29F97C029}" parentId="{A613BB85-EBDB-4042-85BD-9588537651F3}">
    <text>TO : 3600 -  DUE TO BATCH SIZE CHANGE</text>
  </threadedComment>
  <threadedComment ref="Q128" dT="2020-12-07T13:08:46.64" personId="{8C56F8A4-92C8-42F4-A1B8-FA6FA5100C13}" id="{13BE5F47-DEFB-49A6-B6BC-5E97A7CC08E9}" done="1">
    <text>FROM 55
TO 68.7</text>
  </threadedComment>
  <threadedComment ref="Q128" dT="2023-04-04T15:31:55.86" personId="{8C56F8A4-92C8-42F4-A1B8-FA6FA5100C13}" id="{13743906-E483-4935-B95E-AC032209DEF3}" parentId="{13BE5F47-DEFB-49A6-B6BC-5E97A7CC08E9}">
    <text>60</text>
  </threadedComment>
  <threadedComment ref="O129" dT="2022-04-08T13:35:51.77" personId="{8C56F8A4-92C8-42F4-A1B8-FA6FA5100C13}" id="{72AAC026-5844-4777-BAC3-18B1DCCCFB60}" done="1">
    <text>Sales-Admin:
12/08/2019 - CHANGED QTY PER BACTH FROM 520 TO 360 AS PER EMAIL FROM GM DATED 12.08.2019</text>
  </threadedComment>
  <threadedComment ref="O129" dT="2022-04-08T13:36:06.94" personId="{8C56F8A4-92C8-42F4-A1B8-FA6FA5100C13}" id="{4221B1F3-0FF7-4AEF-915B-2E2034661DC9}" parentId="{72AAC026-5844-4777-BAC3-18B1DCCCFB60}">
    <text>FROM 360 TO 380 REFER TO CHNAGE NOTE DATED 08.04.22</text>
  </threadedComment>
  <threadedComment ref="B139" dT="2020-07-28T09:24:40.84" personId="{8C56F8A4-92C8-42F4-A1B8-FA6FA5100C13}" id="{447939DE-552F-4A64-A7E0-6FDC456E451E}" done="1">
    <text>From Longday to Varies (can be any supplier)</text>
  </threadedComment>
  <threadedComment ref="D167" dT="2021-11-05T09:57:36.58" personId="{8C56F8A4-92C8-42F4-A1B8-FA6FA5100C13}" id="{A2329ED6-C507-491E-9D7F-BEF0CA9F6AD4}" done="1">
    <text>From: Fried Onions
To: Booths Fried Onions</text>
  </threadedComment>
  <threadedComment ref="D168" dT="2023-07-06T14:05:27.87" personId="{F41F2735-ADD6-4E54-A44A-A0472D9A0DAE}" id="{CC9F6599-A82D-439B-BEEA-E65B068D2E9F}" done="1">
    <text>Description changed
From : Batter Chicken Filltes
To : Battered Chicken Bites</text>
  </threadedComment>
  <threadedComment ref="Q175" dT="2020-07-03T15:02:17.95" personId="{DD2BBD07-72D7-4F52-94BB-000F80580FA0}" id="{3AC84612-5330-4FB9-920C-B87172520056}" done="1">
    <text>FROM 26 TO 35</text>
  </threadedComment>
  <threadedComment ref="Q175" dT="2023-04-04T15:33:07.30" personId="{8C56F8A4-92C8-42F4-A1B8-FA6FA5100C13}" id="{AFB731B8-86BF-406B-951D-C75D62B6AF41}" parentId="{3AC84612-5330-4FB9-920C-B87172520056}">
    <text>To 30</text>
  </threadedComment>
  <threadedComment ref="O183" dT="2021-12-08T15:06:14.54" personId="{8C56F8A4-92C8-42F4-A1B8-FA6FA5100C13}" id="{07F18717-9318-4BF8-882F-2386BCE751D4}" done="1">
    <text>QTY IN KG</text>
  </threadedComment>
  <threadedComment ref="O183" dT="2021-12-08T15:06:36.60" personId="{8C56F8A4-92C8-42F4-A1B8-FA6FA5100C13}" id="{346A74CF-E93D-49B5-A964-0B2BF13A4B11}" parentId="{07F18717-9318-4BF8-882F-2386BCE751D4}">
    <text>FROM 12.96
TO : 10</text>
  </threadedComment>
  <threadedComment ref="E184" dT="2020-11-23T16:55:16.02" personId="{8C56F8A4-92C8-42F4-A1B8-FA6FA5100C13}" id="{6B64D115-5438-4947-A5BF-74731D8C1E1D}" done="1">
    <text>change category to ready meals for dip requirement purposes refer to chnage note dated 23/11/2020</text>
  </threadedComment>
  <threadedComment ref="Q203" dT="2023-04-04T15:34:09.56" personId="{8C56F8A4-92C8-42F4-A1B8-FA6FA5100C13}" id="{EAAD8669-3DA9-48AA-B235-A26F6917A899}" done="1">
    <text>From 60 to 50</text>
  </threadedComment>
  <threadedComment ref="O216" dT="2020-10-15T12:30:48.85" personId="{8C56F8A4-92C8-42F4-A1B8-FA6FA5100C13}" id="{877899F1-B952-4173-A45B-0A681B4486C9}" done="1">
    <text>FROM 532
TO : 350
AS PER CELFERNS EMAIL DATED 14/10/20</text>
  </threadedComment>
  <threadedComment ref="Q216" dT="2023-04-04T15:34:58.69" personId="{8C56F8A4-92C8-42F4-A1B8-FA6FA5100C13}" id="{322580BD-DD00-474D-842F-1BE705E11E68}" done="1">
    <text>From 55 to 75</text>
  </threadedComment>
  <threadedComment ref="O217" dT="2020-10-15T12:31:30.31" personId="{8C56F8A4-92C8-42F4-A1B8-FA6FA5100C13}" id="{6541BA93-385E-46E7-9840-9AF4877104AD}" done="1">
    <text>FROM 1430
TO 950
AS PER CELFFERN EMAIL DATED 14/10/20</text>
  </threadedComment>
  <threadedComment ref="Q217" dT="2023-04-04T15:34:58.69" personId="{8C56F8A4-92C8-42F4-A1B8-FA6FA5100C13}" id="{8050CC7D-A057-420D-85F8-E7E53A33E9DF}" done="1">
    <text>From 55 to 75</text>
  </threadedComment>
  <threadedComment ref="B246" dT="2020-09-17T12:06:51.03" personId="{8C56F8A4-92C8-42F4-A1B8-FA6FA5100C13}" id="{69B502DE-9774-4151-A383-405CF02BB1A7}" done="1">
    <text>changed origin to gazebo from ih foods</text>
  </threadedComment>
  <threadedComment ref="C246" dT="2020-09-16T20:14:17.63" personId="{8C56F8A4-92C8-42F4-A1B8-FA6FA5100C13}" id="{50FD8369-0F38-4DF6-91D1-91332A62E68E}" done="1">
    <text>changed from GFF1265 TO GFF204R AS NOW RECIPE AVAILABLE</text>
  </threadedComment>
  <threadedComment ref="D257" dT="2024-06-20T15:32:42.39" personId="{F41F2735-ADD6-4E54-A44A-A0472D9A0DAE}" id="{82FE63AB-33C5-4F56-BC93-5E00D6AC5A74}" done="1">
    <text>Ranamed 
From :  Wild Mushroom, Spinach &amp; Ricotta Filo Parcels
To ; Mushroom, Spinach &amp; Ricotta Filo Parcels</text>
  </threadedComment>
  <threadedComment ref="K257" dT="2024-06-20T15:34:46.78" personId="{F41F2735-ADD6-4E54-A44A-A0472D9A0DAE}" id="{956DF88C-4E35-4775-A4FB-702CF7BD391B}" done="1">
    <text>Removed Wild from description</text>
  </threadedComment>
  <threadedComment ref="O257" dT="2024-06-20T15:35:52.21" personId="{F41F2735-ADD6-4E54-A44A-A0472D9A0DAE}" id="{52B05CFB-995A-4981-86D3-59B9496A7199}" done="1">
    <text>FROM 63
TO : 550</text>
  </threadedComment>
  <threadedComment ref="C260" dT="2020-10-09T10:02:31.74" personId="{8C56F8A4-92C8-42F4-A1B8-FA6FA5100C13}" id="{15672241-175D-49CD-8355-EC0A13D29F30}" done="1">
    <text>Sales-Admin:
17/05/2019 - ADDED 1  INFRONT OF RECIPE NUMBER INORDER TO SEGREGATE REQUIREMENT JUST FOR SYSTEM PURPOSE
INITIALLY THE WHOE RECIPE WAS SET FOR BOOTHS X-MAS LINE WITH THE COBINATION OF THE MIX AND PASTRY</text>
  </threadedComment>
  <threadedComment ref="C260" dT="2020-10-09T10:03:44.05" personId="{8C56F8A4-92C8-42F4-A1B8-FA6FA5100C13}" id="{2BD75F3C-4DAA-4DAC-ACD7-48EA953C30F4}" parentId="{15672241-175D-49CD-8355-EC0A13D29F30}">
    <text>Changed from GFF209R-1 TO GFF226R as the calculation has been change to rectify requirement</text>
  </threadedComment>
  <threadedComment ref="O260" dT="2020-10-09T10:08:46.16" personId="{8C56F8A4-92C8-42F4-A1B8-FA6FA5100C13}" id="{8853B82E-0DB5-4138-B2EF-6DE43D7CF0B9}" done="1">
    <text>From 240
to: 270</text>
  </threadedComment>
  <threadedComment ref="N263" dT="2020-06-29T16:13:13.00" personId="{DD2BBD07-72D7-4F52-94BB-000F80580FA0}" id="{B4CAFDC1-7CA0-4E71-B2F1-7C9485A7CA0C}" done="1">
    <text>REPLACED BY ABE001-04</text>
  </threadedComment>
  <threadedComment ref="D279" dT="2024-06-20T15:33:22.23" personId="{F41F2735-ADD6-4E54-A44A-A0472D9A0DAE}" id="{2B5FD26D-447A-4085-A7DF-4E4B101C8AAD}" done="1">
    <text>Renamed
From : Wild Mushroom and Spinach Mix
To : Mushroom and Spinach Mix</text>
  </threadedComment>
  <threadedComment ref="E279" dT="2021-11-26T11:11:34.72" personId="{8C56F8A4-92C8-42F4-A1B8-FA6FA5100C13}" id="{77AC9AEB-6959-4E5D-AE9C-69D64C5D4E72}" done="1">
    <text>moved from snack to ready meals</text>
  </threadedComment>
  <threadedComment ref="K279" dT="2024-06-20T15:35:03.58" personId="{F41F2735-ADD6-4E54-A44A-A0472D9A0DAE}" id="{679719ED-EC4B-490A-8E52-0F69E9BA1F4C}" done="1">
    <text>Removed Wild from description</text>
  </threadedComment>
  <threadedComment ref="D280" dT="2024-06-20T15:34:03.33" personId="{F41F2735-ADD6-4E54-A44A-A0472D9A0DAE}" id="{0F1958D8-DA9A-4714-91A4-32228BD6924B}" done="1">
    <text>Renamed:
From : Wild Mushroom, Spinach &amp; Ricotta Cheese Mix
To :Mushroom, Spinach &amp; Ricotta Cheese Mix</text>
  </threadedComment>
  <threadedComment ref="E280" dT="2021-11-26T11:11:34.72" personId="{8C56F8A4-92C8-42F4-A1B8-FA6FA5100C13}" id="{67B89AAA-C512-4A6C-A858-48A39F23AAFB}" done="1">
    <text>moved from snack to ready meals</text>
  </threadedComment>
  <threadedComment ref="K280" dT="2024-06-20T15:35:11.63" personId="{F41F2735-ADD6-4E54-A44A-A0472D9A0DAE}" id="{7E221260-927E-4A83-9FA8-A11CE2FEFF5C}" done="1">
    <text>Removed Wild from description</text>
  </threadedComment>
  <threadedComment ref="E299" dT="2021-02-22T12:06:42.68" personId="{8C56F8A4-92C8-42F4-A1B8-FA6FA5100C13}" id="{9D42227E-5549-4E3B-995E-69F543D216B2}" done="1">
    <text>MOVE CATEGORY FROM READY MEALS-P TO READY MEALS , SLEF CHECKED AS PRODUCT ONLY USED AS PART OF READY MEALS</text>
  </threadedComment>
  <threadedComment ref="Q302" dT="2020-07-03T14:53:54.38" personId="{DD2BBD07-72D7-4F52-94BB-000F80580FA0}" id="{6441847D-B709-4F80-B69A-4425110BF092}" done="1">
    <text>FROM 20 TO 30</text>
  </threadedComment>
  <threadedComment ref="Q303" dT="2020-07-03T14:46:23.66" personId="{DD2BBD07-72D7-4F52-94BB-000F80580FA0}" id="{0D526E42-D34C-47F2-8F54-76C041FFF2A6}" done="1">
    <text>FROM 16 TO 30</text>
  </threadedComment>
  <threadedComment ref="N359" dT="2020-07-01T13:49:29.78" personId="{DD2BBD07-72D7-4F52-94BB-000F80580FA0}" id="{05F48CF8-F349-4632-A9BF-C4D0DA9E7A10}" done="1">
    <text>DISCONTINUED AS USING ROASTED PINE NUTS AS PER EMAIL FROM MAGDA</text>
  </threadedComment>
  <threadedComment ref="N374" dT="2020-10-28T13:52:37.38" personId="{8C56F8A4-92C8-42F4-A1B8-FA6FA5100C13}" id="{A0A276BD-CB8D-48FC-9C04-7B544402265E}" done="1">
    <text>discontinnued as now to use gff 114r</text>
  </threadedComment>
  <threadedComment ref="O376" dT="2022-06-27T08:35:04.18" personId="{8C56F8A4-92C8-42F4-A1B8-FA6FA5100C13}" id="{B7593BB8-1DFE-4D16-B855-3B3C3663B6CF}">
    <text>From : 530
To :  700 due to batch size change</text>
  </threadedComment>
  <threadedComment ref="D377" dT="2020-10-29T12:54:16.92" personId="{8C56F8A4-92C8-42F4-A1B8-FA6FA5100C13}" id="{61BB202D-3871-44D0-A0EF-09AC8D1DBAC9}" done="1">
    <text>From: Rose Harissa Lamb Kofta
To: Harissa Lamb Kofta
as per magda</text>
  </threadedComment>
  <threadedComment ref="K377" dT="2020-10-29T12:54:58.14" personId="{8C56F8A4-92C8-42F4-A1B8-FA6FA5100C13}" id="{69FF5547-D9DA-42BE-9448-8BAEA4510B20}" done="1">
    <text>From : Rose Harissa Lamb Kofta 15G
To: Harissa Lamb Kofta 15G
as per magda request</text>
  </threadedComment>
  <threadedComment ref="X389" dT="2021-03-05T10:43:21.17" personId="{8C56F8A4-92C8-42F4-A1B8-FA6FA5100C13}" id="{84CF6093-88D5-4BA7-A6E3-06C5EB79BFD6}">
    <text>removed nut allergen</text>
  </threadedComment>
  <threadedComment ref="O390" dT="2024-07-03T10:09:25.39" personId="{F41F2735-ADD6-4E54-A44A-A0472D9A0DAE}" id="{72260646-E008-4BFD-9DA7-2DA10A9A8F63}" done="1">
    <text>From 3040
To : 2200
As per email from bobby dated 03/07/24</text>
  </threadedComment>
  <threadedComment ref="E391" dT="2020-11-23T16:58:43.33" personId="{8C56F8A4-92C8-42F4-A1B8-FA6FA5100C13}" id="{2186DECA-1F68-427B-B67E-9DB0AD740EB7}" done="1">
    <text>changed category from Snacks to Reay Meals-p, refer to change note dated 23/11/20</text>
  </threadedComment>
  <threadedComment ref="E392" dT="2020-11-23T16:58:43.33" personId="{8C56F8A4-92C8-42F4-A1B8-FA6FA5100C13}" id="{047EE935-5894-46F3-998F-8FF29B9DB4A1}" done="1">
    <text>changed category from Snacks to Reay Meals-p, refer to change note dated 23/11/20</text>
  </threadedComment>
  <threadedComment ref="E393" dT="2020-11-23T16:58:43.33" personId="{8C56F8A4-92C8-42F4-A1B8-FA6FA5100C13}" id="{C54E640B-99F3-4A21-A151-350D86427A95}" done="1">
    <text>changed category from Snacks to Reay Meals-p, refer to change note dated 23/11/20</text>
  </threadedComment>
  <threadedComment ref="E396" dT="2020-11-25T16:46:03.21" personId="{8C56F8A4-92C8-42F4-A1B8-FA6FA5100C13}" id="{0B730A20-D7BE-4B07-B54E-42480A19C626}" done="1">
    <text>changed from dips to ready meals ffor planning purposes</text>
  </threadedComment>
  <threadedComment ref="O402" dT="2022-07-18T09:02:14.76" personId="{8C56F8A4-92C8-42F4-A1B8-FA6FA5100C13}" id="{792F7C15-6549-428F-844F-25F8E435A71E}" done="1">
    <text>FROM : 830
TO : 3400 - DUE TO BATCH SIZE CHANGE</text>
  </threadedComment>
  <threadedComment ref="D407" dT="2024-09-06T13:34:42.83" personId="{F41F2735-ADD6-4E54-A44A-A0472D9A0DAE}" id="{6EE66228-1A2C-4001-B7A6-7C6859C0B49C}" done="1">
    <text>Description updated
Removed cc</text>
  </threadedComment>
  <threadedComment ref="D408" dT="2024-09-06T13:35:36.50" personId="{F41F2735-ADD6-4E54-A44A-A0472D9A0DAE}" id="{3DFC2A3E-368B-4BBA-8C61-E6664EFD8D97}">
    <text>Removed cc from description</text>
  </threadedComment>
  <threadedComment ref="E423" dT="2021-02-22T12:04:25.77" personId="{8C56F8A4-92C8-42F4-A1B8-FA6FA5100C13}" id="{0CB0FC18-1030-4206-8282-FB28EE1A911E}" done="1">
    <text>category moved from ready meals to ready meals-p as required on plan requirement as per pedros request</text>
  </threadedComment>
  <threadedComment ref="Q424" dT="2020-12-07T13:06:57.01" personId="{8C56F8A4-92C8-42F4-A1B8-FA6FA5100C13}" id="{7E399899-D55C-4810-9C3A-6252E4F82525}" done="1">
    <text>FROM 30
TO : 32</text>
  </threadedComment>
  <threadedComment ref="Q437" dT="2020-12-07T13:49:10.15" personId="{8C56F8A4-92C8-42F4-A1B8-FA6FA5100C13}" id="{B7B867C7-26FC-48BD-A3BC-FFF9B546E3A9}" done="1">
    <text>FROM 38.5
TO 29.7</text>
  </threadedComment>
  <threadedComment ref="Q438" dT="2020-12-07T13:49:22.14" personId="{8C56F8A4-92C8-42F4-A1B8-FA6FA5100C13}" id="{E25620DF-6679-40A5-B8CF-5DA63E27B123}" done="1">
    <text>FROM 38.5
TO: 26.5</text>
  </threadedComment>
  <threadedComment ref="Q439" dT="2020-12-07T13:49:30.83" personId="{8C56F8A4-92C8-42F4-A1B8-FA6FA5100C13}" id="{70F7317B-289A-4DF0-94DF-4C5C6D69A5A2}" done="1">
    <text>FROM 30
TO 40</text>
  </threadedComment>
  <threadedComment ref="O464" dT="2022-06-27T08:35:22.55" personId="{8C56F8A4-92C8-42F4-A1B8-FA6FA5100C13}" id="{6EA987A4-A3ED-49CA-B104-7BA103E2567F}" done="1">
    <text>From : 6000
To :  7750 due to batch size change</text>
  </threadedComment>
  <threadedComment ref="Q464" dT="2023-04-04T15:37:12.09" personId="{8C56F8A4-92C8-42F4-A1B8-FA6FA5100C13}" id="{F03F1691-D952-4D83-9141-29BA350C4C1C}" done="1">
    <text>40 TO 30</text>
  </threadedComment>
  <threadedComment ref="Q465" dT="2023-04-04T15:38:11.01" personId="{8C56F8A4-92C8-42F4-A1B8-FA6FA5100C13}" id="{C88F34DA-3E9E-4993-B457-732123E86D62}" done="1">
    <text>FROM 32 TO 50</text>
  </threadedComment>
  <threadedComment ref="O466" dT="2021-09-16T10:55:35.02" personId="{8C56F8A4-92C8-42F4-A1B8-FA6FA5100C13}" id="{04B2DA7E-955A-450C-8064-26D1A03D2A1A}">
    <text>from 40 to 1200 due to weight change in recipe</text>
  </threadedComment>
  <threadedComment ref="Z473" dT="2023-02-21T10:19:45.61" personId="{8C56F8A4-92C8-42F4-A1B8-FA6FA5100C13}" id="{62110AEE-8DA8-4CE8-A664-5B270CE51C86}" done="1">
    <text>Previously Delisted
11/08/2021 D - 18/03/2022</text>
  </threadedComment>
  <threadedComment ref="O488" dT="2023-10-07T15:23:07.44" personId="{F41F2735-ADD6-4E54-A44A-A0472D9A0DAE}" id="{C49C6AA6-AA13-4436-892A-F09EE4C20F0B}" done="1">
    <text>FROM 21 TO 25 AS PER EPD</text>
  </threadedComment>
  <threadedComment ref="D543" dT="2025-10-08T16:59:11.16" personId="{F41F2735-ADD6-4E54-A44A-A0472D9A0DAE}" id="{C4E88F95-84B8-4BBD-A3EF-BB5E8922A333}" done="1">
    <text>Removed De Meaux from Description as confirmed by Devang via Magda</text>
  </threadedComment>
  <threadedComment ref="Q631" dT="2023-04-04T14:37:40.25" personId="{8C56F8A4-92C8-42F4-A1B8-FA6FA5100C13}" id="{0FA141EA-C19A-4400-9649-2F7A02055E8F}" done="1">
    <text>From 26 to 42.5</text>
  </threadedComment>
  <threadedComment ref="Q640" dT="2020-12-07T13:04:59.35" personId="{8C56F8A4-92C8-42F4-A1B8-FA6FA5100C13}" id="{84EFB405-F8AB-439F-A893-9CF6DC8545F3}" done="1">
    <text>FROM : 28
TO : 46.3</text>
  </threadedComment>
  <threadedComment ref="Q640" dT="2023-04-04T15:17:03.43" personId="{8C56F8A4-92C8-42F4-A1B8-FA6FA5100C13}" id="{430EAF00-66EE-49DE-BE0B-C999D4659A79}" parentId="{84EFB405-F8AB-439F-A893-9CF6DC8545F3}">
    <text>To 35</text>
  </threadedComment>
  <threadedComment ref="O655" dT="2025-08-04T08:19:39.75" personId="{F41F2735-ADD6-4E54-A44A-A0472D9A0DAE}" id="{EA9ACAA1-4369-4B11-959D-5F532F12F46C}" done="1">
    <text>From 2500 to 3250 as per email from Bobby dated 18/07/25</text>
  </threadedComment>
  <threadedComment ref="Q659" dT="2023-04-04T14:37:40.25" personId="{8C56F8A4-92C8-42F4-A1B8-FA6FA5100C13}" id="{C39C9236-FC25-455D-AD6B-B5D775E6A20D}" done="1">
    <text>From 26 to 42.5</text>
  </threadedComment>
  <threadedComment ref="Q663" dT="2020-07-03T14:58:08.88" personId="{DD2BBD07-72D7-4F52-94BB-000F80580FA0}" id="{8D875531-3723-4354-BDBD-291FDABD8BC2}" done="1">
    <text>FROM 16 TO 28</text>
  </threadedComment>
  <threadedComment ref="Q663" dT="2023-04-04T15:19:14.86" personId="{8C56F8A4-92C8-42F4-A1B8-FA6FA5100C13}" id="{E5F0DC0F-4F14-49A8-A41A-5E38F961F1E9}" parentId="{8D875531-3723-4354-BDBD-291FDABD8BC2}">
    <text>27</text>
  </threadedComment>
  <threadedComment ref="Q665" dT="2020-07-03T14:29:49.66" personId="{DD2BBD07-72D7-4F52-94BB-000F80580FA0}" id="{7EC859EA-E407-4DFF-A85F-63C7E38DB59E}" done="1">
    <text>FROM 16 TO 35</text>
  </threadedComment>
  <threadedComment ref="Q665" dT="2023-04-04T14:35:30.07" personId="{8C56F8A4-92C8-42F4-A1B8-FA6FA5100C13}" id="{4A87AF64-EFAE-4F13-ACAC-02854DD9C1D8}" parentId="{7EC859EA-E407-4DFF-A85F-63C7E38DB59E}">
    <text>To 25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M214"/>
  <sheetViews>
    <sheetView zoomScale="80" zoomScaleNormal="80" zoomScaleSheetLayoutView="50" workbookViewId="0">
      <pane ySplit="2" topLeftCell="A181" activePane="bottomLeft" state="frozen"/>
      <selection pane="bottomLeft" activeCell="A2" sqref="A2"/>
    </sheetView>
  </sheetViews>
  <sheetFormatPr defaultRowHeight="15" x14ac:dyDescent="0.25"/>
  <cols>
    <col min="1" max="1" width="4.140625" bestFit="1" customWidth="1"/>
    <col min="2" max="2" width="10.28515625" customWidth="1"/>
    <col min="3" max="4" width="13" customWidth="1"/>
    <col min="5" max="5" width="21.140625" bestFit="1" customWidth="1"/>
    <col min="6" max="7" width="21.140625" customWidth="1"/>
    <col min="8" max="8" width="29.140625" bestFit="1" customWidth="1"/>
    <col min="9" max="9" width="19.5703125" hidden="1" customWidth="1"/>
    <col min="10" max="10" width="12.140625" style="42" hidden="1" customWidth="1"/>
    <col min="11" max="11" width="15.42578125" hidden="1" customWidth="1"/>
    <col min="12" max="13" width="14.42578125" customWidth="1"/>
    <col min="14" max="14" width="10" customWidth="1"/>
    <col min="15" max="15" width="49.42578125" bestFit="1" customWidth="1"/>
    <col min="16" max="16" width="13" style="28" customWidth="1"/>
    <col min="17" max="17" width="16.7109375" style="28" customWidth="1"/>
    <col min="18" max="18" width="9.5703125" bestFit="1" customWidth="1"/>
    <col min="19" max="19" width="14.5703125" customWidth="1"/>
    <col min="20" max="20" width="18.28515625" customWidth="1"/>
    <col min="21" max="50" width="20" customWidth="1"/>
    <col min="51" max="65" width="13.42578125" customWidth="1"/>
    <col min="66" max="82" width="14.28515625" style="22" customWidth="1"/>
    <col min="83" max="91" width="12.85546875" customWidth="1"/>
  </cols>
  <sheetData>
    <row r="1" spans="1:91" ht="18.75" x14ac:dyDescent="0.3">
      <c r="R1" s="21"/>
      <c r="S1" s="21"/>
      <c r="T1" s="90" t="s">
        <v>622</v>
      </c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1" t="s">
        <v>615</v>
      </c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2" t="s">
        <v>621</v>
      </c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  <c r="CB1" s="92"/>
      <c r="CC1" s="92"/>
      <c r="CD1" s="92"/>
      <c r="CE1" s="27" t="s">
        <v>623</v>
      </c>
    </row>
    <row r="2" spans="1:91" s="49" customFormat="1" ht="45" x14ac:dyDescent="0.25">
      <c r="A2" s="44" t="s">
        <v>0</v>
      </c>
      <c r="B2" s="44" t="s">
        <v>142</v>
      </c>
      <c r="C2" s="44" t="s">
        <v>3</v>
      </c>
      <c r="D2" s="45" t="s">
        <v>1</v>
      </c>
      <c r="E2" s="45" t="s">
        <v>143</v>
      </c>
      <c r="F2" s="45" t="s">
        <v>887</v>
      </c>
      <c r="G2" s="46" t="s">
        <v>937</v>
      </c>
      <c r="H2" s="46" t="s">
        <v>818</v>
      </c>
      <c r="I2" s="46" t="s">
        <v>884</v>
      </c>
      <c r="J2" s="47" t="s">
        <v>815</v>
      </c>
      <c r="K2" s="46" t="s">
        <v>711</v>
      </c>
      <c r="L2" s="46" t="s">
        <v>787</v>
      </c>
      <c r="M2" s="46" t="s">
        <v>996</v>
      </c>
      <c r="N2" s="46" t="s">
        <v>938</v>
      </c>
      <c r="O2" s="46" t="s">
        <v>2</v>
      </c>
      <c r="P2" s="48" t="s">
        <v>798</v>
      </c>
      <c r="Q2" s="48" t="s">
        <v>808</v>
      </c>
      <c r="R2" s="29" t="s">
        <v>816</v>
      </c>
      <c r="S2" s="29" t="s">
        <v>817</v>
      </c>
      <c r="T2" s="30" t="s">
        <v>445</v>
      </c>
      <c r="U2" s="30" t="s">
        <v>477</v>
      </c>
      <c r="V2" s="31" t="s">
        <v>584</v>
      </c>
      <c r="W2" s="31" t="s">
        <v>585</v>
      </c>
      <c r="X2" s="31" t="s">
        <v>586</v>
      </c>
      <c r="Y2" s="31" t="s">
        <v>587</v>
      </c>
      <c r="Z2" s="31" t="s">
        <v>588</v>
      </c>
      <c r="AA2" s="31" t="s">
        <v>589</v>
      </c>
      <c r="AB2" s="31" t="s">
        <v>590</v>
      </c>
      <c r="AC2" s="31" t="s">
        <v>591</v>
      </c>
      <c r="AD2" s="31" t="s">
        <v>592</v>
      </c>
      <c r="AE2" s="31" t="s">
        <v>593</v>
      </c>
      <c r="AF2" s="31" t="s">
        <v>537</v>
      </c>
      <c r="AG2" s="31" t="s">
        <v>594</v>
      </c>
      <c r="AH2" s="31" t="s">
        <v>595</v>
      </c>
      <c r="AI2" s="31" t="s">
        <v>596</v>
      </c>
      <c r="AJ2" s="31" t="s">
        <v>597</v>
      </c>
      <c r="AK2" s="31" t="s">
        <v>598</v>
      </c>
      <c r="AL2" s="31" t="s">
        <v>599</v>
      </c>
      <c r="AM2" s="31" t="s">
        <v>600</v>
      </c>
      <c r="AN2" s="31" t="s">
        <v>601</v>
      </c>
      <c r="AO2" s="31" t="s">
        <v>500</v>
      </c>
      <c r="AP2" s="31" t="s">
        <v>602</v>
      </c>
      <c r="AQ2" s="32" t="s">
        <v>319</v>
      </c>
      <c r="AR2" s="32" t="s">
        <v>439</v>
      </c>
      <c r="AS2" s="33" t="s">
        <v>603</v>
      </c>
      <c r="AT2" s="33" t="s">
        <v>604</v>
      </c>
      <c r="AU2" s="33" t="s">
        <v>605</v>
      </c>
      <c r="AV2" s="33" t="s">
        <v>444</v>
      </c>
      <c r="AW2" s="33" t="s">
        <v>606</v>
      </c>
      <c r="AX2" s="34" t="s">
        <v>607</v>
      </c>
      <c r="AY2" s="35" t="s">
        <v>128</v>
      </c>
      <c r="AZ2" s="35" t="s">
        <v>608</v>
      </c>
      <c r="BA2" s="35" t="s">
        <v>330</v>
      </c>
      <c r="BB2" s="35" t="s">
        <v>609</v>
      </c>
      <c r="BC2" s="35" t="s">
        <v>610</v>
      </c>
      <c r="BD2" s="35" t="s">
        <v>611</v>
      </c>
      <c r="BE2" s="35" t="s">
        <v>391</v>
      </c>
      <c r="BF2" s="35" t="s">
        <v>310</v>
      </c>
      <c r="BG2" s="35" t="s">
        <v>612</v>
      </c>
      <c r="BH2" s="35" t="s">
        <v>613</v>
      </c>
      <c r="BI2" s="35" t="s">
        <v>614</v>
      </c>
      <c r="BJ2" s="35" t="s">
        <v>376</v>
      </c>
      <c r="BK2" s="35" t="s">
        <v>344</v>
      </c>
      <c r="BL2" s="35" t="s">
        <v>282</v>
      </c>
      <c r="BM2" s="35"/>
      <c r="BN2" s="36" t="s">
        <v>272</v>
      </c>
      <c r="BO2" s="36" t="s">
        <v>289</v>
      </c>
      <c r="BP2" s="36" t="s">
        <v>308</v>
      </c>
      <c r="BQ2" s="36" t="s">
        <v>309</v>
      </c>
      <c r="BR2" s="36" t="s">
        <v>616</v>
      </c>
      <c r="BS2" s="36" t="s">
        <v>332</v>
      </c>
      <c r="BT2" s="36" t="s">
        <v>271</v>
      </c>
      <c r="BU2" s="36" t="s">
        <v>316</v>
      </c>
      <c r="BV2" s="36" t="s">
        <v>617</v>
      </c>
      <c r="BW2" s="36" t="s">
        <v>618</v>
      </c>
      <c r="BX2" s="36" t="s">
        <v>619</v>
      </c>
      <c r="BY2" s="36" t="s">
        <v>345</v>
      </c>
      <c r="BZ2" s="36" t="s">
        <v>620</v>
      </c>
      <c r="CA2" s="36" t="s">
        <v>322</v>
      </c>
      <c r="CB2" s="36" t="s">
        <v>395</v>
      </c>
      <c r="CC2" s="36" t="s">
        <v>357</v>
      </c>
      <c r="CD2" s="37"/>
      <c r="CE2" s="38" t="s">
        <v>624</v>
      </c>
      <c r="CF2" s="38" t="s">
        <v>275</v>
      </c>
      <c r="CG2" s="38" t="s">
        <v>276</v>
      </c>
      <c r="CH2" s="38" t="s">
        <v>277</v>
      </c>
      <c r="CI2" s="38" t="s">
        <v>278</v>
      </c>
      <c r="CJ2" s="38" t="s">
        <v>279</v>
      </c>
      <c r="CK2" s="38" t="s">
        <v>280</v>
      </c>
      <c r="CL2" s="38"/>
      <c r="CM2" s="39"/>
    </row>
    <row r="3" spans="1:91" x14ac:dyDescent="0.25">
      <c r="A3" s="1">
        <v>1</v>
      </c>
      <c r="B3" s="1" t="s">
        <v>147</v>
      </c>
      <c r="C3" s="1" t="s">
        <v>146</v>
      </c>
      <c r="D3" s="1" t="s">
        <v>885</v>
      </c>
      <c r="E3" s="2" t="s">
        <v>13</v>
      </c>
      <c r="F3" s="2" t="s">
        <v>17</v>
      </c>
      <c r="G3" s="24" t="s">
        <v>888</v>
      </c>
      <c r="H3" s="24" t="s">
        <v>819</v>
      </c>
      <c r="I3" s="24"/>
      <c r="J3" s="43"/>
      <c r="K3" s="24" t="s">
        <v>712</v>
      </c>
      <c r="L3" s="24" t="s">
        <v>625</v>
      </c>
      <c r="M3" s="24"/>
      <c r="N3" s="24">
        <v>1000</v>
      </c>
      <c r="O3" s="24" t="s">
        <v>16</v>
      </c>
      <c r="P3" s="40">
        <v>15</v>
      </c>
      <c r="Q3" s="28" t="s">
        <v>814</v>
      </c>
      <c r="R3" s="26"/>
      <c r="S3" s="26"/>
      <c r="T3" s="21">
        <f>VLOOKUP(N3,('Master File'!$I$3:$I$220),1,FALSE)</f>
        <v>1000</v>
      </c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1"/>
      <c r="CF3" s="21"/>
      <c r="CG3" s="21"/>
      <c r="CH3" s="21"/>
      <c r="CI3" s="21"/>
      <c r="CJ3" s="21"/>
      <c r="CK3" s="21"/>
      <c r="CL3" s="21"/>
      <c r="CM3" s="21"/>
    </row>
    <row r="4" spans="1:91" x14ac:dyDescent="0.25">
      <c r="A4" s="1">
        <f>A3+1</f>
        <v>2</v>
      </c>
      <c r="B4" s="1" t="s">
        <v>144</v>
      </c>
      <c r="C4" s="1" t="s">
        <v>146</v>
      </c>
      <c r="D4" s="1" t="s">
        <v>885</v>
      </c>
      <c r="E4" s="2" t="s">
        <v>32</v>
      </c>
      <c r="F4" s="2" t="s">
        <v>17</v>
      </c>
      <c r="G4" s="24" t="s">
        <v>888</v>
      </c>
      <c r="H4" s="24" t="s">
        <v>820</v>
      </c>
      <c r="I4" s="24"/>
      <c r="J4" s="43"/>
      <c r="K4" s="24" t="s">
        <v>628</v>
      </c>
      <c r="L4" s="24" t="s">
        <v>628</v>
      </c>
      <c r="M4" s="24"/>
      <c r="N4" s="24">
        <v>1001</v>
      </c>
      <c r="O4" s="25" t="s">
        <v>33</v>
      </c>
      <c r="P4" s="40">
        <v>15</v>
      </c>
      <c r="Q4" s="28" t="s">
        <v>814</v>
      </c>
      <c r="R4" s="26"/>
      <c r="S4" s="26"/>
      <c r="T4" s="21">
        <f>VLOOKUP(N4,('Master File'!$I$3:$I$220),1,FALSE)</f>
        <v>1001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1"/>
      <c r="CF4" s="21"/>
      <c r="CG4" s="21"/>
      <c r="CH4" s="21"/>
      <c r="CI4" s="21"/>
      <c r="CJ4" s="21"/>
      <c r="CK4" s="21"/>
      <c r="CL4" s="21"/>
      <c r="CM4" s="21"/>
    </row>
    <row r="5" spans="1:91" x14ac:dyDescent="0.25">
      <c r="A5" s="1">
        <f t="shared" ref="A5:A69" si="0">A4+1</f>
        <v>3</v>
      </c>
      <c r="B5" s="1" t="s">
        <v>145</v>
      </c>
      <c r="C5" s="1" t="s">
        <v>146</v>
      </c>
      <c r="D5" s="1" t="s">
        <v>885</v>
      </c>
      <c r="E5" s="2" t="s">
        <v>32</v>
      </c>
      <c r="F5" s="2" t="s">
        <v>17</v>
      </c>
      <c r="G5" s="24" t="s">
        <v>888</v>
      </c>
      <c r="H5" s="24" t="s">
        <v>820</v>
      </c>
      <c r="I5" s="24"/>
      <c r="J5" s="43"/>
      <c r="K5" s="24" t="s">
        <v>629</v>
      </c>
      <c r="L5" s="24" t="s">
        <v>629</v>
      </c>
      <c r="M5" s="24"/>
      <c r="N5" s="24">
        <v>1002</v>
      </c>
      <c r="O5" s="25" t="s">
        <v>148</v>
      </c>
      <c r="P5" s="40">
        <v>20</v>
      </c>
      <c r="Q5" s="28" t="s">
        <v>814</v>
      </c>
      <c r="R5" s="26"/>
      <c r="S5" s="26"/>
      <c r="T5" s="21">
        <f>VLOOKUP(N5,('Master File'!$I$3:$I$220),1,FALSE)</f>
        <v>1002</v>
      </c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1"/>
      <c r="CF5" s="21"/>
      <c r="CG5" s="21"/>
      <c r="CH5" s="21"/>
      <c r="CI5" s="21"/>
      <c r="CJ5" s="21"/>
      <c r="CK5" s="21"/>
      <c r="CL5" s="21"/>
      <c r="CM5" s="21"/>
    </row>
    <row r="6" spans="1:91" x14ac:dyDescent="0.25">
      <c r="A6" s="1">
        <f t="shared" si="0"/>
        <v>4</v>
      </c>
      <c r="B6" s="1" t="s">
        <v>173</v>
      </c>
      <c r="C6" s="1" t="s">
        <v>182</v>
      </c>
      <c r="D6" s="1" t="s">
        <v>885</v>
      </c>
      <c r="E6" s="2" t="s">
        <v>4</v>
      </c>
      <c r="F6" s="2" t="s">
        <v>6</v>
      </c>
      <c r="G6" s="24" t="s">
        <v>888</v>
      </c>
      <c r="H6" s="24" t="s">
        <v>825</v>
      </c>
      <c r="I6" s="24" t="s">
        <v>893</v>
      </c>
      <c r="J6" s="43">
        <v>1</v>
      </c>
      <c r="K6" s="24" t="s">
        <v>630</v>
      </c>
      <c r="L6" s="24" t="s">
        <v>713</v>
      </c>
      <c r="M6" s="24"/>
      <c r="N6" s="24">
        <v>1003</v>
      </c>
      <c r="O6" s="24" t="s">
        <v>5</v>
      </c>
      <c r="P6" s="40">
        <v>120</v>
      </c>
      <c r="Q6" s="28" t="s">
        <v>814</v>
      </c>
      <c r="R6" s="26">
        <v>320</v>
      </c>
      <c r="S6" s="26"/>
      <c r="T6" s="21">
        <f>VLOOKUP(N6,('Master File'!$I$3:$I$220),1,FALSE)</f>
        <v>1003</v>
      </c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1"/>
      <c r="CF6" s="21"/>
      <c r="CG6" s="21"/>
      <c r="CH6" s="21"/>
      <c r="CI6" s="21"/>
      <c r="CJ6" s="21"/>
      <c r="CK6" s="21"/>
      <c r="CL6" s="21"/>
      <c r="CM6" s="21"/>
    </row>
    <row r="7" spans="1:91" x14ac:dyDescent="0.25">
      <c r="A7" s="1">
        <f t="shared" si="0"/>
        <v>5</v>
      </c>
      <c r="B7" s="1" t="s">
        <v>174</v>
      </c>
      <c r="C7" s="1" t="s">
        <v>182</v>
      </c>
      <c r="D7" s="1" t="s">
        <v>885</v>
      </c>
      <c r="E7" s="2" t="s">
        <v>4</v>
      </c>
      <c r="F7" s="2" t="s">
        <v>6</v>
      </c>
      <c r="G7" s="24" t="s">
        <v>888</v>
      </c>
      <c r="H7" s="24" t="s">
        <v>825</v>
      </c>
      <c r="I7" s="24" t="s">
        <v>894</v>
      </c>
      <c r="J7" s="43">
        <v>0</v>
      </c>
      <c r="K7" s="24" t="s">
        <v>631</v>
      </c>
      <c r="L7" s="24" t="s">
        <v>714</v>
      </c>
      <c r="M7" s="24"/>
      <c r="N7" s="24">
        <v>1004</v>
      </c>
      <c r="O7" s="24" t="s">
        <v>7</v>
      </c>
      <c r="P7" s="40">
        <v>100</v>
      </c>
      <c r="Q7" s="28" t="s">
        <v>814</v>
      </c>
      <c r="R7" s="26">
        <v>600</v>
      </c>
      <c r="S7" s="26"/>
      <c r="T7" s="21">
        <f>VLOOKUP(N7,('Master File'!$I$3:$I$220),1,FALSE)</f>
        <v>1004</v>
      </c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1"/>
      <c r="CF7" s="21"/>
      <c r="CG7" s="21"/>
      <c r="CH7" s="21"/>
      <c r="CI7" s="21"/>
      <c r="CJ7" s="21"/>
      <c r="CK7" s="21"/>
      <c r="CL7" s="21"/>
      <c r="CM7" s="21"/>
    </row>
    <row r="8" spans="1:91" x14ac:dyDescent="0.25">
      <c r="A8" s="1">
        <f t="shared" si="0"/>
        <v>6</v>
      </c>
      <c r="B8" s="1" t="s">
        <v>175</v>
      </c>
      <c r="C8" s="1" t="s">
        <v>182</v>
      </c>
      <c r="D8" s="1" t="s">
        <v>885</v>
      </c>
      <c r="E8" s="2" t="s">
        <v>4</v>
      </c>
      <c r="F8" s="2" t="s">
        <v>6</v>
      </c>
      <c r="G8" s="24" t="s">
        <v>888</v>
      </c>
      <c r="H8" s="24" t="s">
        <v>836</v>
      </c>
      <c r="I8" s="24" t="s">
        <v>894</v>
      </c>
      <c r="J8" s="43">
        <v>0</v>
      </c>
      <c r="K8" s="24" t="s">
        <v>632</v>
      </c>
      <c r="L8" s="24" t="s">
        <v>715</v>
      </c>
      <c r="M8" s="24"/>
      <c r="N8" s="24">
        <v>1005</v>
      </c>
      <c r="O8" s="24" t="s">
        <v>8</v>
      </c>
      <c r="P8" s="40">
        <v>100</v>
      </c>
      <c r="Q8" s="28" t="s">
        <v>814</v>
      </c>
      <c r="R8" s="26">
        <v>600</v>
      </c>
      <c r="S8" s="26"/>
      <c r="T8" s="21">
        <f>VLOOKUP(N8,('Master File'!$I$3:$I$220),1,FALSE)</f>
        <v>1005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1"/>
      <c r="CF8" s="21"/>
      <c r="CG8" s="21"/>
      <c r="CH8" s="21"/>
      <c r="CI8" s="21"/>
      <c r="CJ8" s="21"/>
      <c r="CK8" s="21"/>
      <c r="CL8" s="21"/>
      <c r="CM8" s="21"/>
    </row>
    <row r="9" spans="1:91" x14ac:dyDescent="0.25">
      <c r="A9" s="1">
        <f t="shared" si="0"/>
        <v>7</v>
      </c>
      <c r="B9" s="1" t="s">
        <v>176</v>
      </c>
      <c r="C9" s="1" t="s">
        <v>182</v>
      </c>
      <c r="D9" s="1" t="s">
        <v>885</v>
      </c>
      <c r="E9" s="2" t="s">
        <v>4</v>
      </c>
      <c r="F9" s="2" t="s">
        <v>6</v>
      </c>
      <c r="G9" s="24" t="s">
        <v>888</v>
      </c>
      <c r="H9" s="24" t="s">
        <v>836</v>
      </c>
      <c r="I9" s="24" t="s">
        <v>894</v>
      </c>
      <c r="J9" s="43">
        <v>0</v>
      </c>
      <c r="K9" s="24" t="s">
        <v>633</v>
      </c>
      <c r="L9" s="24" t="s">
        <v>716</v>
      </c>
      <c r="M9" s="24"/>
      <c r="N9" s="24">
        <v>1006</v>
      </c>
      <c r="O9" s="24" t="s">
        <v>1190</v>
      </c>
      <c r="P9" s="40">
        <v>75</v>
      </c>
      <c r="Q9" s="28" t="s">
        <v>814</v>
      </c>
      <c r="R9" s="26">
        <v>920</v>
      </c>
      <c r="S9" s="26"/>
      <c r="T9" s="21">
        <f>VLOOKUP(N9,('Master File'!$I$3:$I$220),1,FALSE)</f>
        <v>1006</v>
      </c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1"/>
      <c r="CF9" s="21"/>
      <c r="CG9" s="21"/>
      <c r="CH9" s="21"/>
      <c r="CI9" s="21"/>
      <c r="CJ9" s="21"/>
      <c r="CK9" s="21"/>
      <c r="CL9" s="21"/>
      <c r="CM9" s="21"/>
    </row>
    <row r="10" spans="1:91" x14ac:dyDescent="0.25">
      <c r="A10" s="1">
        <f t="shared" si="0"/>
        <v>8</v>
      </c>
      <c r="B10" s="1" t="s">
        <v>177</v>
      </c>
      <c r="C10" s="1" t="s">
        <v>182</v>
      </c>
      <c r="D10" s="1" t="s">
        <v>885</v>
      </c>
      <c r="E10" s="2" t="s">
        <v>4</v>
      </c>
      <c r="F10" s="2" t="s">
        <v>6</v>
      </c>
      <c r="G10" s="24" t="s">
        <v>888</v>
      </c>
      <c r="H10" s="24" t="s">
        <v>825</v>
      </c>
      <c r="I10" s="24" t="s">
        <v>894</v>
      </c>
      <c r="J10" s="43">
        <v>0</v>
      </c>
      <c r="K10" s="24" t="s">
        <v>634</v>
      </c>
      <c r="L10" s="24" t="s">
        <v>717</v>
      </c>
      <c r="M10" s="24"/>
      <c r="N10" s="24">
        <v>1007</v>
      </c>
      <c r="O10" s="24" t="s">
        <v>10</v>
      </c>
      <c r="P10" s="40">
        <v>40</v>
      </c>
      <c r="Q10" s="28" t="s">
        <v>814</v>
      </c>
      <c r="R10" s="26">
        <v>1800</v>
      </c>
      <c r="S10" s="26"/>
      <c r="T10" s="21">
        <f>VLOOKUP(N10,('Master File'!$I$3:$I$220),1,FALSE)</f>
        <v>1007</v>
      </c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1"/>
      <c r="CF10" s="21"/>
      <c r="CG10" s="21"/>
      <c r="CH10" s="21"/>
      <c r="CI10" s="21"/>
      <c r="CJ10" s="21"/>
      <c r="CK10" s="21"/>
      <c r="CL10" s="21"/>
      <c r="CM10" s="21"/>
    </row>
    <row r="11" spans="1:91" x14ac:dyDescent="0.25">
      <c r="A11" s="1">
        <f t="shared" si="0"/>
        <v>9</v>
      </c>
      <c r="B11" s="1" t="s">
        <v>178</v>
      </c>
      <c r="C11" s="1" t="s">
        <v>182</v>
      </c>
      <c r="D11" s="1" t="s">
        <v>885</v>
      </c>
      <c r="E11" s="2" t="s">
        <v>4</v>
      </c>
      <c r="F11" s="2" t="s">
        <v>6</v>
      </c>
      <c r="G11" s="24" t="s">
        <v>888</v>
      </c>
      <c r="H11" s="24" t="s">
        <v>825</v>
      </c>
      <c r="I11" s="24" t="s">
        <v>894</v>
      </c>
      <c r="J11" s="43">
        <v>0</v>
      </c>
      <c r="K11" s="24" t="s">
        <v>635</v>
      </c>
      <c r="L11" s="24" t="s">
        <v>718</v>
      </c>
      <c r="M11" s="24"/>
      <c r="N11" s="24">
        <v>1008</v>
      </c>
      <c r="O11" s="24" t="s">
        <v>11</v>
      </c>
      <c r="P11" s="40">
        <v>25</v>
      </c>
      <c r="Q11" s="28" t="s">
        <v>814</v>
      </c>
      <c r="R11" s="26">
        <v>3200</v>
      </c>
      <c r="S11" s="26"/>
      <c r="T11" s="21">
        <f>VLOOKUP(N11,('Master File'!$I$3:$I$220),1,FALSE)</f>
        <v>1008</v>
      </c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1"/>
      <c r="CF11" s="21"/>
      <c r="CG11" s="21"/>
      <c r="CH11" s="21"/>
      <c r="CI11" s="21"/>
      <c r="CJ11" s="21"/>
      <c r="CK11" s="21"/>
      <c r="CL11" s="21"/>
      <c r="CM11" s="21"/>
    </row>
    <row r="12" spans="1:91" x14ac:dyDescent="0.25">
      <c r="A12" s="1">
        <f t="shared" si="0"/>
        <v>10</v>
      </c>
      <c r="B12" s="1" t="s">
        <v>179</v>
      </c>
      <c r="C12" s="1" t="s">
        <v>182</v>
      </c>
      <c r="D12" s="1" t="s">
        <v>885</v>
      </c>
      <c r="E12" s="2" t="s">
        <v>4</v>
      </c>
      <c r="F12" s="2" t="s">
        <v>6</v>
      </c>
      <c r="G12" s="24" t="s">
        <v>888</v>
      </c>
      <c r="H12" s="24" t="s">
        <v>826</v>
      </c>
      <c r="I12" s="24" t="s">
        <v>893</v>
      </c>
      <c r="J12" s="43">
        <v>2</v>
      </c>
      <c r="K12" s="24" t="s">
        <v>636</v>
      </c>
      <c r="L12" s="24" t="s">
        <v>719</v>
      </c>
      <c r="M12" s="24"/>
      <c r="N12" s="24">
        <v>1009</v>
      </c>
      <c r="O12" s="24" t="s">
        <v>12</v>
      </c>
      <c r="P12" s="40">
        <v>120</v>
      </c>
      <c r="Q12" s="28" t="s">
        <v>814</v>
      </c>
      <c r="R12" s="26">
        <v>225</v>
      </c>
      <c r="S12" s="26"/>
      <c r="T12" s="21">
        <f>VLOOKUP(N12,('Master File'!$I$3:$I$220),1,FALSE)</f>
        <v>1009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1"/>
      <c r="CF12" s="21"/>
      <c r="CG12" s="21"/>
      <c r="CH12" s="21"/>
      <c r="CI12" s="21"/>
      <c r="CJ12" s="21"/>
      <c r="CK12" s="21"/>
      <c r="CL12" s="21"/>
      <c r="CM12" s="21"/>
    </row>
    <row r="13" spans="1:91" x14ac:dyDescent="0.25">
      <c r="A13" s="1">
        <f t="shared" si="0"/>
        <v>11</v>
      </c>
      <c r="B13" s="1" t="s">
        <v>180</v>
      </c>
      <c r="C13" s="1" t="s">
        <v>182</v>
      </c>
      <c r="D13" s="1" t="s">
        <v>885</v>
      </c>
      <c r="E13" s="2" t="s">
        <v>13</v>
      </c>
      <c r="F13" s="2" t="s">
        <v>6</v>
      </c>
      <c r="G13" s="24" t="s">
        <v>888</v>
      </c>
      <c r="H13" s="24" t="s">
        <v>819</v>
      </c>
      <c r="I13" s="24" t="s">
        <v>890</v>
      </c>
      <c r="J13" s="43">
        <v>0</v>
      </c>
      <c r="K13" s="24" t="s">
        <v>637</v>
      </c>
      <c r="L13" s="24" t="s">
        <v>720</v>
      </c>
      <c r="M13" s="24"/>
      <c r="N13" s="24">
        <v>1010</v>
      </c>
      <c r="O13" s="24" t="s">
        <v>14</v>
      </c>
      <c r="P13" s="40">
        <v>100</v>
      </c>
      <c r="Q13" s="28" t="s">
        <v>814</v>
      </c>
      <c r="R13" s="26">
        <v>580</v>
      </c>
      <c r="S13" s="26">
        <v>4</v>
      </c>
      <c r="T13" s="21">
        <f>VLOOKUP(N13,('Master File'!$I$3:$I$220),1,FALSE)</f>
        <v>1010</v>
      </c>
      <c r="U13" s="21"/>
      <c r="V13" s="21"/>
      <c r="W13" s="21">
        <v>1600</v>
      </c>
      <c r="X13" s="21">
        <v>24000</v>
      </c>
      <c r="Y13" s="21"/>
      <c r="Z13" s="21"/>
      <c r="AA13" s="21">
        <v>4000</v>
      </c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>
        <v>360</v>
      </c>
      <c r="BK13" s="21"/>
      <c r="BL13" s="21">
        <v>12000</v>
      </c>
      <c r="BM13" s="21"/>
      <c r="BN13" s="23">
        <v>800</v>
      </c>
      <c r="BO13" s="23"/>
      <c r="BP13" s="23"/>
      <c r="BQ13" s="23"/>
      <c r="BR13" s="23"/>
      <c r="BS13" s="23"/>
      <c r="BT13" s="23">
        <v>960</v>
      </c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1">
        <v>1600</v>
      </c>
      <c r="CF13" s="21">
        <v>360</v>
      </c>
      <c r="CG13" s="21">
        <v>400</v>
      </c>
      <c r="CH13" s="21">
        <v>160</v>
      </c>
      <c r="CI13" s="21">
        <v>80</v>
      </c>
      <c r="CJ13" s="21">
        <v>80</v>
      </c>
      <c r="CK13" s="21">
        <v>80</v>
      </c>
      <c r="CL13" s="21"/>
      <c r="CM13" s="21"/>
    </row>
    <row r="14" spans="1:91" x14ac:dyDescent="0.25">
      <c r="A14" s="1">
        <f t="shared" si="0"/>
        <v>12</v>
      </c>
      <c r="B14" s="1" t="s">
        <v>181</v>
      </c>
      <c r="C14" s="1" t="s">
        <v>182</v>
      </c>
      <c r="D14" s="1" t="s">
        <v>885</v>
      </c>
      <c r="E14" s="2" t="s">
        <v>13</v>
      </c>
      <c r="F14" s="2" t="s">
        <v>6</v>
      </c>
      <c r="G14" s="24" t="s">
        <v>888</v>
      </c>
      <c r="H14" s="24" t="s">
        <v>819</v>
      </c>
      <c r="I14" s="24" t="s">
        <v>890</v>
      </c>
      <c r="J14" s="43">
        <v>0</v>
      </c>
      <c r="K14" s="24" t="s">
        <v>638</v>
      </c>
      <c r="L14" s="24" t="s">
        <v>721</v>
      </c>
      <c r="M14" s="24"/>
      <c r="N14" s="24">
        <v>1011</v>
      </c>
      <c r="O14" s="24" t="s">
        <v>15</v>
      </c>
      <c r="P14" s="40">
        <v>100</v>
      </c>
      <c r="Q14" s="28" t="s">
        <v>814</v>
      </c>
      <c r="R14" s="26">
        <v>580</v>
      </c>
      <c r="S14" s="26">
        <v>4</v>
      </c>
      <c r="T14" s="21">
        <f>VLOOKUP(N14,('Master File'!$I$3:$I$220),1,FALSE)</f>
        <v>1011</v>
      </c>
      <c r="U14" s="21"/>
      <c r="V14" s="21"/>
      <c r="W14" s="21">
        <v>1600</v>
      </c>
      <c r="X14" s="21">
        <v>24000</v>
      </c>
      <c r="Y14" s="21"/>
      <c r="Z14" s="21"/>
      <c r="AA14" s="21">
        <v>4000</v>
      </c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>
        <v>360</v>
      </c>
      <c r="BK14" s="21"/>
      <c r="BL14" s="21">
        <v>12000</v>
      </c>
      <c r="BM14" s="21"/>
      <c r="BN14" s="23">
        <v>800</v>
      </c>
      <c r="BO14" s="23"/>
      <c r="BP14" s="23"/>
      <c r="BQ14" s="23"/>
      <c r="BR14" s="23"/>
      <c r="BS14" s="23"/>
      <c r="BT14" s="23">
        <v>960</v>
      </c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1">
        <v>1600</v>
      </c>
      <c r="CF14" s="21">
        <v>360</v>
      </c>
      <c r="CG14" s="21">
        <v>400</v>
      </c>
      <c r="CH14" s="21">
        <v>160</v>
      </c>
      <c r="CI14" s="21">
        <v>80</v>
      </c>
      <c r="CJ14" s="21">
        <v>80</v>
      </c>
      <c r="CK14" s="21">
        <v>80</v>
      </c>
      <c r="CL14" s="21"/>
      <c r="CM14" s="21"/>
    </row>
    <row r="15" spans="1:91" x14ac:dyDescent="0.25">
      <c r="A15" s="1">
        <f t="shared" si="0"/>
        <v>13</v>
      </c>
      <c r="B15" s="1" t="s">
        <v>183</v>
      </c>
      <c r="C15" s="1" t="s">
        <v>182</v>
      </c>
      <c r="D15" s="1" t="s">
        <v>885</v>
      </c>
      <c r="E15" s="2" t="s">
        <v>13</v>
      </c>
      <c r="F15" s="2" t="s">
        <v>6</v>
      </c>
      <c r="G15" s="24" t="s">
        <v>888</v>
      </c>
      <c r="H15" s="24" t="s">
        <v>819</v>
      </c>
      <c r="I15" s="24" t="s">
        <v>890</v>
      </c>
      <c r="J15" s="43">
        <v>0</v>
      </c>
      <c r="K15" s="24" t="s">
        <v>639</v>
      </c>
      <c r="L15" s="24" t="s">
        <v>626</v>
      </c>
      <c r="M15" s="24"/>
      <c r="N15" s="24">
        <v>1012</v>
      </c>
      <c r="O15" s="24" t="s">
        <v>18</v>
      </c>
      <c r="P15" s="40">
        <v>25</v>
      </c>
      <c r="Q15" s="28" t="s">
        <v>814</v>
      </c>
      <c r="R15" s="26">
        <v>3100</v>
      </c>
      <c r="S15" s="26">
        <v>8</v>
      </c>
      <c r="T15" s="21">
        <f>VLOOKUP(N15,('Master File'!$I$3:$I$220),1,FALSE)</f>
        <v>1012</v>
      </c>
      <c r="U15" s="21"/>
      <c r="V15" s="21"/>
      <c r="W15" s="21">
        <v>1600</v>
      </c>
      <c r="X15" s="21">
        <v>24000</v>
      </c>
      <c r="Y15" s="21"/>
      <c r="Z15" s="21"/>
      <c r="AA15" s="21">
        <v>4000</v>
      </c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>
        <v>360</v>
      </c>
      <c r="BK15" s="21"/>
      <c r="BL15" s="21">
        <v>12000</v>
      </c>
      <c r="BM15" s="21"/>
      <c r="BN15" s="23">
        <v>800</v>
      </c>
      <c r="BO15" s="23"/>
      <c r="BP15" s="23"/>
      <c r="BQ15" s="23"/>
      <c r="BR15" s="23"/>
      <c r="BS15" s="23"/>
      <c r="BT15" s="23">
        <v>960</v>
      </c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1">
        <v>1600</v>
      </c>
      <c r="CF15" s="21">
        <v>360</v>
      </c>
      <c r="CG15" s="21">
        <v>400</v>
      </c>
      <c r="CH15" s="21">
        <v>160</v>
      </c>
      <c r="CI15" s="21">
        <v>80</v>
      </c>
      <c r="CJ15" s="21">
        <v>80</v>
      </c>
      <c r="CK15" s="21">
        <v>80</v>
      </c>
      <c r="CL15" s="21"/>
      <c r="CM15" s="21"/>
    </row>
    <row r="16" spans="1:91" x14ac:dyDescent="0.25">
      <c r="A16" s="1">
        <f t="shared" si="0"/>
        <v>14</v>
      </c>
      <c r="B16" s="1" t="s">
        <v>184</v>
      </c>
      <c r="C16" s="1" t="s">
        <v>182</v>
      </c>
      <c r="D16" s="1" t="s">
        <v>885</v>
      </c>
      <c r="E16" s="2" t="s">
        <v>13</v>
      </c>
      <c r="F16" s="2" t="s">
        <v>6</v>
      </c>
      <c r="G16" s="24" t="s">
        <v>939</v>
      </c>
      <c r="H16" s="24" t="s">
        <v>819</v>
      </c>
      <c r="I16" s="24" t="s">
        <v>890</v>
      </c>
      <c r="J16" s="43">
        <v>0</v>
      </c>
      <c r="K16" s="24" t="s">
        <v>640</v>
      </c>
      <c r="L16" s="24" t="s">
        <v>722</v>
      </c>
      <c r="M16" s="24"/>
      <c r="N16" s="24">
        <v>1013</v>
      </c>
      <c r="O16" s="24" t="s">
        <v>19</v>
      </c>
      <c r="P16" s="40">
        <v>25</v>
      </c>
      <c r="Q16" s="28" t="s">
        <v>814</v>
      </c>
      <c r="R16" s="26">
        <v>3100</v>
      </c>
      <c r="S16" s="26">
        <v>8</v>
      </c>
      <c r="T16" s="21">
        <f>VLOOKUP(N16,('Master File'!$I$3:$I$220),1,FALSE)</f>
        <v>1013</v>
      </c>
      <c r="U16" s="21"/>
      <c r="V16" s="21"/>
      <c r="W16" s="21">
        <v>1600</v>
      </c>
      <c r="X16" s="21">
        <v>24000</v>
      </c>
      <c r="Y16" s="21"/>
      <c r="Z16" s="21"/>
      <c r="AA16" s="21">
        <v>4000</v>
      </c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>
        <v>360</v>
      </c>
      <c r="BK16" s="21"/>
      <c r="BL16" s="21">
        <v>12000</v>
      </c>
      <c r="BM16" s="21"/>
      <c r="BN16" s="23">
        <v>800</v>
      </c>
      <c r="BO16" s="23"/>
      <c r="BP16" s="23"/>
      <c r="BQ16" s="23"/>
      <c r="BR16" s="23"/>
      <c r="BS16" s="23"/>
      <c r="BT16" s="23">
        <v>960</v>
      </c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1">
        <v>1600</v>
      </c>
      <c r="CF16" s="21">
        <v>360</v>
      </c>
      <c r="CG16" s="21">
        <v>400</v>
      </c>
      <c r="CH16" s="21">
        <v>160</v>
      </c>
      <c r="CI16" s="21">
        <v>80</v>
      </c>
      <c r="CJ16" s="21">
        <v>80</v>
      </c>
      <c r="CK16" s="21">
        <v>80</v>
      </c>
      <c r="CL16" s="21"/>
      <c r="CM16" s="21"/>
    </row>
    <row r="17" spans="1:91" x14ac:dyDescent="0.25">
      <c r="A17" s="1">
        <f t="shared" si="0"/>
        <v>15</v>
      </c>
      <c r="B17" s="1" t="s">
        <v>185</v>
      </c>
      <c r="C17" s="1" t="s">
        <v>182</v>
      </c>
      <c r="D17" s="1" t="s">
        <v>885</v>
      </c>
      <c r="E17" s="2" t="s">
        <v>13</v>
      </c>
      <c r="F17" s="2" t="s">
        <v>6</v>
      </c>
      <c r="G17" s="24" t="s">
        <v>888</v>
      </c>
      <c r="H17" s="24" t="s">
        <v>819</v>
      </c>
      <c r="I17" s="24" t="s">
        <v>890</v>
      </c>
      <c r="J17" s="43">
        <v>0</v>
      </c>
      <c r="K17" s="24" t="s">
        <v>641</v>
      </c>
      <c r="L17" s="24" t="s">
        <v>723</v>
      </c>
      <c r="M17" s="24"/>
      <c r="N17" s="24">
        <v>1014</v>
      </c>
      <c r="O17" s="24" t="s">
        <v>20</v>
      </c>
      <c r="P17" s="40">
        <v>35</v>
      </c>
      <c r="Q17" s="28" t="s">
        <v>809</v>
      </c>
      <c r="R17" s="26">
        <v>0</v>
      </c>
      <c r="S17" s="26"/>
      <c r="T17" s="21" t="e">
        <f>VLOOKUP(N17,('Master File'!$I$3:$I$220),1,FALSE)</f>
        <v>#N/A</v>
      </c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1"/>
      <c r="CF17" s="21"/>
      <c r="CG17" s="21"/>
      <c r="CH17" s="21"/>
      <c r="CI17" s="21"/>
      <c r="CJ17" s="21"/>
      <c r="CK17" s="21"/>
      <c r="CL17" s="21"/>
      <c r="CM17" s="21"/>
    </row>
    <row r="18" spans="1:91" x14ac:dyDescent="0.25">
      <c r="A18" s="1">
        <f t="shared" si="0"/>
        <v>16</v>
      </c>
      <c r="B18" s="1" t="s">
        <v>186</v>
      </c>
      <c r="C18" s="1" t="s">
        <v>182</v>
      </c>
      <c r="D18" s="1" t="s">
        <v>885</v>
      </c>
      <c r="E18" s="2" t="s">
        <v>13</v>
      </c>
      <c r="F18" s="2" t="s">
        <v>6</v>
      </c>
      <c r="G18" s="24" t="s">
        <v>888</v>
      </c>
      <c r="H18" s="24" t="s">
        <v>819</v>
      </c>
      <c r="I18" s="24" t="s">
        <v>890</v>
      </c>
      <c r="J18" s="43">
        <v>0</v>
      </c>
      <c r="K18" s="24" t="s">
        <v>642</v>
      </c>
      <c r="L18" s="24" t="s">
        <v>724</v>
      </c>
      <c r="M18" s="24"/>
      <c r="N18" s="24">
        <v>1015</v>
      </c>
      <c r="O18" s="24" t="s">
        <v>21</v>
      </c>
      <c r="P18" s="40">
        <v>40</v>
      </c>
      <c r="Q18" s="28" t="s">
        <v>814</v>
      </c>
      <c r="R18" s="26">
        <v>1650</v>
      </c>
      <c r="S18" s="26">
        <v>8</v>
      </c>
      <c r="T18" s="21">
        <f>VLOOKUP(N18,('Master File'!$I$3:$I$220),1,FALSE)</f>
        <v>1015</v>
      </c>
      <c r="U18" s="21"/>
      <c r="V18" s="21"/>
      <c r="W18" s="21">
        <v>1600</v>
      </c>
      <c r="X18" s="21">
        <v>24000</v>
      </c>
      <c r="Y18" s="21"/>
      <c r="Z18" s="21"/>
      <c r="AA18" s="21">
        <v>4000</v>
      </c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>
        <v>360</v>
      </c>
      <c r="BK18" s="21"/>
      <c r="BL18" s="21">
        <v>12000</v>
      </c>
      <c r="BM18" s="21"/>
      <c r="BN18" s="23">
        <v>800</v>
      </c>
      <c r="BO18" s="23"/>
      <c r="BP18" s="23"/>
      <c r="BQ18" s="23"/>
      <c r="BR18" s="23"/>
      <c r="BS18" s="23"/>
      <c r="BT18" s="23">
        <v>960</v>
      </c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1">
        <v>1600</v>
      </c>
      <c r="CF18" s="21">
        <v>360</v>
      </c>
      <c r="CG18" s="21">
        <v>400</v>
      </c>
      <c r="CH18" s="21">
        <v>160</v>
      </c>
      <c r="CI18" s="21">
        <v>80</v>
      </c>
      <c r="CJ18" s="21">
        <v>80</v>
      </c>
      <c r="CK18" s="21">
        <v>80</v>
      </c>
      <c r="CL18" s="21"/>
      <c r="CM18" s="21"/>
    </row>
    <row r="19" spans="1:91" x14ac:dyDescent="0.25">
      <c r="A19" s="1">
        <f t="shared" si="0"/>
        <v>17</v>
      </c>
      <c r="B19" s="1" t="s">
        <v>187</v>
      </c>
      <c r="C19" s="1" t="s">
        <v>182</v>
      </c>
      <c r="D19" s="1" t="s">
        <v>885</v>
      </c>
      <c r="E19" s="2" t="s">
        <v>13</v>
      </c>
      <c r="F19" s="2" t="s">
        <v>6</v>
      </c>
      <c r="G19" s="24" t="s">
        <v>888</v>
      </c>
      <c r="H19" s="24" t="s">
        <v>819</v>
      </c>
      <c r="I19" s="24" t="s">
        <v>891</v>
      </c>
      <c r="J19" s="43">
        <v>1</v>
      </c>
      <c r="K19" s="24" t="s">
        <v>643</v>
      </c>
      <c r="L19" s="24" t="s">
        <v>725</v>
      </c>
      <c r="M19" s="24"/>
      <c r="N19" s="24">
        <v>1016</v>
      </c>
      <c r="O19" s="24" t="s">
        <v>22</v>
      </c>
      <c r="P19" s="40">
        <v>140</v>
      </c>
      <c r="Q19" s="28" t="s">
        <v>814</v>
      </c>
      <c r="R19" s="26">
        <v>225</v>
      </c>
      <c r="S19" s="26">
        <v>3</v>
      </c>
      <c r="T19" s="21">
        <f>VLOOKUP(N19,('Master File'!$I$3:$I$220),1,FALSE)</f>
        <v>1016</v>
      </c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1"/>
      <c r="CF19" s="21"/>
      <c r="CG19" s="21"/>
      <c r="CH19" s="21"/>
      <c r="CI19" s="21"/>
      <c r="CJ19" s="21"/>
      <c r="CK19" s="21"/>
      <c r="CL19" s="21"/>
      <c r="CM19" s="21"/>
    </row>
    <row r="20" spans="1:91" x14ac:dyDescent="0.25">
      <c r="A20" s="1">
        <f t="shared" si="0"/>
        <v>18</v>
      </c>
      <c r="B20" s="1" t="s">
        <v>188</v>
      </c>
      <c r="C20" s="1" t="s">
        <v>182</v>
      </c>
      <c r="D20" s="1" t="s">
        <v>885</v>
      </c>
      <c r="E20" s="2" t="s">
        <v>23</v>
      </c>
      <c r="F20" s="2" t="s">
        <v>6</v>
      </c>
      <c r="G20" s="24" t="s">
        <v>888</v>
      </c>
      <c r="H20" s="24" t="s">
        <v>821</v>
      </c>
      <c r="I20" s="24" t="s">
        <v>896</v>
      </c>
      <c r="J20" s="43">
        <v>0</v>
      </c>
      <c r="K20" s="24" t="s">
        <v>644</v>
      </c>
      <c r="L20" s="24" t="s">
        <v>726</v>
      </c>
      <c r="M20" s="24"/>
      <c r="N20" s="24">
        <v>1017</v>
      </c>
      <c r="O20" s="25" t="s">
        <v>24</v>
      </c>
      <c r="P20" s="40">
        <v>100</v>
      </c>
      <c r="Q20" s="28" t="s">
        <v>814</v>
      </c>
      <c r="R20" s="26">
        <v>700</v>
      </c>
      <c r="S20" s="26"/>
      <c r="T20" s="21">
        <f>VLOOKUP(N20,('Master File'!$I$3:$I$220),1,FALSE)</f>
        <v>1017</v>
      </c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1"/>
      <c r="CF20" s="21"/>
      <c r="CG20" s="21"/>
      <c r="CH20" s="21"/>
      <c r="CI20" s="21"/>
      <c r="CJ20" s="21"/>
      <c r="CK20" s="21"/>
      <c r="CL20" s="21"/>
      <c r="CM20" s="21"/>
    </row>
    <row r="21" spans="1:91" x14ac:dyDescent="0.25">
      <c r="A21" s="1">
        <f t="shared" si="0"/>
        <v>19</v>
      </c>
      <c r="B21" s="1" t="s">
        <v>189</v>
      </c>
      <c r="C21" s="1" t="s">
        <v>182</v>
      </c>
      <c r="D21" s="1" t="s">
        <v>885</v>
      </c>
      <c r="E21" s="2" t="s">
        <v>23</v>
      </c>
      <c r="F21" s="2" t="s">
        <v>6</v>
      </c>
      <c r="G21" s="24" t="s">
        <v>888</v>
      </c>
      <c r="H21" s="24" t="s">
        <v>821</v>
      </c>
      <c r="I21" s="24" t="s">
        <v>896</v>
      </c>
      <c r="J21" s="43">
        <v>0</v>
      </c>
      <c r="K21" s="24" t="s">
        <v>645</v>
      </c>
      <c r="L21" s="24" t="s">
        <v>727</v>
      </c>
      <c r="M21" s="24"/>
      <c r="N21" s="24">
        <v>1018</v>
      </c>
      <c r="O21" s="25" t="s">
        <v>25</v>
      </c>
      <c r="P21" s="40">
        <v>25</v>
      </c>
      <c r="Q21" s="28" t="s">
        <v>814</v>
      </c>
      <c r="R21" s="26">
        <v>3000</v>
      </c>
      <c r="S21" s="26"/>
      <c r="T21" s="21">
        <f>VLOOKUP(N21,('Master File'!$I$3:$I$220),1,FALSE)</f>
        <v>1018</v>
      </c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1"/>
      <c r="CF21" s="21"/>
      <c r="CG21" s="21"/>
      <c r="CH21" s="21"/>
      <c r="CI21" s="21"/>
      <c r="CJ21" s="21"/>
      <c r="CK21" s="21"/>
      <c r="CL21" s="21"/>
      <c r="CM21" s="21"/>
    </row>
    <row r="22" spans="1:91" x14ac:dyDescent="0.25">
      <c r="A22" s="1">
        <f t="shared" si="0"/>
        <v>20</v>
      </c>
      <c r="B22" s="1" t="s">
        <v>190</v>
      </c>
      <c r="C22" s="1" t="s">
        <v>182</v>
      </c>
      <c r="D22" s="1" t="s">
        <v>885</v>
      </c>
      <c r="E22" s="2" t="s">
        <v>23</v>
      </c>
      <c r="F22" s="2" t="s">
        <v>6</v>
      </c>
      <c r="G22" s="24" t="s">
        <v>888</v>
      </c>
      <c r="H22" s="24" t="s">
        <v>821</v>
      </c>
      <c r="I22" s="24" t="s">
        <v>896</v>
      </c>
      <c r="J22" s="43">
        <v>0</v>
      </c>
      <c r="K22" s="24" t="s">
        <v>646</v>
      </c>
      <c r="L22" s="24" t="s">
        <v>728</v>
      </c>
      <c r="M22" s="24"/>
      <c r="N22" s="24">
        <v>1019</v>
      </c>
      <c r="O22" s="25" t="s">
        <v>26</v>
      </c>
      <c r="P22" s="40">
        <v>40</v>
      </c>
      <c r="Q22" s="28" t="s">
        <v>814</v>
      </c>
      <c r="R22" s="26">
        <v>1600</v>
      </c>
      <c r="S22" s="26"/>
      <c r="T22" s="21">
        <f>VLOOKUP(N22,('Master File'!$I$3:$I$220),1,FALSE)</f>
        <v>1019</v>
      </c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1"/>
      <c r="CF22" s="21"/>
      <c r="CG22" s="21"/>
      <c r="CH22" s="21"/>
      <c r="CI22" s="21"/>
      <c r="CJ22" s="21"/>
      <c r="CK22" s="21"/>
      <c r="CL22" s="21"/>
      <c r="CM22" s="21"/>
    </row>
    <row r="23" spans="1:91" x14ac:dyDescent="0.25">
      <c r="A23" s="1">
        <f t="shared" si="0"/>
        <v>21</v>
      </c>
      <c r="B23" s="1" t="s">
        <v>191</v>
      </c>
      <c r="C23" s="1" t="s">
        <v>182</v>
      </c>
      <c r="D23" s="1" t="s">
        <v>885</v>
      </c>
      <c r="E23" s="2" t="s">
        <v>23</v>
      </c>
      <c r="F23" s="2" t="s">
        <v>6</v>
      </c>
      <c r="G23" s="24" t="s">
        <v>888</v>
      </c>
      <c r="H23" s="24" t="s">
        <v>821</v>
      </c>
      <c r="I23" s="24" t="s">
        <v>897</v>
      </c>
      <c r="J23" s="43">
        <v>1</v>
      </c>
      <c r="K23" s="24" t="s">
        <v>647</v>
      </c>
      <c r="L23" s="24" t="s">
        <v>729</v>
      </c>
      <c r="M23" s="24"/>
      <c r="N23" s="24">
        <v>1020</v>
      </c>
      <c r="O23" s="25" t="s">
        <v>27</v>
      </c>
      <c r="P23" s="40">
        <v>120</v>
      </c>
      <c r="Q23" s="28" t="s">
        <v>814</v>
      </c>
      <c r="R23" s="26">
        <v>250</v>
      </c>
      <c r="S23" s="26"/>
      <c r="T23" s="21">
        <f>VLOOKUP(N23,('Master File'!$I$3:$I$220),1,FALSE)</f>
        <v>1020</v>
      </c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1"/>
      <c r="CF23" s="21"/>
      <c r="CG23" s="21"/>
      <c r="CH23" s="21"/>
      <c r="CI23" s="21"/>
      <c r="CJ23" s="21"/>
      <c r="CK23" s="21"/>
      <c r="CL23" s="21"/>
      <c r="CM23" s="21"/>
    </row>
    <row r="24" spans="1:91" x14ac:dyDescent="0.25">
      <c r="A24" s="1">
        <f t="shared" si="0"/>
        <v>22</v>
      </c>
      <c r="B24" s="1" t="s">
        <v>192</v>
      </c>
      <c r="C24" s="1" t="s">
        <v>182</v>
      </c>
      <c r="D24" s="1" t="s">
        <v>885</v>
      </c>
      <c r="E24" s="2" t="s">
        <v>23</v>
      </c>
      <c r="F24" s="2" t="s">
        <v>6</v>
      </c>
      <c r="G24" s="24" t="s">
        <v>888</v>
      </c>
      <c r="H24" s="24" t="s">
        <v>821</v>
      </c>
      <c r="I24" s="24" t="s">
        <v>896</v>
      </c>
      <c r="J24" s="43">
        <v>0</v>
      </c>
      <c r="K24" s="24" t="s">
        <v>648</v>
      </c>
      <c r="L24" s="24" t="s">
        <v>730</v>
      </c>
      <c r="M24" s="24"/>
      <c r="N24" s="24">
        <v>1021</v>
      </c>
      <c r="O24" s="25" t="s">
        <v>28</v>
      </c>
      <c r="P24" s="40">
        <v>75</v>
      </c>
      <c r="Q24" s="28" t="s">
        <v>814</v>
      </c>
      <c r="R24" s="26">
        <v>1000</v>
      </c>
      <c r="S24" s="26"/>
      <c r="T24" s="21">
        <f>VLOOKUP(N24,('Master File'!$I$3:$I$220),1,FALSE)</f>
        <v>1021</v>
      </c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1"/>
      <c r="CF24" s="21"/>
      <c r="CG24" s="21"/>
      <c r="CH24" s="21"/>
      <c r="CI24" s="21"/>
      <c r="CJ24" s="21"/>
      <c r="CK24" s="21"/>
      <c r="CL24" s="21"/>
      <c r="CM24" s="21"/>
    </row>
    <row r="25" spans="1:91" x14ac:dyDescent="0.25">
      <c r="A25" s="1">
        <f t="shared" si="0"/>
        <v>23</v>
      </c>
      <c r="B25" s="1" t="s">
        <v>193</v>
      </c>
      <c r="C25" s="1" t="s">
        <v>182</v>
      </c>
      <c r="D25" s="1" t="s">
        <v>885</v>
      </c>
      <c r="E25" s="2" t="s">
        <v>23</v>
      </c>
      <c r="F25" s="2" t="s">
        <v>6</v>
      </c>
      <c r="G25" s="24" t="s">
        <v>888</v>
      </c>
      <c r="H25" s="24" t="s">
        <v>821</v>
      </c>
      <c r="I25" s="24" t="s">
        <v>896</v>
      </c>
      <c r="J25" s="43">
        <v>0</v>
      </c>
      <c r="K25" s="24" t="s">
        <v>649</v>
      </c>
      <c r="L25" s="24" t="s">
        <v>731</v>
      </c>
      <c r="M25" s="24"/>
      <c r="N25" s="24">
        <v>1022</v>
      </c>
      <c r="O25" s="25" t="s">
        <v>29</v>
      </c>
      <c r="P25" s="40">
        <v>100</v>
      </c>
      <c r="Q25" s="28" t="s">
        <v>809</v>
      </c>
      <c r="R25" s="26">
        <v>700</v>
      </c>
      <c r="S25" s="26"/>
      <c r="T25" s="21" t="e">
        <f>VLOOKUP(N25,('Master File'!$I$3:$I$220),1,FALSE)</f>
        <v>#N/A</v>
      </c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1"/>
      <c r="CF25" s="21"/>
      <c r="CG25" s="21"/>
      <c r="CH25" s="21"/>
      <c r="CI25" s="21"/>
      <c r="CJ25" s="21"/>
      <c r="CK25" s="21"/>
      <c r="CL25" s="21"/>
      <c r="CM25" s="21"/>
    </row>
    <row r="26" spans="1:91" x14ac:dyDescent="0.25">
      <c r="A26" s="1">
        <f t="shared" si="0"/>
        <v>24</v>
      </c>
      <c r="B26" s="1" t="s">
        <v>194</v>
      </c>
      <c r="C26" s="1" t="s">
        <v>182</v>
      </c>
      <c r="D26" s="1" t="s">
        <v>885</v>
      </c>
      <c r="E26" s="2" t="s">
        <v>30</v>
      </c>
      <c r="F26" s="2" t="s">
        <v>6</v>
      </c>
      <c r="G26" s="24" t="s">
        <v>888</v>
      </c>
      <c r="H26" s="24" t="s">
        <v>822</v>
      </c>
      <c r="I26" s="24" t="s">
        <v>898</v>
      </c>
      <c r="J26" s="43">
        <v>0</v>
      </c>
      <c r="K26" s="24" t="s">
        <v>650</v>
      </c>
      <c r="L26" s="24" t="s">
        <v>732</v>
      </c>
      <c r="M26" s="24"/>
      <c r="N26" s="24">
        <v>1023</v>
      </c>
      <c r="O26" s="24" t="s">
        <v>31</v>
      </c>
      <c r="P26" s="40">
        <v>50</v>
      </c>
      <c r="Q26" s="28" t="s">
        <v>814</v>
      </c>
      <c r="R26" s="26">
        <v>600</v>
      </c>
      <c r="S26" s="26"/>
      <c r="T26" s="21">
        <f>VLOOKUP(N26,('Master File'!$I$3:$I$220),1,FALSE)</f>
        <v>1023</v>
      </c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1"/>
      <c r="CF26" s="21"/>
      <c r="CG26" s="21"/>
      <c r="CH26" s="21"/>
      <c r="CI26" s="21"/>
      <c r="CJ26" s="21"/>
      <c r="CK26" s="21"/>
      <c r="CL26" s="21"/>
      <c r="CM26" s="21"/>
    </row>
    <row r="27" spans="1:91" x14ac:dyDescent="0.25">
      <c r="A27" s="1">
        <f t="shared" si="0"/>
        <v>25</v>
      </c>
      <c r="B27" s="1" t="s">
        <v>195</v>
      </c>
      <c r="C27" s="1" t="s">
        <v>182</v>
      </c>
      <c r="D27" s="1" t="s">
        <v>885</v>
      </c>
      <c r="E27" s="2" t="s">
        <v>32</v>
      </c>
      <c r="F27" s="2" t="s">
        <v>6</v>
      </c>
      <c r="G27" s="24" t="s">
        <v>888</v>
      </c>
      <c r="H27" s="24" t="s">
        <v>820</v>
      </c>
      <c r="I27" s="24"/>
      <c r="J27" s="43">
        <v>0</v>
      </c>
      <c r="K27" s="24" t="s">
        <v>651</v>
      </c>
      <c r="L27" s="24" t="s">
        <v>651</v>
      </c>
      <c r="M27" s="24"/>
      <c r="N27" s="24">
        <v>1024</v>
      </c>
      <c r="O27" s="25" t="s">
        <v>34</v>
      </c>
      <c r="P27" s="40">
        <v>25</v>
      </c>
      <c r="Q27" s="28" t="s">
        <v>809</v>
      </c>
      <c r="R27" s="26"/>
      <c r="S27" s="26"/>
      <c r="T27" s="21" t="e">
        <f>VLOOKUP(N27,('Master File'!$I$3:$I$220),1,FALSE)</f>
        <v>#N/A</v>
      </c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1"/>
      <c r="CF27" s="21"/>
      <c r="CG27" s="21"/>
      <c r="CH27" s="21"/>
      <c r="CI27" s="21"/>
      <c r="CJ27" s="21"/>
      <c r="CK27" s="21"/>
      <c r="CL27" s="21"/>
      <c r="CM27" s="21"/>
    </row>
    <row r="28" spans="1:91" x14ac:dyDescent="0.25">
      <c r="A28" s="1">
        <f t="shared" si="0"/>
        <v>26</v>
      </c>
      <c r="B28" s="1" t="s">
        <v>196</v>
      </c>
      <c r="C28" s="1" t="s">
        <v>182</v>
      </c>
      <c r="D28" s="1" t="s">
        <v>885</v>
      </c>
      <c r="E28" s="2" t="s">
        <v>32</v>
      </c>
      <c r="F28" s="2" t="s">
        <v>6</v>
      </c>
      <c r="G28" s="24" t="s">
        <v>888</v>
      </c>
      <c r="H28" s="24" t="s">
        <v>820</v>
      </c>
      <c r="I28" s="24" t="s">
        <v>892</v>
      </c>
      <c r="J28" s="43">
        <v>0</v>
      </c>
      <c r="K28" s="24" t="s">
        <v>652</v>
      </c>
      <c r="L28" s="24" t="s">
        <v>733</v>
      </c>
      <c r="M28" s="24"/>
      <c r="N28" s="24">
        <v>1025</v>
      </c>
      <c r="O28" s="25" t="s">
        <v>35</v>
      </c>
      <c r="P28" s="40">
        <v>85</v>
      </c>
      <c r="Q28" s="28" t="s">
        <v>814</v>
      </c>
      <c r="R28" s="26">
        <v>500</v>
      </c>
      <c r="S28" s="26"/>
      <c r="T28" s="21">
        <f>VLOOKUP(N28,('Master File'!$I$3:$I$220),1,FALSE)</f>
        <v>1025</v>
      </c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1"/>
      <c r="CF28" s="21"/>
      <c r="CG28" s="21"/>
      <c r="CH28" s="21"/>
      <c r="CI28" s="21"/>
      <c r="CJ28" s="21"/>
      <c r="CK28" s="21"/>
      <c r="CL28" s="21"/>
      <c r="CM28" s="21"/>
    </row>
    <row r="29" spans="1:91" x14ac:dyDescent="0.25">
      <c r="A29" s="1">
        <f t="shared" si="0"/>
        <v>27</v>
      </c>
      <c r="B29" s="1" t="s">
        <v>197</v>
      </c>
      <c r="C29" s="1" t="s">
        <v>182</v>
      </c>
      <c r="D29" s="1" t="s">
        <v>885</v>
      </c>
      <c r="E29" s="2" t="s">
        <v>32</v>
      </c>
      <c r="F29" s="2" t="s">
        <v>6</v>
      </c>
      <c r="G29" s="24" t="s">
        <v>888</v>
      </c>
      <c r="H29" s="24" t="s">
        <v>820</v>
      </c>
      <c r="I29" s="24" t="s">
        <v>892</v>
      </c>
      <c r="J29" s="43">
        <v>0</v>
      </c>
      <c r="K29" s="24" t="s">
        <v>653</v>
      </c>
      <c r="L29" s="24" t="s">
        <v>734</v>
      </c>
      <c r="M29" s="24"/>
      <c r="N29" s="24">
        <v>1026</v>
      </c>
      <c r="O29" s="25" t="s">
        <v>36</v>
      </c>
      <c r="P29" s="40">
        <v>50</v>
      </c>
      <c r="Q29" s="28" t="s">
        <v>814</v>
      </c>
      <c r="R29" s="26">
        <v>900</v>
      </c>
      <c r="S29" s="26"/>
      <c r="T29" s="21">
        <f>VLOOKUP(N29,('Master File'!$I$3:$I$220),1,FALSE)</f>
        <v>1026</v>
      </c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1"/>
      <c r="CF29" s="21"/>
      <c r="CG29" s="21"/>
      <c r="CH29" s="21"/>
      <c r="CI29" s="21"/>
      <c r="CJ29" s="21"/>
      <c r="CK29" s="21"/>
      <c r="CL29" s="21"/>
      <c r="CM29" s="21"/>
    </row>
    <row r="30" spans="1:91" x14ac:dyDescent="0.25">
      <c r="A30" s="1">
        <f>A29+1</f>
        <v>28</v>
      </c>
      <c r="B30" s="1" t="s">
        <v>198</v>
      </c>
      <c r="C30" s="1" t="s">
        <v>182</v>
      </c>
      <c r="D30" s="1" t="s">
        <v>885</v>
      </c>
      <c r="E30" s="2" t="s">
        <v>37</v>
      </c>
      <c r="F30" s="2" t="s">
        <v>6</v>
      </c>
      <c r="G30" s="24" t="s">
        <v>888</v>
      </c>
      <c r="H30" s="24" t="s">
        <v>823</v>
      </c>
      <c r="I30" s="24" t="s">
        <v>898</v>
      </c>
      <c r="J30" s="43"/>
      <c r="K30" s="24" t="s">
        <v>654</v>
      </c>
      <c r="L30" s="24" t="s">
        <v>735</v>
      </c>
      <c r="M30" s="24"/>
      <c r="N30" s="24">
        <v>1027</v>
      </c>
      <c r="O30" s="24" t="s">
        <v>936</v>
      </c>
      <c r="P30" s="40">
        <v>50</v>
      </c>
      <c r="Q30" s="28" t="s">
        <v>814</v>
      </c>
      <c r="R30" s="26">
        <v>750</v>
      </c>
      <c r="S30" s="26"/>
      <c r="T30" s="21">
        <f>VLOOKUP(N30,('Master File'!$I$3:$I$220),1,FALSE)</f>
        <v>1027</v>
      </c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1"/>
      <c r="CF30" s="21"/>
      <c r="CG30" s="21"/>
      <c r="CH30" s="21"/>
      <c r="CI30" s="21"/>
      <c r="CJ30" s="21"/>
      <c r="CK30" s="21"/>
      <c r="CL30" s="21"/>
      <c r="CM30" s="21"/>
    </row>
    <row r="31" spans="1:91" x14ac:dyDescent="0.25">
      <c r="A31" s="1">
        <f t="shared" si="0"/>
        <v>29</v>
      </c>
      <c r="B31" s="1" t="s">
        <v>199</v>
      </c>
      <c r="C31" s="1" t="s">
        <v>182</v>
      </c>
      <c r="D31" s="1" t="s">
        <v>885</v>
      </c>
      <c r="E31" s="2" t="s">
        <v>40</v>
      </c>
      <c r="F31" s="2" t="s">
        <v>6</v>
      </c>
      <c r="G31" s="24" t="s">
        <v>888</v>
      </c>
      <c r="H31" s="24" t="s">
        <v>824</v>
      </c>
      <c r="I31" s="24" t="s">
        <v>900</v>
      </c>
      <c r="J31" s="43"/>
      <c r="K31" s="24" t="s">
        <v>655</v>
      </c>
      <c r="L31" s="24" t="s">
        <v>736</v>
      </c>
      <c r="M31" s="24"/>
      <c r="N31" s="24">
        <v>1028</v>
      </c>
      <c r="O31" s="25" t="s">
        <v>41</v>
      </c>
      <c r="P31" s="40">
        <v>100</v>
      </c>
      <c r="Q31" s="28" t="s">
        <v>814</v>
      </c>
      <c r="R31" s="26">
        <v>450</v>
      </c>
      <c r="S31" s="26"/>
      <c r="T31" s="21">
        <f>VLOOKUP(N31,('Master File'!$I$3:$I$220),1,FALSE)</f>
        <v>1028</v>
      </c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1"/>
      <c r="CF31" s="21"/>
      <c r="CG31" s="21"/>
      <c r="CH31" s="21"/>
      <c r="CI31" s="21"/>
      <c r="CJ31" s="21"/>
      <c r="CK31" s="21"/>
      <c r="CL31" s="21"/>
      <c r="CM31" s="21"/>
    </row>
    <row r="32" spans="1:91" x14ac:dyDescent="0.25">
      <c r="A32" s="1">
        <f t="shared" si="0"/>
        <v>30</v>
      </c>
      <c r="B32" s="1" t="s">
        <v>200</v>
      </c>
      <c r="C32" s="1" t="s">
        <v>182</v>
      </c>
      <c r="D32" s="1" t="s">
        <v>885</v>
      </c>
      <c r="E32" s="2" t="s">
        <v>40</v>
      </c>
      <c r="F32" s="2" t="s">
        <v>6</v>
      </c>
      <c r="G32" s="24" t="s">
        <v>888</v>
      </c>
      <c r="H32" s="24" t="s">
        <v>839</v>
      </c>
      <c r="I32" s="24"/>
      <c r="J32" s="43"/>
      <c r="K32" s="24" t="s">
        <v>656</v>
      </c>
      <c r="L32" s="24" t="s">
        <v>656</v>
      </c>
      <c r="M32" s="24"/>
      <c r="N32" s="24">
        <v>1029</v>
      </c>
      <c r="O32" s="25" t="s">
        <v>44</v>
      </c>
      <c r="P32" s="40" t="s">
        <v>799</v>
      </c>
      <c r="Q32" s="28" t="s">
        <v>814</v>
      </c>
      <c r="R32" s="26"/>
      <c r="S32" s="26"/>
      <c r="T32" s="21">
        <f>VLOOKUP(N32,('Master File'!$I$3:$I$220),1,FALSE)</f>
        <v>1029</v>
      </c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1"/>
      <c r="CF32" s="21"/>
      <c r="CG32" s="21"/>
      <c r="CH32" s="21"/>
      <c r="CI32" s="21"/>
      <c r="CJ32" s="21"/>
      <c r="CK32" s="21"/>
      <c r="CL32" s="21"/>
      <c r="CM32" s="21"/>
    </row>
    <row r="33" spans="1:91" x14ac:dyDescent="0.25">
      <c r="A33" s="1">
        <f t="shared" si="0"/>
        <v>31</v>
      </c>
      <c r="B33" s="1" t="s">
        <v>201</v>
      </c>
      <c r="C33" s="1" t="s">
        <v>182</v>
      </c>
      <c r="D33" s="1" t="s">
        <v>885</v>
      </c>
      <c r="E33" s="2" t="s">
        <v>40</v>
      </c>
      <c r="F33" s="2" t="s">
        <v>6</v>
      </c>
      <c r="G33" s="24" t="s">
        <v>888</v>
      </c>
      <c r="H33" s="24" t="s">
        <v>837</v>
      </c>
      <c r="I33" s="24" t="s">
        <v>895</v>
      </c>
      <c r="J33" s="43"/>
      <c r="K33" s="24" t="s">
        <v>657</v>
      </c>
      <c r="L33" s="24" t="s">
        <v>737</v>
      </c>
      <c r="M33" s="24"/>
      <c r="N33" s="24">
        <v>1030</v>
      </c>
      <c r="O33" s="25" t="s">
        <v>45</v>
      </c>
      <c r="P33" s="40" t="s">
        <v>799</v>
      </c>
      <c r="Q33" s="28" t="s">
        <v>814</v>
      </c>
      <c r="R33" s="26"/>
      <c r="S33" s="26"/>
      <c r="T33" s="21">
        <f>VLOOKUP(N33,('Master File'!$I$3:$I$220),1,FALSE)</f>
        <v>1030</v>
      </c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1"/>
      <c r="CF33" s="21"/>
      <c r="CG33" s="21"/>
      <c r="CH33" s="21"/>
      <c r="CI33" s="21"/>
      <c r="CJ33" s="21"/>
      <c r="CK33" s="21"/>
      <c r="CL33" s="21"/>
      <c r="CM33" s="21"/>
    </row>
    <row r="34" spans="1:91" x14ac:dyDescent="0.25">
      <c r="A34" s="1">
        <f t="shared" si="0"/>
        <v>32</v>
      </c>
      <c r="B34" s="1" t="s">
        <v>202</v>
      </c>
      <c r="C34" s="1" t="s">
        <v>182</v>
      </c>
      <c r="D34" s="1" t="s">
        <v>885</v>
      </c>
      <c r="E34" s="2" t="s">
        <v>40</v>
      </c>
      <c r="F34" s="2" t="s">
        <v>6</v>
      </c>
      <c r="G34" s="24" t="s">
        <v>888</v>
      </c>
      <c r="H34" s="24" t="s">
        <v>827</v>
      </c>
      <c r="I34" s="24" t="s">
        <v>901</v>
      </c>
      <c r="J34" s="43"/>
      <c r="K34" s="24" t="s">
        <v>658</v>
      </c>
      <c r="L34" s="24" t="s">
        <v>738</v>
      </c>
      <c r="M34" s="24"/>
      <c r="N34" s="24">
        <v>1031</v>
      </c>
      <c r="O34" s="24" t="s">
        <v>46</v>
      </c>
      <c r="P34" s="40">
        <v>30</v>
      </c>
      <c r="Q34" s="28" t="s">
        <v>814</v>
      </c>
      <c r="R34" s="26">
        <v>550</v>
      </c>
      <c r="S34" s="26"/>
      <c r="T34" s="21">
        <f>VLOOKUP(N34,('Master File'!$I$3:$I$220),1,FALSE)</f>
        <v>1031</v>
      </c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1"/>
      <c r="CF34" s="21"/>
      <c r="CG34" s="21"/>
      <c r="CH34" s="21"/>
      <c r="CI34" s="21"/>
      <c r="CJ34" s="21"/>
      <c r="CK34" s="21"/>
      <c r="CL34" s="21"/>
      <c r="CM34" s="21"/>
    </row>
    <row r="35" spans="1:91" x14ac:dyDescent="0.25">
      <c r="A35" s="1">
        <f t="shared" si="0"/>
        <v>33</v>
      </c>
      <c r="B35" s="1" t="s">
        <v>203</v>
      </c>
      <c r="C35" s="1" t="s">
        <v>182</v>
      </c>
      <c r="D35" s="1" t="s">
        <v>885</v>
      </c>
      <c r="E35" s="2" t="s">
        <v>40</v>
      </c>
      <c r="F35" s="2" t="s">
        <v>6</v>
      </c>
      <c r="G35" s="24" t="s">
        <v>888</v>
      </c>
      <c r="H35" s="24" t="s">
        <v>827</v>
      </c>
      <c r="I35" s="24" t="s">
        <v>901</v>
      </c>
      <c r="J35" s="43"/>
      <c r="K35" s="24" t="s">
        <v>659</v>
      </c>
      <c r="L35" s="24" t="s">
        <v>739</v>
      </c>
      <c r="M35" s="24"/>
      <c r="N35" s="24">
        <v>1032</v>
      </c>
      <c r="O35" s="24" t="s">
        <v>47</v>
      </c>
      <c r="P35" s="40">
        <v>100</v>
      </c>
      <c r="Q35" s="28" t="s">
        <v>814</v>
      </c>
      <c r="R35" s="26">
        <v>150</v>
      </c>
      <c r="S35" s="26"/>
      <c r="T35" s="21">
        <f>VLOOKUP(N35,('Master File'!$I$3:$I$220),1,FALSE)</f>
        <v>1032</v>
      </c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1"/>
      <c r="CF35" s="21"/>
      <c r="CG35" s="21"/>
      <c r="CH35" s="21"/>
      <c r="CI35" s="21"/>
      <c r="CJ35" s="21"/>
      <c r="CK35" s="21"/>
      <c r="CL35" s="21"/>
      <c r="CM35" s="21"/>
    </row>
    <row r="36" spans="1:91" x14ac:dyDescent="0.25">
      <c r="A36" s="1">
        <f t="shared" si="0"/>
        <v>34</v>
      </c>
      <c r="B36" s="1" t="s">
        <v>204</v>
      </c>
      <c r="C36" s="1" t="s">
        <v>182</v>
      </c>
      <c r="D36" s="1" t="s">
        <v>885</v>
      </c>
      <c r="E36" s="2" t="s">
        <v>40</v>
      </c>
      <c r="F36" s="2" t="s">
        <v>6</v>
      </c>
      <c r="G36" s="24" t="s">
        <v>888</v>
      </c>
      <c r="H36" s="24" t="s">
        <v>840</v>
      </c>
      <c r="I36" s="24" t="s">
        <v>902</v>
      </c>
      <c r="J36" s="43"/>
      <c r="K36" s="24" t="s">
        <v>660</v>
      </c>
      <c r="L36" s="24" t="s">
        <v>740</v>
      </c>
      <c r="M36" s="24"/>
      <c r="N36" s="24">
        <v>1033</v>
      </c>
      <c r="O36" s="25" t="s">
        <v>48</v>
      </c>
      <c r="P36" s="40">
        <v>20</v>
      </c>
      <c r="Q36" s="28" t="s">
        <v>814</v>
      </c>
      <c r="R36" s="26">
        <v>750</v>
      </c>
      <c r="S36" s="26"/>
      <c r="T36" s="21">
        <f>VLOOKUP(N36,('Master File'!$I$3:$I$220),1,FALSE)</f>
        <v>1033</v>
      </c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1"/>
      <c r="CF36" s="21"/>
      <c r="CG36" s="21"/>
      <c r="CH36" s="21"/>
      <c r="CI36" s="21"/>
      <c r="CJ36" s="21"/>
      <c r="CK36" s="21"/>
      <c r="CL36" s="21"/>
      <c r="CM36" s="21"/>
    </row>
    <row r="37" spans="1:91" x14ac:dyDescent="0.25">
      <c r="A37" s="1">
        <f t="shared" si="0"/>
        <v>35</v>
      </c>
      <c r="B37" s="1" t="s">
        <v>205</v>
      </c>
      <c r="C37" s="1" t="s">
        <v>182</v>
      </c>
      <c r="D37" s="1" t="s">
        <v>885</v>
      </c>
      <c r="E37" s="2" t="s">
        <v>40</v>
      </c>
      <c r="F37" s="2" t="s">
        <v>6</v>
      </c>
      <c r="G37" s="24" t="s">
        <v>888</v>
      </c>
      <c r="H37" s="24" t="s">
        <v>841</v>
      </c>
      <c r="I37" s="24" t="s">
        <v>903</v>
      </c>
      <c r="J37" s="43"/>
      <c r="K37" s="24" t="s">
        <v>661</v>
      </c>
      <c r="L37" s="24" t="s">
        <v>741</v>
      </c>
      <c r="M37" s="24"/>
      <c r="N37" s="24">
        <v>1034</v>
      </c>
      <c r="O37" s="25" t="s">
        <v>49</v>
      </c>
      <c r="P37" s="40">
        <v>20</v>
      </c>
      <c r="Q37" s="28" t="s">
        <v>814</v>
      </c>
      <c r="R37" s="26">
        <v>750</v>
      </c>
      <c r="S37" s="26"/>
      <c r="T37" s="21">
        <f>VLOOKUP(N37,('Master File'!$I$3:$I$220),1,FALSE)</f>
        <v>1034</v>
      </c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1"/>
      <c r="CF37" s="21"/>
      <c r="CG37" s="21"/>
      <c r="CH37" s="21"/>
      <c r="CI37" s="21"/>
      <c r="CJ37" s="21"/>
      <c r="CK37" s="21"/>
      <c r="CL37" s="21"/>
      <c r="CM37" s="21"/>
    </row>
    <row r="38" spans="1:91" x14ac:dyDescent="0.25">
      <c r="A38" s="1">
        <f t="shared" si="0"/>
        <v>36</v>
      </c>
      <c r="B38" s="1" t="s">
        <v>206</v>
      </c>
      <c r="C38" s="1" t="s">
        <v>182</v>
      </c>
      <c r="D38" s="1" t="s">
        <v>885</v>
      </c>
      <c r="E38" s="2" t="s">
        <v>40</v>
      </c>
      <c r="F38" s="2" t="s">
        <v>6</v>
      </c>
      <c r="G38" s="24" t="s">
        <v>888</v>
      </c>
      <c r="H38" s="24" t="s">
        <v>842</v>
      </c>
      <c r="I38" s="24" t="s">
        <v>895</v>
      </c>
      <c r="J38" s="43"/>
      <c r="K38" s="24" t="s">
        <v>662</v>
      </c>
      <c r="L38" s="24" t="s">
        <v>742</v>
      </c>
      <c r="M38" s="24"/>
      <c r="N38" s="24">
        <v>1035</v>
      </c>
      <c r="O38" s="25" t="s">
        <v>50</v>
      </c>
      <c r="P38" s="40">
        <v>20</v>
      </c>
      <c r="Q38" s="28" t="s">
        <v>814</v>
      </c>
      <c r="R38" s="26" t="s">
        <v>942</v>
      </c>
      <c r="S38" s="26"/>
      <c r="T38" s="21">
        <f>VLOOKUP(N38,('Master File'!$I$3:$I$220),1,FALSE)</f>
        <v>1035</v>
      </c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1"/>
      <c r="CF38" s="21"/>
      <c r="CG38" s="21"/>
      <c r="CH38" s="21"/>
      <c r="CI38" s="21"/>
      <c r="CJ38" s="21"/>
      <c r="CK38" s="21"/>
      <c r="CL38" s="21"/>
      <c r="CM38" s="21"/>
    </row>
    <row r="39" spans="1:91" x14ac:dyDescent="0.25">
      <c r="A39" s="1">
        <f t="shared" si="0"/>
        <v>37</v>
      </c>
      <c r="B39" s="1" t="s">
        <v>207</v>
      </c>
      <c r="C39" s="1" t="s">
        <v>182</v>
      </c>
      <c r="D39" s="1" t="s">
        <v>885</v>
      </c>
      <c r="E39" s="2" t="s">
        <v>51</v>
      </c>
      <c r="F39" s="2" t="s">
        <v>6</v>
      </c>
      <c r="G39" s="24" t="s">
        <v>888</v>
      </c>
      <c r="H39" s="24" t="s">
        <v>608</v>
      </c>
      <c r="I39" s="24" t="s">
        <v>899</v>
      </c>
      <c r="J39" s="43"/>
      <c r="K39" s="24" t="s">
        <v>663</v>
      </c>
      <c r="L39" s="24" t="s">
        <v>788</v>
      </c>
      <c r="M39" s="24"/>
      <c r="N39" s="24">
        <v>1036</v>
      </c>
      <c r="O39" s="24" t="s">
        <v>52</v>
      </c>
      <c r="P39" s="40" t="s">
        <v>799</v>
      </c>
      <c r="Q39" s="28" t="s">
        <v>814</v>
      </c>
      <c r="R39" s="26">
        <v>30</v>
      </c>
      <c r="S39" s="26"/>
      <c r="T39" s="21">
        <f>VLOOKUP(N39,('Master File'!$I$3:$I$220),1,FALSE)</f>
        <v>1036</v>
      </c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1"/>
      <c r="CF39" s="21"/>
      <c r="CG39" s="21"/>
      <c r="CH39" s="21"/>
      <c r="CI39" s="21"/>
      <c r="CJ39" s="21"/>
      <c r="CK39" s="21"/>
      <c r="CL39" s="21"/>
      <c r="CM39" s="21"/>
    </row>
    <row r="40" spans="1:91" x14ac:dyDescent="0.25">
      <c r="A40" s="1">
        <f t="shared" si="0"/>
        <v>38</v>
      </c>
      <c r="B40" s="1" t="s">
        <v>208</v>
      </c>
      <c r="C40" s="1" t="s">
        <v>182</v>
      </c>
      <c r="D40" s="1" t="s">
        <v>885</v>
      </c>
      <c r="E40" s="2" t="s">
        <v>51</v>
      </c>
      <c r="F40" s="2" t="s">
        <v>6</v>
      </c>
      <c r="G40" s="24" t="s">
        <v>888</v>
      </c>
      <c r="H40" s="24" t="s">
        <v>831</v>
      </c>
      <c r="I40" s="24" t="s">
        <v>906</v>
      </c>
      <c r="J40" s="43"/>
      <c r="K40" s="24" t="s">
        <v>664</v>
      </c>
      <c r="L40" s="24" t="s">
        <v>743</v>
      </c>
      <c r="M40" s="24"/>
      <c r="N40" s="24">
        <v>1037</v>
      </c>
      <c r="O40" s="24" t="s">
        <v>53</v>
      </c>
      <c r="P40" s="40">
        <v>12</v>
      </c>
      <c r="Q40" s="28" t="s">
        <v>814</v>
      </c>
      <c r="R40" s="26">
        <v>1600</v>
      </c>
      <c r="S40" s="26"/>
      <c r="T40" s="21">
        <f>VLOOKUP(N40,('Master File'!$I$3:$I$220),1,FALSE)</f>
        <v>1037</v>
      </c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1"/>
      <c r="CF40" s="21"/>
      <c r="CG40" s="21"/>
      <c r="CH40" s="21"/>
      <c r="CI40" s="21"/>
      <c r="CJ40" s="21"/>
      <c r="CK40" s="21"/>
      <c r="CL40" s="21"/>
      <c r="CM40" s="21"/>
    </row>
    <row r="41" spans="1:91" x14ac:dyDescent="0.25">
      <c r="A41" s="1">
        <f t="shared" si="0"/>
        <v>39</v>
      </c>
      <c r="B41" s="1" t="s">
        <v>209</v>
      </c>
      <c r="C41" s="1" t="s">
        <v>182</v>
      </c>
      <c r="D41" s="1" t="s">
        <v>885</v>
      </c>
      <c r="E41" s="2" t="s">
        <v>51</v>
      </c>
      <c r="F41" s="2" t="s">
        <v>6</v>
      </c>
      <c r="G41" s="24" t="s">
        <v>888</v>
      </c>
      <c r="H41" s="24" t="s">
        <v>831</v>
      </c>
      <c r="I41" s="24" t="s">
        <v>904</v>
      </c>
      <c r="J41" s="43"/>
      <c r="K41" s="24" t="s">
        <v>665</v>
      </c>
      <c r="L41" s="24" t="s">
        <v>1154</v>
      </c>
      <c r="M41" s="24"/>
      <c r="N41" s="24">
        <v>1038</v>
      </c>
      <c r="O41" s="24" t="s">
        <v>54</v>
      </c>
      <c r="P41" s="40">
        <v>30</v>
      </c>
      <c r="Q41" s="28" t="s">
        <v>814</v>
      </c>
      <c r="R41" s="26">
        <v>1200</v>
      </c>
      <c r="S41" s="26"/>
      <c r="T41" s="21">
        <f>VLOOKUP(N41,('Master File'!$I$3:$I$220),1,FALSE)</f>
        <v>1038</v>
      </c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1"/>
      <c r="CF41" s="21"/>
      <c r="CG41" s="21"/>
      <c r="CH41" s="21"/>
      <c r="CI41" s="21"/>
      <c r="CJ41" s="21"/>
      <c r="CK41" s="21"/>
      <c r="CL41" s="21"/>
      <c r="CM41" s="21"/>
    </row>
    <row r="42" spans="1:91" x14ac:dyDescent="0.25">
      <c r="A42" s="1">
        <f t="shared" si="0"/>
        <v>40</v>
      </c>
      <c r="B42" s="1" t="s">
        <v>210</v>
      </c>
      <c r="C42" s="1" t="s">
        <v>182</v>
      </c>
      <c r="D42" s="1" t="s">
        <v>885</v>
      </c>
      <c r="E42" s="2" t="s">
        <v>51</v>
      </c>
      <c r="F42" s="2" t="s">
        <v>6</v>
      </c>
      <c r="G42" s="24" t="s">
        <v>888</v>
      </c>
      <c r="H42" s="24" t="s">
        <v>831</v>
      </c>
      <c r="I42" s="24" t="s">
        <v>905</v>
      </c>
      <c r="J42" s="43"/>
      <c r="K42" s="24" t="s">
        <v>666</v>
      </c>
      <c r="L42" s="24" t="s">
        <v>1155</v>
      </c>
      <c r="M42" s="24"/>
      <c r="N42" s="24">
        <v>1039</v>
      </c>
      <c r="O42" s="24" t="s">
        <v>55</v>
      </c>
      <c r="P42" s="40">
        <v>100</v>
      </c>
      <c r="Q42" s="28" t="s">
        <v>814</v>
      </c>
      <c r="R42" s="26">
        <v>200</v>
      </c>
      <c r="S42" s="26"/>
      <c r="T42" s="21">
        <f>VLOOKUP(N42,('Master File'!$I$3:$I$220),1,FALSE)</f>
        <v>1039</v>
      </c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1"/>
      <c r="CF42" s="21"/>
      <c r="CG42" s="21"/>
      <c r="CH42" s="21"/>
      <c r="CI42" s="21"/>
      <c r="CJ42" s="21"/>
      <c r="CK42" s="21"/>
      <c r="CL42" s="21"/>
      <c r="CM42" s="21"/>
    </row>
    <row r="43" spans="1:91" x14ac:dyDescent="0.25">
      <c r="A43" s="1">
        <f t="shared" si="0"/>
        <v>41</v>
      </c>
      <c r="B43" s="1" t="s">
        <v>211</v>
      </c>
      <c r="C43" s="1" t="s">
        <v>182</v>
      </c>
      <c r="D43" s="1" t="s">
        <v>885</v>
      </c>
      <c r="E43" s="2" t="s">
        <v>56</v>
      </c>
      <c r="F43" s="2" t="s">
        <v>6</v>
      </c>
      <c r="G43" s="24" t="s">
        <v>939</v>
      </c>
      <c r="H43" s="24" t="s">
        <v>852</v>
      </c>
      <c r="I43" s="24"/>
      <c r="J43" s="43"/>
      <c r="K43" s="24" t="s">
        <v>667</v>
      </c>
      <c r="L43" s="24" t="s">
        <v>744</v>
      </c>
      <c r="M43" s="24"/>
      <c r="N43" s="24">
        <v>1040</v>
      </c>
      <c r="O43" s="24" t="s">
        <v>797</v>
      </c>
      <c r="P43" s="40">
        <v>20</v>
      </c>
      <c r="Q43" s="28" t="s">
        <v>809</v>
      </c>
      <c r="R43" s="26">
        <v>450</v>
      </c>
      <c r="S43" s="26"/>
      <c r="T43" s="21">
        <f>VLOOKUP(N43,('Master File'!$I$3:$I$220),1,FALSE)</f>
        <v>1040</v>
      </c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1"/>
      <c r="CF43" s="21"/>
      <c r="CG43" s="21"/>
      <c r="CH43" s="21"/>
      <c r="CI43" s="21"/>
      <c r="CJ43" s="21"/>
      <c r="CK43" s="21"/>
      <c r="CL43" s="21"/>
      <c r="CM43" s="21"/>
    </row>
    <row r="44" spans="1:91" x14ac:dyDescent="0.25">
      <c r="A44" s="1">
        <f t="shared" si="0"/>
        <v>42</v>
      </c>
      <c r="B44" s="1" t="s">
        <v>212</v>
      </c>
      <c r="C44" s="1" t="s">
        <v>182</v>
      </c>
      <c r="D44" s="1" t="s">
        <v>885</v>
      </c>
      <c r="E44" s="2" t="s">
        <v>57</v>
      </c>
      <c r="F44" s="2" t="s">
        <v>6</v>
      </c>
      <c r="G44" s="24" t="s">
        <v>888</v>
      </c>
      <c r="H44" s="24" t="s">
        <v>843</v>
      </c>
      <c r="I44" s="24" t="s">
        <v>908</v>
      </c>
      <c r="J44" s="43"/>
      <c r="K44" s="24" t="s">
        <v>668</v>
      </c>
      <c r="L44" s="24" t="s">
        <v>668</v>
      </c>
      <c r="M44" s="24"/>
      <c r="N44" s="24">
        <v>1041</v>
      </c>
      <c r="O44" s="24" t="s">
        <v>58</v>
      </c>
      <c r="P44" s="40">
        <v>120</v>
      </c>
      <c r="Q44" s="28" t="s">
        <v>814</v>
      </c>
      <c r="R44" s="26">
        <v>225</v>
      </c>
      <c r="S44" s="26"/>
      <c r="T44" s="21">
        <f>VLOOKUP(N44,('Master File'!$I$3:$I$220),1,FALSE)</f>
        <v>1041</v>
      </c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1"/>
      <c r="CF44" s="21"/>
      <c r="CG44" s="21"/>
      <c r="CH44" s="21"/>
      <c r="CI44" s="21"/>
      <c r="CJ44" s="21"/>
      <c r="CK44" s="21"/>
      <c r="CL44" s="21"/>
      <c r="CM44" s="21"/>
    </row>
    <row r="45" spans="1:91" x14ac:dyDescent="0.25">
      <c r="A45" s="1">
        <f t="shared" si="0"/>
        <v>43</v>
      </c>
      <c r="B45" s="1" t="s">
        <v>213</v>
      </c>
      <c r="C45" s="1" t="s">
        <v>182</v>
      </c>
      <c r="D45" s="1" t="s">
        <v>885</v>
      </c>
      <c r="E45" s="2" t="s">
        <v>57</v>
      </c>
      <c r="F45" s="2" t="s">
        <v>6</v>
      </c>
      <c r="G45" s="24" t="s">
        <v>888</v>
      </c>
      <c r="H45" s="24" t="s">
        <v>844</v>
      </c>
      <c r="I45" s="24" t="s">
        <v>909</v>
      </c>
      <c r="J45" s="43"/>
      <c r="K45" s="24" t="s">
        <v>669</v>
      </c>
      <c r="L45" s="24" t="s">
        <v>669</v>
      </c>
      <c r="M45" s="24"/>
      <c r="N45" s="24">
        <v>1042</v>
      </c>
      <c r="O45" s="24" t="s">
        <v>59</v>
      </c>
      <c r="P45" s="40">
        <v>120</v>
      </c>
      <c r="Q45" s="28" t="s">
        <v>814</v>
      </c>
      <c r="R45" s="26">
        <v>225</v>
      </c>
      <c r="S45" s="26"/>
      <c r="T45" s="21">
        <f>VLOOKUP(N45,('Master File'!$I$3:$I$220),1,FALSE)</f>
        <v>1042</v>
      </c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1"/>
      <c r="CF45" s="21"/>
      <c r="CG45" s="21"/>
      <c r="CH45" s="21"/>
      <c r="CI45" s="21"/>
      <c r="CJ45" s="21"/>
      <c r="CK45" s="21"/>
      <c r="CL45" s="21"/>
      <c r="CM45" s="21"/>
    </row>
    <row r="46" spans="1:91" x14ac:dyDescent="0.25">
      <c r="A46" s="1">
        <f t="shared" si="0"/>
        <v>44</v>
      </c>
      <c r="B46" s="1" t="s">
        <v>214</v>
      </c>
      <c r="C46" s="1" t="s">
        <v>182</v>
      </c>
      <c r="D46" s="1" t="s">
        <v>885</v>
      </c>
      <c r="E46" s="2" t="s">
        <v>56</v>
      </c>
      <c r="F46" s="2" t="s">
        <v>6</v>
      </c>
      <c r="G46" s="24" t="s">
        <v>888</v>
      </c>
      <c r="H46" s="24" t="s">
        <v>853</v>
      </c>
      <c r="I46" s="24" t="s">
        <v>907</v>
      </c>
      <c r="J46" s="43"/>
      <c r="K46" s="24" t="s">
        <v>670</v>
      </c>
      <c r="L46" s="24" t="s">
        <v>670</v>
      </c>
      <c r="M46" s="24"/>
      <c r="N46" s="24">
        <v>1043</v>
      </c>
      <c r="O46" s="24" t="s">
        <v>60</v>
      </c>
      <c r="P46" s="40">
        <v>100</v>
      </c>
      <c r="Q46" s="28" t="s">
        <v>813</v>
      </c>
      <c r="R46" s="26">
        <v>750</v>
      </c>
      <c r="S46" s="26"/>
      <c r="T46" s="21" t="e">
        <f>VLOOKUP(N46,('Master File'!$I$3:$I$220),1,FALSE)</f>
        <v>#N/A</v>
      </c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1"/>
      <c r="CF46" s="21"/>
      <c r="CG46" s="21"/>
      <c r="CH46" s="21"/>
      <c r="CI46" s="21"/>
      <c r="CJ46" s="21"/>
      <c r="CK46" s="21"/>
      <c r="CL46" s="21"/>
      <c r="CM46" s="21"/>
    </row>
    <row r="47" spans="1:91" x14ac:dyDescent="0.25">
      <c r="A47" s="1">
        <f t="shared" si="0"/>
        <v>45</v>
      </c>
      <c r="B47" s="1" t="s">
        <v>215</v>
      </c>
      <c r="C47" s="1" t="s">
        <v>182</v>
      </c>
      <c r="D47" s="1" t="s">
        <v>886</v>
      </c>
      <c r="E47" s="2" t="s">
        <v>62</v>
      </c>
      <c r="F47" s="2" t="s">
        <v>6</v>
      </c>
      <c r="G47" s="24" t="s">
        <v>888</v>
      </c>
      <c r="H47" s="24" t="s">
        <v>63</v>
      </c>
      <c r="I47" s="24" t="s">
        <v>911</v>
      </c>
      <c r="J47" s="43"/>
      <c r="K47" s="24" t="s">
        <v>671</v>
      </c>
      <c r="L47" s="24" t="s">
        <v>745</v>
      </c>
      <c r="M47" s="24" t="s">
        <v>946</v>
      </c>
      <c r="N47" s="24">
        <v>1044</v>
      </c>
      <c r="O47" s="24" t="s">
        <v>63</v>
      </c>
      <c r="P47" s="40"/>
      <c r="Q47" s="28" t="s">
        <v>814</v>
      </c>
      <c r="R47" s="26"/>
      <c r="S47" s="26"/>
      <c r="T47" s="21">
        <f>VLOOKUP(N47,('Master File'!$I$3:$I$220),1,FALSE)</f>
        <v>1044</v>
      </c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1"/>
      <c r="CF47" s="21"/>
      <c r="CG47" s="21"/>
      <c r="CH47" s="21"/>
      <c r="CI47" s="21"/>
      <c r="CJ47" s="21"/>
      <c r="CK47" s="21"/>
      <c r="CL47" s="21"/>
      <c r="CM47" s="21"/>
    </row>
    <row r="48" spans="1:91" x14ac:dyDescent="0.25">
      <c r="A48" s="1">
        <f t="shared" si="0"/>
        <v>46</v>
      </c>
      <c r="B48" s="1" t="s">
        <v>216</v>
      </c>
      <c r="C48" s="1" t="s">
        <v>182</v>
      </c>
      <c r="D48" s="1" t="s">
        <v>886</v>
      </c>
      <c r="E48" s="2" t="s">
        <v>62</v>
      </c>
      <c r="F48" s="2" t="s">
        <v>6</v>
      </c>
      <c r="G48" s="24" t="s">
        <v>888</v>
      </c>
      <c r="H48" s="24" t="s">
        <v>832</v>
      </c>
      <c r="I48" s="24" t="s">
        <v>912</v>
      </c>
      <c r="J48" s="43"/>
      <c r="K48" s="24" t="s">
        <v>672</v>
      </c>
      <c r="L48" s="24" t="s">
        <v>746</v>
      </c>
      <c r="M48" s="24" t="s">
        <v>947</v>
      </c>
      <c r="N48" s="24">
        <v>1045</v>
      </c>
      <c r="O48" s="24" t="s">
        <v>64</v>
      </c>
      <c r="P48" s="40"/>
      <c r="Q48" s="28" t="s">
        <v>814</v>
      </c>
      <c r="R48" s="26"/>
      <c r="S48" s="26"/>
      <c r="T48" s="21">
        <f>VLOOKUP(N48,('Master File'!$I$3:$I$220),1,FALSE)</f>
        <v>1045</v>
      </c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1"/>
      <c r="CF48" s="21"/>
      <c r="CG48" s="21"/>
      <c r="CH48" s="21"/>
      <c r="CI48" s="21"/>
      <c r="CJ48" s="21"/>
      <c r="CK48" s="21"/>
      <c r="CL48" s="21"/>
      <c r="CM48" s="21"/>
    </row>
    <row r="49" spans="1:91" x14ac:dyDescent="0.25">
      <c r="A49" s="1">
        <f t="shared" si="0"/>
        <v>47</v>
      </c>
      <c r="B49" s="1" t="s">
        <v>217</v>
      </c>
      <c r="C49" s="1" t="s">
        <v>182</v>
      </c>
      <c r="D49" s="1" t="s">
        <v>886</v>
      </c>
      <c r="E49" s="2" t="s">
        <v>62</v>
      </c>
      <c r="F49" s="2" t="s">
        <v>6</v>
      </c>
      <c r="G49" s="24" t="s">
        <v>888</v>
      </c>
      <c r="H49" s="24" t="s">
        <v>65</v>
      </c>
      <c r="I49" s="24" t="s">
        <v>913</v>
      </c>
      <c r="J49" s="43"/>
      <c r="K49" s="24" t="s">
        <v>673</v>
      </c>
      <c r="L49" s="24" t="s">
        <v>763</v>
      </c>
      <c r="M49" s="24" t="s">
        <v>948</v>
      </c>
      <c r="N49" s="24">
        <v>1046</v>
      </c>
      <c r="O49" s="24" t="s">
        <v>65</v>
      </c>
      <c r="P49" s="40"/>
      <c r="Q49" s="28" t="s">
        <v>814</v>
      </c>
      <c r="R49" s="26"/>
      <c r="S49" s="26"/>
      <c r="T49" s="21">
        <f>VLOOKUP(N49,('Master File'!$I$3:$I$220),1,FALSE)</f>
        <v>1046</v>
      </c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1"/>
      <c r="CF49" s="21"/>
      <c r="CG49" s="21"/>
      <c r="CH49" s="21"/>
      <c r="CI49" s="21"/>
      <c r="CJ49" s="21"/>
      <c r="CK49" s="21"/>
      <c r="CL49" s="21"/>
      <c r="CM49" s="21"/>
    </row>
    <row r="50" spans="1:91" x14ac:dyDescent="0.25">
      <c r="A50" s="1">
        <f t="shared" si="0"/>
        <v>48</v>
      </c>
      <c r="B50" s="1" t="s">
        <v>218</v>
      </c>
      <c r="C50" s="1" t="s">
        <v>182</v>
      </c>
      <c r="D50" s="1" t="s">
        <v>886</v>
      </c>
      <c r="E50" s="2" t="s">
        <v>62</v>
      </c>
      <c r="F50" s="2" t="s">
        <v>6</v>
      </c>
      <c r="G50" s="24" t="s">
        <v>888</v>
      </c>
      <c r="H50" s="24" t="s">
        <v>66</v>
      </c>
      <c r="I50" s="24" t="s">
        <v>914</v>
      </c>
      <c r="J50" s="43"/>
      <c r="K50" s="24" t="s">
        <v>674</v>
      </c>
      <c r="L50" s="24" t="s">
        <v>747</v>
      </c>
      <c r="M50" s="24" t="s">
        <v>950</v>
      </c>
      <c r="N50" s="24">
        <v>1047</v>
      </c>
      <c r="O50" s="24" t="s">
        <v>66</v>
      </c>
      <c r="P50" s="40"/>
      <c r="Q50" s="28" t="s">
        <v>814</v>
      </c>
      <c r="R50" s="26"/>
      <c r="S50" s="26"/>
      <c r="T50" s="21">
        <f>VLOOKUP(N50,('Master File'!$I$3:$I$220),1,FALSE)</f>
        <v>1047</v>
      </c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1"/>
      <c r="CF50" s="21"/>
      <c r="CG50" s="21"/>
      <c r="CH50" s="21"/>
      <c r="CI50" s="21"/>
      <c r="CJ50" s="21"/>
      <c r="CK50" s="21"/>
      <c r="CL50" s="21"/>
      <c r="CM50" s="21"/>
    </row>
    <row r="51" spans="1:91" x14ac:dyDescent="0.25">
      <c r="A51" s="1">
        <f t="shared" si="0"/>
        <v>49</v>
      </c>
      <c r="B51" s="1" t="s">
        <v>219</v>
      </c>
      <c r="C51" s="1" t="s">
        <v>182</v>
      </c>
      <c r="D51" s="1" t="s">
        <v>886</v>
      </c>
      <c r="E51" s="2" t="s">
        <v>62</v>
      </c>
      <c r="F51" s="2" t="s">
        <v>6</v>
      </c>
      <c r="G51" s="24" t="s">
        <v>888</v>
      </c>
      <c r="H51" s="24" t="s">
        <v>67</v>
      </c>
      <c r="I51" s="24" t="s">
        <v>915</v>
      </c>
      <c r="J51" s="43"/>
      <c r="K51" s="24" t="s">
        <v>675</v>
      </c>
      <c r="L51" s="24" t="s">
        <v>748</v>
      </c>
      <c r="M51" s="24" t="s">
        <v>949</v>
      </c>
      <c r="N51" s="24">
        <v>1048</v>
      </c>
      <c r="O51" s="24" t="s">
        <v>67</v>
      </c>
      <c r="P51" s="40"/>
      <c r="Q51" s="28" t="s">
        <v>814</v>
      </c>
      <c r="R51" s="26"/>
      <c r="S51" s="26"/>
      <c r="T51" s="21">
        <f>VLOOKUP(N51,('Master File'!$I$3:$I$220),1,FALSE)</f>
        <v>1048</v>
      </c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1"/>
      <c r="CF51" s="21"/>
      <c r="CG51" s="21"/>
      <c r="CH51" s="21"/>
      <c r="CI51" s="21"/>
      <c r="CJ51" s="21"/>
      <c r="CK51" s="21"/>
      <c r="CL51" s="21"/>
      <c r="CM51" s="21"/>
    </row>
    <row r="52" spans="1:91" x14ac:dyDescent="0.25">
      <c r="A52" s="1">
        <f t="shared" si="0"/>
        <v>50</v>
      </c>
      <c r="B52" s="1" t="s">
        <v>220</v>
      </c>
      <c r="C52" s="1" t="s">
        <v>182</v>
      </c>
      <c r="D52" s="1" t="s">
        <v>886</v>
      </c>
      <c r="E52" s="2" t="s">
        <v>62</v>
      </c>
      <c r="F52" s="2" t="s">
        <v>6</v>
      </c>
      <c r="G52" s="24" t="s">
        <v>888</v>
      </c>
      <c r="H52" s="24" t="s">
        <v>68</v>
      </c>
      <c r="I52" s="24" t="s">
        <v>916</v>
      </c>
      <c r="J52" s="43"/>
      <c r="K52" s="24" t="s">
        <v>676</v>
      </c>
      <c r="L52" s="24" t="s">
        <v>764</v>
      </c>
      <c r="M52" s="24" t="s">
        <v>952</v>
      </c>
      <c r="N52" s="24">
        <v>1049</v>
      </c>
      <c r="O52" s="24" t="s">
        <v>68</v>
      </c>
      <c r="P52" s="40"/>
      <c r="Q52" s="28" t="s">
        <v>814</v>
      </c>
      <c r="R52" s="26"/>
      <c r="S52" s="26"/>
      <c r="T52" s="21">
        <f>VLOOKUP(N52,('Master File'!$I$3:$I$220),1,FALSE)</f>
        <v>1049</v>
      </c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1"/>
      <c r="CF52" s="21"/>
      <c r="CG52" s="21"/>
      <c r="CH52" s="21"/>
      <c r="CI52" s="21"/>
      <c r="CJ52" s="21"/>
      <c r="CK52" s="21"/>
      <c r="CL52" s="21"/>
      <c r="CM52" s="21"/>
    </row>
    <row r="53" spans="1:91" x14ac:dyDescent="0.25">
      <c r="A53" s="1">
        <f t="shared" si="0"/>
        <v>51</v>
      </c>
      <c r="B53" s="1" t="s">
        <v>221</v>
      </c>
      <c r="C53" s="1" t="s">
        <v>182</v>
      </c>
      <c r="D53" s="1" t="s">
        <v>886</v>
      </c>
      <c r="E53" s="2" t="s">
        <v>62</v>
      </c>
      <c r="F53" s="2" t="s">
        <v>6</v>
      </c>
      <c r="G53" s="24" t="s">
        <v>888</v>
      </c>
      <c r="H53" s="24" t="s">
        <v>69</v>
      </c>
      <c r="I53" s="24" t="s">
        <v>917</v>
      </c>
      <c r="J53" s="43"/>
      <c r="K53" s="24" t="s">
        <v>677</v>
      </c>
      <c r="L53" s="24" t="s">
        <v>749</v>
      </c>
      <c r="M53" s="24" t="s">
        <v>954</v>
      </c>
      <c r="N53" s="24">
        <v>1050</v>
      </c>
      <c r="O53" s="24" t="s">
        <v>69</v>
      </c>
      <c r="P53" s="40"/>
      <c r="Q53" s="28" t="s">
        <v>814</v>
      </c>
      <c r="R53" s="26"/>
      <c r="S53" s="26"/>
      <c r="T53" s="21">
        <f>VLOOKUP(N53,('Master File'!$I$3:$I$220),1,FALSE)</f>
        <v>1050</v>
      </c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1"/>
      <c r="CF53" s="21"/>
      <c r="CG53" s="21"/>
      <c r="CH53" s="21"/>
      <c r="CI53" s="21"/>
      <c r="CJ53" s="21"/>
      <c r="CK53" s="21"/>
      <c r="CL53" s="21"/>
      <c r="CM53" s="21"/>
    </row>
    <row r="54" spans="1:91" x14ac:dyDescent="0.25">
      <c r="A54" s="1">
        <f t="shared" si="0"/>
        <v>52</v>
      </c>
      <c r="B54" s="1" t="s">
        <v>222</v>
      </c>
      <c r="C54" s="1" t="s">
        <v>182</v>
      </c>
      <c r="D54" s="1" t="s">
        <v>886</v>
      </c>
      <c r="E54" s="2" t="s">
        <v>62</v>
      </c>
      <c r="F54" s="2" t="s">
        <v>6</v>
      </c>
      <c r="G54" s="24" t="s">
        <v>888</v>
      </c>
      <c r="H54" s="24" t="s">
        <v>70</v>
      </c>
      <c r="I54" s="24" t="s">
        <v>918</v>
      </c>
      <c r="J54" s="43"/>
      <c r="K54" s="24" t="s">
        <v>678</v>
      </c>
      <c r="L54" s="24" t="s">
        <v>765</v>
      </c>
      <c r="M54" s="24" t="s">
        <v>951</v>
      </c>
      <c r="N54" s="24">
        <v>1051</v>
      </c>
      <c r="O54" s="24" t="s">
        <v>70</v>
      </c>
      <c r="P54" s="40"/>
      <c r="Q54" s="28" t="s">
        <v>814</v>
      </c>
      <c r="R54" s="26"/>
      <c r="S54" s="26"/>
      <c r="T54" s="21">
        <f>VLOOKUP(N54,('Master File'!$I$3:$I$220),1,FALSE)</f>
        <v>1051</v>
      </c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1"/>
      <c r="CF54" s="21"/>
      <c r="CG54" s="21"/>
      <c r="CH54" s="21"/>
      <c r="CI54" s="21"/>
      <c r="CJ54" s="21"/>
      <c r="CK54" s="21"/>
      <c r="CL54" s="21"/>
      <c r="CM54" s="21"/>
    </row>
    <row r="55" spans="1:91" x14ac:dyDescent="0.25">
      <c r="A55" s="1">
        <f t="shared" si="0"/>
        <v>53</v>
      </c>
      <c r="B55" s="1" t="s">
        <v>223</v>
      </c>
      <c r="C55" s="1" t="s">
        <v>182</v>
      </c>
      <c r="D55" s="1" t="s">
        <v>886</v>
      </c>
      <c r="E55" s="2" t="s">
        <v>62</v>
      </c>
      <c r="F55" s="2" t="s">
        <v>6</v>
      </c>
      <c r="G55" s="24" t="s">
        <v>888</v>
      </c>
      <c r="H55" s="24" t="s">
        <v>71</v>
      </c>
      <c r="I55" s="24" t="s">
        <v>919</v>
      </c>
      <c r="J55" s="43"/>
      <c r="K55" s="24" t="s">
        <v>679</v>
      </c>
      <c r="L55" s="24" t="s">
        <v>766</v>
      </c>
      <c r="M55" s="24" t="s">
        <v>953</v>
      </c>
      <c r="N55" s="24">
        <v>1052</v>
      </c>
      <c r="O55" s="24" t="s">
        <v>71</v>
      </c>
      <c r="P55" s="40"/>
      <c r="Q55" s="28" t="s">
        <v>814</v>
      </c>
      <c r="R55" s="26"/>
      <c r="S55" s="26"/>
      <c r="T55" s="21">
        <f>VLOOKUP(N55,('Master File'!$I$3:$I$220),1,FALSE)</f>
        <v>1052</v>
      </c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1"/>
      <c r="CF55" s="21"/>
      <c r="CG55" s="21"/>
      <c r="CH55" s="21"/>
      <c r="CI55" s="21"/>
      <c r="CJ55" s="21"/>
      <c r="CK55" s="21"/>
      <c r="CL55" s="21"/>
      <c r="CM55" s="21"/>
    </row>
    <row r="56" spans="1:91" x14ac:dyDescent="0.25">
      <c r="A56" s="1">
        <f t="shared" si="0"/>
        <v>54</v>
      </c>
      <c r="B56" s="1" t="s">
        <v>224</v>
      </c>
      <c r="C56" s="1" t="s">
        <v>182</v>
      </c>
      <c r="D56" s="1" t="s">
        <v>886</v>
      </c>
      <c r="E56" s="2" t="s">
        <v>62</v>
      </c>
      <c r="F56" s="2" t="s">
        <v>6</v>
      </c>
      <c r="G56" s="24" t="s">
        <v>888</v>
      </c>
      <c r="H56" s="24" t="s">
        <v>72</v>
      </c>
      <c r="I56" s="24" t="s">
        <v>920</v>
      </c>
      <c r="J56" s="43"/>
      <c r="K56" s="24" t="s">
        <v>680</v>
      </c>
      <c r="L56" s="24" t="s">
        <v>750</v>
      </c>
      <c r="M56" s="24" t="s">
        <v>955</v>
      </c>
      <c r="N56" s="24">
        <v>1053</v>
      </c>
      <c r="O56" s="24" t="s">
        <v>72</v>
      </c>
      <c r="P56" s="40"/>
      <c r="Q56" s="28" t="s">
        <v>814</v>
      </c>
      <c r="R56" s="26"/>
      <c r="S56" s="26"/>
      <c r="T56" s="21">
        <f>VLOOKUP(N56,('Master File'!$I$3:$I$220),1,FALSE)</f>
        <v>1053</v>
      </c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1"/>
      <c r="CF56" s="21"/>
      <c r="CG56" s="21"/>
      <c r="CH56" s="21"/>
      <c r="CI56" s="21"/>
      <c r="CJ56" s="21"/>
      <c r="CK56" s="21"/>
      <c r="CL56" s="21"/>
      <c r="CM56" s="21"/>
    </row>
    <row r="57" spans="1:91" x14ac:dyDescent="0.25">
      <c r="A57" s="1">
        <f t="shared" si="0"/>
        <v>55</v>
      </c>
      <c r="B57" s="1" t="s">
        <v>225</v>
      </c>
      <c r="C57" s="1" t="s">
        <v>182</v>
      </c>
      <c r="D57" s="1" t="s">
        <v>886</v>
      </c>
      <c r="E57" s="2" t="s">
        <v>73</v>
      </c>
      <c r="F57" s="2" t="s">
        <v>6</v>
      </c>
      <c r="G57" s="24" t="s">
        <v>888</v>
      </c>
      <c r="H57" s="24" t="s">
        <v>833</v>
      </c>
      <c r="I57" s="24" t="s">
        <v>921</v>
      </c>
      <c r="J57" s="43"/>
      <c r="K57" s="24" t="s">
        <v>681</v>
      </c>
      <c r="L57" s="24" t="s">
        <v>751</v>
      </c>
      <c r="M57" s="24" t="s">
        <v>956</v>
      </c>
      <c r="N57" s="24">
        <v>1054</v>
      </c>
      <c r="O57" s="24" t="s">
        <v>74</v>
      </c>
      <c r="P57" s="40"/>
      <c r="Q57" s="28" t="s">
        <v>814</v>
      </c>
      <c r="R57" s="26"/>
      <c r="S57" s="26"/>
      <c r="T57" s="21">
        <f>VLOOKUP(N57,('Master File'!$I$3:$I$220),1,FALSE)</f>
        <v>1054</v>
      </c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1"/>
      <c r="CF57" s="21"/>
      <c r="CG57" s="21"/>
      <c r="CH57" s="21"/>
      <c r="CI57" s="21"/>
      <c r="CJ57" s="21"/>
      <c r="CK57" s="21"/>
      <c r="CL57" s="21"/>
      <c r="CM57" s="21"/>
    </row>
    <row r="58" spans="1:91" x14ac:dyDescent="0.25">
      <c r="A58" s="1">
        <f t="shared" si="0"/>
        <v>56</v>
      </c>
      <c r="B58" s="1" t="s">
        <v>226</v>
      </c>
      <c r="C58" s="1" t="s">
        <v>182</v>
      </c>
      <c r="D58" s="1" t="s">
        <v>886</v>
      </c>
      <c r="E58" s="2" t="s">
        <v>73</v>
      </c>
      <c r="F58" s="2" t="s">
        <v>6</v>
      </c>
      <c r="G58" s="24" t="s">
        <v>888</v>
      </c>
      <c r="H58" s="24" t="s">
        <v>75</v>
      </c>
      <c r="I58" s="24" t="s">
        <v>922</v>
      </c>
      <c r="J58" s="43"/>
      <c r="K58" s="24" t="s">
        <v>682</v>
      </c>
      <c r="L58" s="24" t="s">
        <v>752</v>
      </c>
      <c r="M58" s="24" t="s">
        <v>957</v>
      </c>
      <c r="N58" s="24">
        <v>1055</v>
      </c>
      <c r="O58" s="24" t="s">
        <v>75</v>
      </c>
      <c r="P58" s="40"/>
      <c r="Q58" s="28" t="s">
        <v>809</v>
      </c>
      <c r="R58" s="26"/>
      <c r="S58" s="26"/>
      <c r="T58" s="21" t="e">
        <f>VLOOKUP(N58,('Master File'!$I$3:$I$220),1,FALSE)</f>
        <v>#N/A</v>
      </c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1"/>
      <c r="CF58" s="21"/>
      <c r="CG58" s="21"/>
      <c r="CH58" s="21"/>
      <c r="CI58" s="21"/>
      <c r="CJ58" s="21"/>
      <c r="CK58" s="21"/>
      <c r="CL58" s="21"/>
      <c r="CM58" s="21"/>
    </row>
    <row r="59" spans="1:91" x14ac:dyDescent="0.25">
      <c r="A59" s="1">
        <f t="shared" si="0"/>
        <v>57</v>
      </c>
      <c r="B59" s="1" t="s">
        <v>227</v>
      </c>
      <c r="C59" s="1" t="s">
        <v>182</v>
      </c>
      <c r="D59" s="1" t="s">
        <v>886</v>
      </c>
      <c r="E59" s="2" t="s">
        <v>73</v>
      </c>
      <c r="F59" s="2" t="s">
        <v>6</v>
      </c>
      <c r="G59" s="24" t="s">
        <v>888</v>
      </c>
      <c r="H59" s="24" t="s">
        <v>76</v>
      </c>
      <c r="I59" s="24" t="s">
        <v>923</v>
      </c>
      <c r="J59" s="43"/>
      <c r="K59" s="24" t="s">
        <v>683</v>
      </c>
      <c r="L59" s="24" t="s">
        <v>753</v>
      </c>
      <c r="M59" s="24" t="s">
        <v>958</v>
      </c>
      <c r="N59" s="24">
        <v>1056</v>
      </c>
      <c r="O59" s="24" t="s">
        <v>76</v>
      </c>
      <c r="P59" s="40"/>
      <c r="Q59" s="28" t="s">
        <v>814</v>
      </c>
      <c r="R59" s="26"/>
      <c r="S59" s="26"/>
      <c r="T59" s="21">
        <f>VLOOKUP(N59,('Master File'!$I$3:$I$220),1,FALSE)</f>
        <v>1056</v>
      </c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1"/>
      <c r="CF59" s="21"/>
      <c r="CG59" s="21"/>
      <c r="CH59" s="21"/>
      <c r="CI59" s="21"/>
      <c r="CJ59" s="21"/>
      <c r="CK59" s="21"/>
      <c r="CL59" s="21"/>
      <c r="CM59" s="21"/>
    </row>
    <row r="60" spans="1:91" x14ac:dyDescent="0.25">
      <c r="A60" s="1">
        <f t="shared" si="0"/>
        <v>58</v>
      </c>
      <c r="B60" s="1" t="s">
        <v>228</v>
      </c>
      <c r="C60" s="1" t="s">
        <v>182</v>
      </c>
      <c r="D60" s="1" t="s">
        <v>886</v>
      </c>
      <c r="E60" s="2" t="s">
        <v>73</v>
      </c>
      <c r="F60" s="2" t="s">
        <v>6</v>
      </c>
      <c r="G60" s="24" t="s">
        <v>888</v>
      </c>
      <c r="H60" s="24" t="s">
        <v>925</v>
      </c>
      <c r="I60" s="24" t="s">
        <v>924</v>
      </c>
      <c r="J60" s="43"/>
      <c r="K60" s="24" t="s">
        <v>684</v>
      </c>
      <c r="L60" s="24" t="s">
        <v>754</v>
      </c>
      <c r="M60" s="24" t="s">
        <v>959</v>
      </c>
      <c r="N60" s="24">
        <v>1057</v>
      </c>
      <c r="O60" s="24" t="s">
        <v>77</v>
      </c>
      <c r="P60" s="40"/>
      <c r="Q60" s="28" t="s">
        <v>814</v>
      </c>
      <c r="R60" s="26"/>
      <c r="S60" s="26"/>
      <c r="T60" s="21">
        <f>VLOOKUP(N60,('Master File'!$I$3:$I$220),1,FALSE)</f>
        <v>1057</v>
      </c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1"/>
      <c r="CF60" s="21"/>
      <c r="CG60" s="21"/>
      <c r="CH60" s="21"/>
      <c r="CI60" s="21"/>
      <c r="CJ60" s="21"/>
      <c r="CK60" s="21"/>
      <c r="CL60" s="21"/>
      <c r="CM60" s="21"/>
    </row>
    <row r="61" spans="1:91" x14ac:dyDescent="0.25">
      <c r="A61" s="1">
        <f t="shared" si="0"/>
        <v>59</v>
      </c>
      <c r="B61" s="1" t="s">
        <v>229</v>
      </c>
      <c r="C61" s="1" t="s">
        <v>182</v>
      </c>
      <c r="D61" s="1" t="s">
        <v>886</v>
      </c>
      <c r="E61" s="2" t="s">
        <v>73</v>
      </c>
      <c r="F61" s="2" t="s">
        <v>6</v>
      </c>
      <c r="G61" s="24" t="s">
        <v>888</v>
      </c>
      <c r="H61" s="24" t="s">
        <v>78</v>
      </c>
      <c r="I61" s="24" t="s">
        <v>926</v>
      </c>
      <c r="J61" s="43"/>
      <c r="K61" s="24" t="s">
        <v>685</v>
      </c>
      <c r="L61" s="24" t="s">
        <v>777</v>
      </c>
      <c r="M61" s="24" t="s">
        <v>960</v>
      </c>
      <c r="N61" s="24">
        <v>1058</v>
      </c>
      <c r="O61" s="24" t="s">
        <v>78</v>
      </c>
      <c r="P61" s="40"/>
      <c r="Q61" s="28" t="s">
        <v>814</v>
      </c>
      <c r="R61" s="26"/>
      <c r="S61" s="26"/>
      <c r="T61" s="21">
        <f>VLOOKUP(N61,('Master File'!$I$3:$I$220),1,FALSE)</f>
        <v>1058</v>
      </c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1"/>
      <c r="CF61" s="21"/>
      <c r="CG61" s="21"/>
      <c r="CH61" s="21"/>
      <c r="CI61" s="21"/>
      <c r="CJ61" s="21"/>
      <c r="CK61" s="21"/>
      <c r="CL61" s="21"/>
      <c r="CM61" s="21"/>
    </row>
    <row r="62" spans="1:91" x14ac:dyDescent="0.25">
      <c r="A62" s="1">
        <f t="shared" si="0"/>
        <v>60</v>
      </c>
      <c r="B62" s="1" t="s">
        <v>230</v>
      </c>
      <c r="C62" s="1" t="s">
        <v>182</v>
      </c>
      <c r="D62" s="1" t="s">
        <v>886</v>
      </c>
      <c r="E62" s="2" t="s">
        <v>73</v>
      </c>
      <c r="F62" s="2" t="s">
        <v>6</v>
      </c>
      <c r="G62" s="24" t="s">
        <v>888</v>
      </c>
      <c r="H62" s="24" t="s">
        <v>834</v>
      </c>
      <c r="I62" s="24" t="s">
        <v>927</v>
      </c>
      <c r="J62" s="43"/>
      <c r="K62" s="24" t="s">
        <v>686</v>
      </c>
      <c r="L62" s="24" t="s">
        <v>755</v>
      </c>
      <c r="M62" s="24" t="s">
        <v>961</v>
      </c>
      <c r="N62" s="24">
        <v>1059</v>
      </c>
      <c r="O62" s="24" t="s">
        <v>79</v>
      </c>
      <c r="P62" s="40"/>
      <c r="Q62" s="28" t="s">
        <v>814</v>
      </c>
      <c r="R62" s="26"/>
      <c r="S62" s="26"/>
      <c r="T62" s="21">
        <f>VLOOKUP(N62,('Master File'!$I$3:$I$220),1,FALSE)</f>
        <v>1059</v>
      </c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1"/>
      <c r="CF62" s="21"/>
      <c r="CG62" s="21"/>
      <c r="CH62" s="21"/>
      <c r="CI62" s="21"/>
      <c r="CJ62" s="21"/>
      <c r="CK62" s="21"/>
      <c r="CL62" s="21"/>
      <c r="CM62" s="21"/>
    </row>
    <row r="63" spans="1:91" x14ac:dyDescent="0.25">
      <c r="A63" s="1">
        <f t="shared" si="0"/>
        <v>61</v>
      </c>
      <c r="B63" s="1" t="s">
        <v>231</v>
      </c>
      <c r="C63" s="1" t="s">
        <v>182</v>
      </c>
      <c r="D63" s="1" t="s">
        <v>886</v>
      </c>
      <c r="E63" s="2" t="s">
        <v>73</v>
      </c>
      <c r="F63" s="2" t="s">
        <v>6</v>
      </c>
      <c r="G63" s="24" t="s">
        <v>888</v>
      </c>
      <c r="H63" s="24" t="s">
        <v>80</v>
      </c>
      <c r="I63" s="24" t="s">
        <v>928</v>
      </c>
      <c r="J63" s="43"/>
      <c r="K63" s="24" t="s">
        <v>687</v>
      </c>
      <c r="L63" s="24" t="s">
        <v>762</v>
      </c>
      <c r="M63" s="24" t="s">
        <v>962</v>
      </c>
      <c r="N63" s="24">
        <v>1060</v>
      </c>
      <c r="O63" s="24" t="s">
        <v>80</v>
      </c>
      <c r="P63" s="40"/>
      <c r="Q63" s="28" t="s">
        <v>814</v>
      </c>
      <c r="R63" s="26"/>
      <c r="S63" s="26"/>
      <c r="T63" s="21">
        <f>VLOOKUP(N63,('Master File'!$I$3:$I$220),1,FALSE)</f>
        <v>1060</v>
      </c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1"/>
      <c r="CF63" s="21"/>
      <c r="CG63" s="21"/>
      <c r="CH63" s="21"/>
      <c r="CI63" s="21"/>
      <c r="CJ63" s="21"/>
      <c r="CK63" s="21"/>
      <c r="CL63" s="21"/>
      <c r="CM63" s="21"/>
    </row>
    <row r="64" spans="1:91" x14ac:dyDescent="0.25">
      <c r="A64" s="1">
        <f t="shared" si="0"/>
        <v>62</v>
      </c>
      <c r="B64" s="1" t="s">
        <v>232</v>
      </c>
      <c r="C64" s="1" t="s">
        <v>182</v>
      </c>
      <c r="D64" s="1" t="s">
        <v>886</v>
      </c>
      <c r="E64" s="2" t="s">
        <v>73</v>
      </c>
      <c r="F64" s="2" t="s">
        <v>6</v>
      </c>
      <c r="G64" s="24" t="s">
        <v>888</v>
      </c>
      <c r="H64" s="24" t="s">
        <v>835</v>
      </c>
      <c r="I64" s="24" t="s">
        <v>929</v>
      </c>
      <c r="J64" s="43"/>
      <c r="K64" s="24" t="s">
        <v>688</v>
      </c>
      <c r="L64" s="24" t="s">
        <v>780</v>
      </c>
      <c r="M64" s="24" t="s">
        <v>963</v>
      </c>
      <c r="N64" s="24">
        <v>1061</v>
      </c>
      <c r="O64" s="24" t="s">
        <v>81</v>
      </c>
      <c r="P64" s="40"/>
      <c r="Q64" s="28" t="s">
        <v>814</v>
      </c>
      <c r="R64" s="26"/>
      <c r="S64" s="26"/>
      <c r="T64" s="21">
        <f>VLOOKUP(N64,('Master File'!$I$3:$I$220),1,FALSE)</f>
        <v>1061</v>
      </c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1"/>
      <c r="CF64" s="21"/>
      <c r="CG64" s="21"/>
      <c r="CH64" s="21"/>
      <c r="CI64" s="21"/>
      <c r="CJ64" s="21"/>
      <c r="CK64" s="21"/>
      <c r="CL64" s="21"/>
      <c r="CM64" s="21"/>
    </row>
    <row r="65" spans="1:91" x14ac:dyDescent="0.25">
      <c r="A65" s="1">
        <f t="shared" si="0"/>
        <v>63</v>
      </c>
      <c r="B65" s="1" t="s">
        <v>233</v>
      </c>
      <c r="C65" s="1" t="s">
        <v>182</v>
      </c>
      <c r="D65" s="1" t="s">
        <v>886</v>
      </c>
      <c r="E65" s="2" t="s">
        <v>73</v>
      </c>
      <c r="F65" s="2" t="s">
        <v>6</v>
      </c>
      <c r="G65" s="24" t="s">
        <v>888</v>
      </c>
      <c r="H65" s="24" t="s">
        <v>82</v>
      </c>
      <c r="I65" s="24" t="s">
        <v>930</v>
      </c>
      <c r="J65" s="43"/>
      <c r="K65" s="24" t="s">
        <v>689</v>
      </c>
      <c r="L65" s="24" t="s">
        <v>767</v>
      </c>
      <c r="M65" s="24" t="s">
        <v>964</v>
      </c>
      <c r="N65" s="24">
        <v>1062</v>
      </c>
      <c r="O65" s="24" t="s">
        <v>82</v>
      </c>
      <c r="P65" s="40"/>
      <c r="Q65" s="28" t="s">
        <v>814</v>
      </c>
      <c r="R65" s="26"/>
      <c r="S65" s="26"/>
      <c r="T65" s="21">
        <f>VLOOKUP(N65,('Master File'!$I$3:$I$220),1,FALSE)</f>
        <v>1062</v>
      </c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1"/>
      <c r="CF65" s="21"/>
      <c r="CG65" s="21"/>
      <c r="CH65" s="21"/>
      <c r="CI65" s="21"/>
      <c r="CJ65" s="21"/>
      <c r="CK65" s="21"/>
      <c r="CL65" s="21"/>
      <c r="CM65" s="21"/>
    </row>
    <row r="66" spans="1:91" x14ac:dyDescent="0.25">
      <c r="A66" s="1">
        <f t="shared" si="0"/>
        <v>64</v>
      </c>
      <c r="B66" s="1" t="s">
        <v>234</v>
      </c>
      <c r="C66" s="1" t="s">
        <v>182</v>
      </c>
      <c r="D66" s="1" t="s">
        <v>886</v>
      </c>
      <c r="E66" s="2" t="s">
        <v>73</v>
      </c>
      <c r="F66" s="2" t="s">
        <v>6</v>
      </c>
      <c r="G66" s="24" t="s">
        <v>888</v>
      </c>
      <c r="H66" s="24" t="s">
        <v>315</v>
      </c>
      <c r="I66" s="24"/>
      <c r="J66" s="43"/>
      <c r="K66" s="24" t="s">
        <v>690</v>
      </c>
      <c r="L66" s="24" t="s">
        <v>768</v>
      </c>
      <c r="M66" s="24" t="s">
        <v>965</v>
      </c>
      <c r="N66" s="24">
        <v>1063</v>
      </c>
      <c r="O66" s="24" t="s">
        <v>315</v>
      </c>
      <c r="P66" s="40"/>
      <c r="Q66" s="28" t="s">
        <v>814</v>
      </c>
      <c r="R66" s="26"/>
      <c r="S66" s="26"/>
      <c r="T66" s="21">
        <f>VLOOKUP(N66,('Master File'!$I$3:$I$220),1,FALSE)</f>
        <v>1063</v>
      </c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1"/>
      <c r="CF66" s="21"/>
      <c r="CG66" s="21"/>
      <c r="CH66" s="21"/>
      <c r="CI66" s="21"/>
      <c r="CJ66" s="21"/>
      <c r="CK66" s="21"/>
      <c r="CL66" s="21"/>
      <c r="CM66" s="21"/>
    </row>
    <row r="67" spans="1:91" x14ac:dyDescent="0.25">
      <c r="A67" s="1">
        <f t="shared" si="0"/>
        <v>65</v>
      </c>
      <c r="B67" s="1" t="s">
        <v>235</v>
      </c>
      <c r="C67" s="1" t="s">
        <v>182</v>
      </c>
      <c r="D67" s="1" t="s">
        <v>886</v>
      </c>
      <c r="E67" s="2" t="s">
        <v>73</v>
      </c>
      <c r="F67" s="2" t="s">
        <v>6</v>
      </c>
      <c r="G67" s="24" t="s">
        <v>888</v>
      </c>
      <c r="H67" s="24" t="s">
        <v>83</v>
      </c>
      <c r="I67" s="24"/>
      <c r="J67" s="43"/>
      <c r="K67" s="24" t="s">
        <v>691</v>
      </c>
      <c r="L67" s="24" t="s">
        <v>769</v>
      </c>
      <c r="M67" s="24" t="s">
        <v>966</v>
      </c>
      <c r="N67" s="24">
        <v>1064</v>
      </c>
      <c r="O67" s="24" t="s">
        <v>83</v>
      </c>
      <c r="P67" s="40"/>
      <c r="Q67" s="28" t="s">
        <v>809</v>
      </c>
      <c r="R67" s="26"/>
      <c r="S67" s="26"/>
      <c r="T67" s="21" t="e">
        <f>VLOOKUP(N67,('Master File'!$I$3:$I$220),1,FALSE)</f>
        <v>#N/A</v>
      </c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1"/>
      <c r="CF67" s="21"/>
      <c r="CG67" s="21"/>
      <c r="CH67" s="21"/>
      <c r="CI67" s="21"/>
      <c r="CJ67" s="21"/>
      <c r="CK67" s="21"/>
      <c r="CL67" s="21"/>
      <c r="CM67" s="21"/>
    </row>
    <row r="68" spans="1:91" x14ac:dyDescent="0.25">
      <c r="A68" s="1">
        <f t="shared" si="0"/>
        <v>66</v>
      </c>
      <c r="B68" s="1" t="s">
        <v>236</v>
      </c>
      <c r="C68" s="1" t="s">
        <v>182</v>
      </c>
      <c r="D68" s="1" t="s">
        <v>886</v>
      </c>
      <c r="E68" s="2" t="s">
        <v>84</v>
      </c>
      <c r="F68" s="2" t="s">
        <v>6</v>
      </c>
      <c r="G68" s="24" t="s">
        <v>888</v>
      </c>
      <c r="H68" s="24" t="s">
        <v>85</v>
      </c>
      <c r="I68" s="24" t="s">
        <v>931</v>
      </c>
      <c r="J68" s="43"/>
      <c r="K68" s="24" t="s">
        <v>692</v>
      </c>
      <c r="L68" s="24" t="s">
        <v>770</v>
      </c>
      <c r="M68" s="24" t="s">
        <v>967</v>
      </c>
      <c r="N68" s="24">
        <v>1065</v>
      </c>
      <c r="O68" s="24" t="s">
        <v>85</v>
      </c>
      <c r="P68" s="40"/>
      <c r="Q68" s="28" t="s">
        <v>814</v>
      </c>
      <c r="R68" s="26"/>
      <c r="S68" s="26"/>
      <c r="T68" s="21">
        <f>VLOOKUP(N68,('Master File'!$I$3:$I$220),1,FALSE)</f>
        <v>1065</v>
      </c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1"/>
      <c r="CF68" s="21"/>
      <c r="CG68" s="21"/>
      <c r="CH68" s="21"/>
      <c r="CI68" s="21"/>
      <c r="CJ68" s="21"/>
      <c r="CK68" s="21"/>
      <c r="CL68" s="21"/>
      <c r="CM68" s="21"/>
    </row>
    <row r="69" spans="1:91" x14ac:dyDescent="0.25">
      <c r="A69" s="1">
        <f t="shared" si="0"/>
        <v>67</v>
      </c>
      <c r="B69" s="1" t="s">
        <v>237</v>
      </c>
      <c r="C69" s="1" t="s">
        <v>182</v>
      </c>
      <c r="D69" s="1" t="s">
        <v>886</v>
      </c>
      <c r="E69" s="2" t="s">
        <v>84</v>
      </c>
      <c r="F69" s="2" t="s">
        <v>6</v>
      </c>
      <c r="G69" s="24" t="s">
        <v>888</v>
      </c>
      <c r="H69" s="24" t="s">
        <v>86</v>
      </c>
      <c r="I69" s="24" t="s">
        <v>932</v>
      </c>
      <c r="J69" s="43"/>
      <c r="K69" s="24" t="s">
        <v>693</v>
      </c>
      <c r="L69" s="24" t="s">
        <v>756</v>
      </c>
      <c r="M69" s="24" t="s">
        <v>968</v>
      </c>
      <c r="N69" s="24">
        <v>1066</v>
      </c>
      <c r="O69" s="24" t="s">
        <v>86</v>
      </c>
      <c r="P69" s="40"/>
      <c r="Q69" s="28" t="s">
        <v>814</v>
      </c>
      <c r="R69" s="26"/>
      <c r="S69" s="26"/>
      <c r="T69" s="21">
        <f>VLOOKUP(N69,('Master File'!$I$3:$I$220),1,FALSE)</f>
        <v>1066</v>
      </c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1"/>
      <c r="CF69" s="21"/>
      <c r="CG69" s="21"/>
      <c r="CH69" s="21"/>
      <c r="CI69" s="21"/>
      <c r="CJ69" s="21"/>
      <c r="CK69" s="21"/>
      <c r="CL69" s="21"/>
      <c r="CM69" s="21"/>
    </row>
    <row r="70" spans="1:91" x14ac:dyDescent="0.25">
      <c r="A70" s="1">
        <f t="shared" ref="A70:A133" si="1">A69+1</f>
        <v>68</v>
      </c>
      <c r="B70" s="1" t="s">
        <v>238</v>
      </c>
      <c r="C70" s="1" t="s">
        <v>182</v>
      </c>
      <c r="D70" s="1" t="s">
        <v>886</v>
      </c>
      <c r="E70" s="2" t="s">
        <v>84</v>
      </c>
      <c r="F70" s="2" t="s">
        <v>6</v>
      </c>
      <c r="G70" s="24" t="s">
        <v>888</v>
      </c>
      <c r="H70" s="24" t="s">
        <v>87</v>
      </c>
      <c r="I70" s="24" t="s">
        <v>933</v>
      </c>
      <c r="J70" s="43"/>
      <c r="K70" s="24" t="s">
        <v>694</v>
      </c>
      <c r="L70" s="24" t="s">
        <v>771</v>
      </c>
      <c r="M70" s="24" t="s">
        <v>969</v>
      </c>
      <c r="N70" s="24">
        <v>1067</v>
      </c>
      <c r="O70" s="24" t="s">
        <v>87</v>
      </c>
      <c r="P70" s="40"/>
      <c r="Q70" s="28" t="s">
        <v>814</v>
      </c>
      <c r="R70" s="26"/>
      <c r="S70" s="26"/>
      <c r="T70" s="21">
        <f>VLOOKUP(N70,('Master File'!$I$3:$I$220),1,FALSE)</f>
        <v>1067</v>
      </c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1"/>
      <c r="CF70" s="21"/>
      <c r="CG70" s="21"/>
      <c r="CH70" s="21"/>
      <c r="CI70" s="21"/>
      <c r="CJ70" s="21"/>
      <c r="CK70" s="21"/>
      <c r="CL70" s="21"/>
      <c r="CM70" s="21"/>
    </row>
    <row r="71" spans="1:91" x14ac:dyDescent="0.25">
      <c r="A71" s="1">
        <f t="shared" si="1"/>
        <v>69</v>
      </c>
      <c r="B71" s="1" t="s">
        <v>239</v>
      </c>
      <c r="C71" s="1" t="s">
        <v>182</v>
      </c>
      <c r="D71" s="1" t="s">
        <v>886</v>
      </c>
      <c r="E71" s="2" t="s">
        <v>88</v>
      </c>
      <c r="F71" s="2" t="s">
        <v>6</v>
      </c>
      <c r="G71" s="24" t="s">
        <v>888</v>
      </c>
      <c r="H71" s="24" t="s">
        <v>89</v>
      </c>
      <c r="I71" s="24" t="s">
        <v>934</v>
      </c>
      <c r="J71" s="43"/>
      <c r="K71" s="24" t="s">
        <v>695</v>
      </c>
      <c r="L71" s="24" t="s">
        <v>757</v>
      </c>
      <c r="M71" s="24" t="s">
        <v>970</v>
      </c>
      <c r="N71" s="24">
        <v>1068</v>
      </c>
      <c r="O71" s="24" t="s">
        <v>89</v>
      </c>
      <c r="P71" s="40"/>
      <c r="Q71" s="28" t="s">
        <v>814</v>
      </c>
      <c r="R71" s="26"/>
      <c r="S71" s="26"/>
      <c r="T71" s="21">
        <f>VLOOKUP(N71,('Master File'!$I$3:$I$220),1,FALSE)</f>
        <v>1068</v>
      </c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1"/>
      <c r="CF71" s="21"/>
      <c r="CG71" s="21"/>
      <c r="CH71" s="21"/>
      <c r="CI71" s="21"/>
      <c r="CJ71" s="21"/>
      <c r="CK71" s="21"/>
      <c r="CL71" s="21"/>
      <c r="CM71" s="21"/>
    </row>
    <row r="72" spans="1:91" x14ac:dyDescent="0.25">
      <c r="A72" s="1">
        <f t="shared" si="1"/>
        <v>70</v>
      </c>
      <c r="B72" s="1" t="s">
        <v>240</v>
      </c>
      <c r="C72" s="1" t="s">
        <v>182</v>
      </c>
      <c r="D72" s="1" t="s">
        <v>886</v>
      </c>
      <c r="E72" s="2" t="s">
        <v>88</v>
      </c>
      <c r="F72" s="2" t="s">
        <v>6</v>
      </c>
      <c r="G72" s="24" t="s">
        <v>888</v>
      </c>
      <c r="H72" s="24" t="s">
        <v>90</v>
      </c>
      <c r="I72" s="24" t="s">
        <v>935</v>
      </c>
      <c r="J72" s="43"/>
      <c r="K72" s="24" t="s">
        <v>678</v>
      </c>
      <c r="L72" s="24" t="s">
        <v>758</v>
      </c>
      <c r="M72" s="24" t="s">
        <v>971</v>
      </c>
      <c r="N72" s="24">
        <v>1069</v>
      </c>
      <c r="O72" s="24" t="s">
        <v>90</v>
      </c>
      <c r="P72" s="40"/>
      <c r="Q72" s="28" t="s">
        <v>814</v>
      </c>
      <c r="R72" s="26"/>
      <c r="S72" s="26"/>
      <c r="T72" s="21">
        <f>VLOOKUP(N72,('Master File'!$I$3:$I$220),1,FALSE)</f>
        <v>1069</v>
      </c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1"/>
      <c r="CF72" s="21"/>
      <c r="CG72" s="21"/>
      <c r="CH72" s="21"/>
      <c r="CI72" s="21"/>
      <c r="CJ72" s="21"/>
      <c r="CK72" s="21"/>
      <c r="CL72" s="21"/>
      <c r="CM72" s="21"/>
    </row>
    <row r="73" spans="1:91" x14ac:dyDescent="0.25">
      <c r="A73" s="1">
        <f t="shared" si="1"/>
        <v>71</v>
      </c>
      <c r="B73" s="1" t="s">
        <v>241</v>
      </c>
      <c r="C73" s="1" t="s">
        <v>182</v>
      </c>
      <c r="D73" s="1"/>
      <c r="E73" s="2" t="s">
        <v>56</v>
      </c>
      <c r="F73" s="2" t="s">
        <v>6</v>
      </c>
      <c r="G73" s="24" t="s">
        <v>888</v>
      </c>
      <c r="H73" s="24" t="s">
        <v>96</v>
      </c>
      <c r="I73" s="24" t="s">
        <v>910</v>
      </c>
      <c r="J73" s="43"/>
      <c r="K73" s="24" t="s">
        <v>696</v>
      </c>
      <c r="L73" s="24" t="s">
        <v>1151</v>
      </c>
      <c r="M73" s="24"/>
      <c r="N73" s="24">
        <v>1070</v>
      </c>
      <c r="O73" s="24" t="s">
        <v>96</v>
      </c>
      <c r="P73" s="40">
        <v>90</v>
      </c>
      <c r="Q73" s="28" t="s">
        <v>814</v>
      </c>
      <c r="R73" s="26">
        <v>300</v>
      </c>
      <c r="S73" s="26"/>
      <c r="T73" s="21">
        <f>VLOOKUP(N73,('Master File'!$I$3:$I$220),1,FALSE)</f>
        <v>1070</v>
      </c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1"/>
      <c r="CF73" s="21"/>
      <c r="CG73" s="21"/>
      <c r="CH73" s="21"/>
      <c r="CI73" s="21"/>
      <c r="CJ73" s="21"/>
      <c r="CK73" s="21"/>
      <c r="CL73" s="21"/>
      <c r="CM73" s="21"/>
    </row>
    <row r="74" spans="1:91" x14ac:dyDescent="0.25">
      <c r="A74" s="1">
        <f t="shared" si="1"/>
        <v>72</v>
      </c>
      <c r="B74" s="1" t="s">
        <v>242</v>
      </c>
      <c r="C74" s="1" t="s">
        <v>182</v>
      </c>
      <c r="D74" s="1"/>
      <c r="E74" s="2" t="s">
        <v>56</v>
      </c>
      <c r="F74" s="2" t="s">
        <v>6</v>
      </c>
      <c r="G74" s="24" t="s">
        <v>939</v>
      </c>
      <c r="H74" s="24" t="s">
        <v>1134</v>
      </c>
      <c r="I74" s="24"/>
      <c r="J74" s="43"/>
      <c r="K74" s="24" t="s">
        <v>697</v>
      </c>
      <c r="L74" s="24" t="s">
        <v>1136</v>
      </c>
      <c r="M74" s="24"/>
      <c r="N74" s="24">
        <v>1071</v>
      </c>
      <c r="O74" s="24" t="s">
        <v>1133</v>
      </c>
      <c r="P74" s="40">
        <v>16</v>
      </c>
      <c r="Q74" s="28" t="s">
        <v>814</v>
      </c>
      <c r="R74" s="26"/>
      <c r="S74" s="26"/>
      <c r="T74" s="21">
        <f>VLOOKUP(N74,('Master File'!$I$3:$I$220),1,FALSE)</f>
        <v>1071</v>
      </c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1"/>
      <c r="CF74" s="21"/>
      <c r="CG74" s="21"/>
      <c r="CH74" s="21"/>
      <c r="CI74" s="21"/>
      <c r="CJ74" s="21"/>
      <c r="CK74" s="21"/>
      <c r="CL74" s="21"/>
      <c r="CM74" s="21"/>
    </row>
    <row r="75" spans="1:91" x14ac:dyDescent="0.25">
      <c r="A75" s="1">
        <f t="shared" si="1"/>
        <v>73</v>
      </c>
      <c r="B75" s="1" t="s">
        <v>243</v>
      </c>
      <c r="C75" s="1" t="s">
        <v>182</v>
      </c>
      <c r="D75" s="1"/>
      <c r="E75" s="2" t="s">
        <v>102</v>
      </c>
      <c r="F75" s="2" t="s">
        <v>6</v>
      </c>
      <c r="G75" s="24" t="s">
        <v>939</v>
      </c>
      <c r="H75" s="24" t="s">
        <v>872</v>
      </c>
      <c r="I75" s="24"/>
      <c r="J75" s="43"/>
      <c r="K75" s="24" t="s">
        <v>698</v>
      </c>
      <c r="L75" s="24" t="s">
        <v>776</v>
      </c>
      <c r="M75" s="24"/>
      <c r="N75" s="24">
        <v>1072</v>
      </c>
      <c r="O75" s="24" t="s">
        <v>1138</v>
      </c>
      <c r="P75" s="40">
        <v>20</v>
      </c>
      <c r="Q75" s="28" t="s">
        <v>814</v>
      </c>
      <c r="R75" s="26"/>
      <c r="S75" s="26"/>
      <c r="T75" s="21">
        <f>VLOOKUP(N75,('Master File'!$I$3:$I$220),1,FALSE)</f>
        <v>1072</v>
      </c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1"/>
      <c r="CF75" s="21"/>
      <c r="CG75" s="21"/>
      <c r="CH75" s="21"/>
      <c r="CI75" s="21"/>
      <c r="CJ75" s="21"/>
      <c r="CK75" s="21"/>
      <c r="CL75" s="21"/>
      <c r="CM75" s="21"/>
    </row>
    <row r="76" spans="1:91" x14ac:dyDescent="0.25">
      <c r="A76" s="1">
        <f t="shared" si="1"/>
        <v>74</v>
      </c>
      <c r="B76" s="1" t="s">
        <v>244</v>
      </c>
      <c r="C76" s="1" t="s">
        <v>182</v>
      </c>
      <c r="D76" s="1"/>
      <c r="E76" s="2" t="s">
        <v>102</v>
      </c>
      <c r="F76" s="2" t="s">
        <v>6</v>
      </c>
      <c r="G76" s="24" t="s">
        <v>939</v>
      </c>
      <c r="H76" s="24" t="s">
        <v>873</v>
      </c>
      <c r="I76" s="24"/>
      <c r="J76" s="43"/>
      <c r="K76" s="24" t="s">
        <v>698</v>
      </c>
      <c r="L76" s="24" t="s">
        <v>1141</v>
      </c>
      <c r="M76" s="24"/>
      <c r="N76" s="24">
        <v>1073</v>
      </c>
      <c r="O76" s="24" t="s">
        <v>1139</v>
      </c>
      <c r="P76" s="40">
        <v>20</v>
      </c>
      <c r="Q76" s="28" t="s">
        <v>814</v>
      </c>
      <c r="R76" s="26"/>
      <c r="S76" s="26"/>
      <c r="T76" s="21">
        <f>VLOOKUP(N76,('Master File'!$I$3:$I$220),1,FALSE)</f>
        <v>1073</v>
      </c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1"/>
      <c r="CF76" s="21"/>
      <c r="CG76" s="21"/>
      <c r="CH76" s="21"/>
      <c r="CI76" s="21"/>
      <c r="CJ76" s="21"/>
      <c r="CK76" s="21"/>
      <c r="CL76" s="21"/>
      <c r="CM76" s="21"/>
    </row>
    <row r="77" spans="1:91" x14ac:dyDescent="0.25">
      <c r="A77" s="1">
        <f t="shared" si="1"/>
        <v>75</v>
      </c>
      <c r="B77" s="1" t="s">
        <v>245</v>
      </c>
      <c r="C77" s="1" t="s">
        <v>182</v>
      </c>
      <c r="D77" s="1"/>
      <c r="E77" s="2" t="s">
        <v>102</v>
      </c>
      <c r="F77" s="2" t="s">
        <v>6</v>
      </c>
      <c r="G77" s="24" t="s">
        <v>939</v>
      </c>
      <c r="H77" s="24" t="s">
        <v>874</v>
      </c>
      <c r="I77" s="24"/>
      <c r="J77" s="43"/>
      <c r="K77" s="24" t="s">
        <v>699</v>
      </c>
      <c r="L77" s="24" t="s">
        <v>1142</v>
      </c>
      <c r="M77" s="24"/>
      <c r="N77" s="24">
        <v>1074</v>
      </c>
      <c r="O77" s="24" t="s">
        <v>1140</v>
      </c>
      <c r="P77" s="40">
        <v>20</v>
      </c>
      <c r="Q77" s="28" t="s">
        <v>814</v>
      </c>
      <c r="R77" s="26"/>
      <c r="S77" s="26"/>
      <c r="T77" s="21">
        <f>VLOOKUP(N77,('Master File'!$I$3:$I$220),1,FALSE)</f>
        <v>1074</v>
      </c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1"/>
      <c r="CF77" s="21"/>
      <c r="CG77" s="21"/>
      <c r="CH77" s="21"/>
      <c r="CI77" s="21"/>
      <c r="CJ77" s="21"/>
      <c r="CK77" s="21"/>
      <c r="CL77" s="21"/>
      <c r="CM77" s="21"/>
    </row>
    <row r="78" spans="1:91" x14ac:dyDescent="0.25">
      <c r="A78" s="1">
        <f t="shared" si="1"/>
        <v>76</v>
      </c>
      <c r="B78" s="1" t="s">
        <v>246</v>
      </c>
      <c r="C78" s="1" t="s">
        <v>182</v>
      </c>
      <c r="D78" s="1"/>
      <c r="E78" s="2" t="s">
        <v>102</v>
      </c>
      <c r="F78" s="2" t="s">
        <v>6</v>
      </c>
      <c r="G78" s="24" t="s">
        <v>939</v>
      </c>
      <c r="H78" s="24" t="s">
        <v>872</v>
      </c>
      <c r="I78" s="24"/>
      <c r="J78" s="43"/>
      <c r="K78" s="24" t="s">
        <v>700</v>
      </c>
      <c r="L78" s="24"/>
      <c r="M78" s="24"/>
      <c r="N78" s="24">
        <v>1075</v>
      </c>
      <c r="O78" s="24" t="s">
        <v>103</v>
      </c>
      <c r="P78" s="40">
        <v>20</v>
      </c>
      <c r="Q78" s="28" t="s">
        <v>809</v>
      </c>
      <c r="R78" s="26"/>
      <c r="S78" s="26"/>
      <c r="T78" s="21" t="e">
        <f>VLOOKUP(N78,('Master File'!$I$3:$I$220),1,FALSE)</f>
        <v>#N/A</v>
      </c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1"/>
      <c r="CF78" s="21"/>
      <c r="CG78" s="21"/>
      <c r="CH78" s="21"/>
      <c r="CI78" s="21"/>
      <c r="CJ78" s="21"/>
      <c r="CK78" s="21"/>
      <c r="CL78" s="21"/>
      <c r="CM78" s="21"/>
    </row>
    <row r="79" spans="1:91" x14ac:dyDescent="0.25">
      <c r="A79" s="1">
        <f t="shared" si="1"/>
        <v>77</v>
      </c>
      <c r="B79" s="1" t="s">
        <v>247</v>
      </c>
      <c r="C79" s="1" t="s">
        <v>182</v>
      </c>
      <c r="D79" s="1"/>
      <c r="E79" s="2" t="s">
        <v>56</v>
      </c>
      <c r="F79" s="2" t="s">
        <v>6</v>
      </c>
      <c r="G79" s="24" t="s">
        <v>939</v>
      </c>
      <c r="H79" s="24" t="s">
        <v>880</v>
      </c>
      <c r="I79" s="24"/>
      <c r="J79" s="43"/>
      <c r="K79" s="24" t="s">
        <v>701</v>
      </c>
      <c r="L79" s="24" t="s">
        <v>1072</v>
      </c>
      <c r="M79" s="24"/>
      <c r="N79" s="24">
        <v>1076</v>
      </c>
      <c r="O79" s="24" t="s">
        <v>105</v>
      </c>
      <c r="P79" s="40">
        <v>20</v>
      </c>
      <c r="Q79" s="28" t="s">
        <v>814</v>
      </c>
      <c r="R79" s="26"/>
      <c r="S79" s="26"/>
      <c r="T79" s="21">
        <f>VLOOKUP(N79,('Master File'!$I$3:$I$220),1,FALSE)</f>
        <v>1076</v>
      </c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1"/>
      <c r="CF79" s="21"/>
      <c r="CG79" s="21"/>
      <c r="CH79" s="21"/>
      <c r="CI79" s="21"/>
      <c r="CJ79" s="21"/>
      <c r="CK79" s="21"/>
      <c r="CL79" s="21"/>
      <c r="CM79" s="21"/>
    </row>
    <row r="80" spans="1:91" x14ac:dyDescent="0.25">
      <c r="A80" s="1">
        <f t="shared" si="1"/>
        <v>78</v>
      </c>
      <c r="B80" s="1" t="s">
        <v>248</v>
      </c>
      <c r="C80" s="1" t="s">
        <v>182</v>
      </c>
      <c r="D80" s="1"/>
      <c r="E80" s="2" t="s">
        <v>56</v>
      </c>
      <c r="F80" s="2" t="s">
        <v>6</v>
      </c>
      <c r="G80" s="24" t="s">
        <v>939</v>
      </c>
      <c r="H80" s="24" t="s">
        <v>876</v>
      </c>
      <c r="I80" s="24"/>
      <c r="J80" s="43"/>
      <c r="K80" s="24" t="s">
        <v>702</v>
      </c>
      <c r="L80" s="24" t="s">
        <v>1073</v>
      </c>
      <c r="M80" s="24"/>
      <c r="N80" s="24">
        <v>1077</v>
      </c>
      <c r="O80" s="24" t="s">
        <v>108</v>
      </c>
      <c r="P80" s="40">
        <v>20</v>
      </c>
      <c r="Q80" s="28" t="s">
        <v>813</v>
      </c>
      <c r="R80" s="26"/>
      <c r="S80" s="26"/>
      <c r="T80" s="21" t="e">
        <f>VLOOKUP(N80,('Master File'!$I$3:$I$220),1,FALSE)</f>
        <v>#N/A</v>
      </c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1"/>
      <c r="CF80" s="21"/>
      <c r="CG80" s="21"/>
      <c r="CH80" s="21"/>
      <c r="CI80" s="21"/>
      <c r="CJ80" s="21"/>
      <c r="CK80" s="21"/>
      <c r="CL80" s="21"/>
      <c r="CM80" s="21"/>
    </row>
    <row r="81" spans="1:91" x14ac:dyDescent="0.25">
      <c r="A81" s="1">
        <f t="shared" si="1"/>
        <v>79</v>
      </c>
      <c r="B81" s="1" t="s">
        <v>249</v>
      </c>
      <c r="C81" s="1" t="s">
        <v>182</v>
      </c>
      <c r="D81" s="1"/>
      <c r="E81" s="2" t="s">
        <v>56</v>
      </c>
      <c r="F81" s="2" t="s">
        <v>6</v>
      </c>
      <c r="G81" s="24" t="s">
        <v>939</v>
      </c>
      <c r="H81" s="24" t="s">
        <v>877</v>
      </c>
      <c r="I81" s="24"/>
      <c r="J81" s="43"/>
      <c r="K81" s="24" t="s">
        <v>703</v>
      </c>
      <c r="L81" s="24" t="s">
        <v>703</v>
      </c>
      <c r="M81" s="24"/>
      <c r="N81" s="24">
        <v>1078</v>
      </c>
      <c r="O81" s="24" t="s">
        <v>110</v>
      </c>
      <c r="P81" s="40">
        <v>20</v>
      </c>
      <c r="Q81" s="28" t="s">
        <v>813</v>
      </c>
      <c r="R81" s="26"/>
      <c r="S81" s="26"/>
      <c r="T81" s="21" t="e">
        <f>VLOOKUP(N81,('Master File'!$I$3:$I$220),1,FALSE)</f>
        <v>#N/A</v>
      </c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1"/>
      <c r="CF81" s="21"/>
      <c r="CG81" s="21"/>
      <c r="CH81" s="21"/>
      <c r="CI81" s="21"/>
      <c r="CJ81" s="21"/>
      <c r="CK81" s="21"/>
      <c r="CL81" s="21"/>
      <c r="CM81" s="21"/>
    </row>
    <row r="82" spans="1:91" x14ac:dyDescent="0.25">
      <c r="A82" s="1">
        <f t="shared" si="1"/>
        <v>80</v>
      </c>
      <c r="B82" s="1" t="s">
        <v>250</v>
      </c>
      <c r="C82" s="1" t="s">
        <v>182</v>
      </c>
      <c r="D82" s="1"/>
      <c r="E82" s="2" t="s">
        <v>56</v>
      </c>
      <c r="F82" s="2" t="s">
        <v>6</v>
      </c>
      <c r="G82" s="24" t="s">
        <v>939</v>
      </c>
      <c r="H82" s="24" t="s">
        <v>881</v>
      </c>
      <c r="I82" s="24"/>
      <c r="J82" s="43"/>
      <c r="K82" s="24" t="s">
        <v>704</v>
      </c>
      <c r="L82" s="24" t="s">
        <v>1074</v>
      </c>
      <c r="M82" s="24"/>
      <c r="N82" s="24">
        <v>1079</v>
      </c>
      <c r="O82" s="24" t="s">
        <v>111</v>
      </c>
      <c r="P82" s="40">
        <v>14</v>
      </c>
      <c r="Q82" s="28" t="s">
        <v>813</v>
      </c>
      <c r="R82" s="26"/>
      <c r="S82" s="26"/>
      <c r="T82" s="21" t="e">
        <f>VLOOKUP(N82,('Master File'!$I$3:$I$220),1,FALSE)</f>
        <v>#N/A</v>
      </c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1"/>
      <c r="CF82" s="21"/>
      <c r="CG82" s="21"/>
      <c r="CH82" s="21"/>
      <c r="CI82" s="21"/>
      <c r="CJ82" s="21"/>
      <c r="CK82" s="21"/>
      <c r="CL82" s="21"/>
      <c r="CM82" s="21"/>
    </row>
    <row r="83" spans="1:91" x14ac:dyDescent="0.25">
      <c r="A83" s="1">
        <f t="shared" si="1"/>
        <v>81</v>
      </c>
      <c r="B83" s="1" t="s">
        <v>251</v>
      </c>
      <c r="C83" s="1" t="s">
        <v>182</v>
      </c>
      <c r="D83" s="1"/>
      <c r="E83" s="2" t="s">
        <v>56</v>
      </c>
      <c r="F83" s="2" t="s">
        <v>6</v>
      </c>
      <c r="G83" s="24" t="s">
        <v>939</v>
      </c>
      <c r="H83" s="24" t="s">
        <v>882</v>
      </c>
      <c r="I83" s="24"/>
      <c r="J83" s="43"/>
      <c r="K83" s="24" t="s">
        <v>705</v>
      </c>
      <c r="L83" s="24" t="s">
        <v>1075</v>
      </c>
      <c r="M83" s="24"/>
      <c r="N83" s="24">
        <v>1080</v>
      </c>
      <c r="O83" s="24" t="s">
        <v>1183</v>
      </c>
      <c r="P83" s="40">
        <v>18</v>
      </c>
      <c r="Q83" s="28" t="s">
        <v>814</v>
      </c>
      <c r="R83" s="26"/>
      <c r="S83" s="26"/>
      <c r="T83" s="21">
        <f>VLOOKUP(N83,('Master File'!$I$3:$I$220),1,FALSE)</f>
        <v>1080</v>
      </c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1"/>
      <c r="CF83" s="21"/>
      <c r="CG83" s="21"/>
      <c r="CH83" s="21"/>
      <c r="CI83" s="21"/>
      <c r="CJ83" s="21"/>
      <c r="CK83" s="21"/>
      <c r="CL83" s="21"/>
      <c r="CM83" s="21"/>
    </row>
    <row r="84" spans="1:91" x14ac:dyDescent="0.25">
      <c r="A84" s="1">
        <f t="shared" si="1"/>
        <v>82</v>
      </c>
      <c r="B84" s="1" t="s">
        <v>252</v>
      </c>
      <c r="C84" s="1" t="s">
        <v>182</v>
      </c>
      <c r="D84" s="1"/>
      <c r="E84" s="2" t="s">
        <v>56</v>
      </c>
      <c r="F84" s="2" t="s">
        <v>6</v>
      </c>
      <c r="G84" s="24" t="s">
        <v>939</v>
      </c>
      <c r="H84" s="24" t="s">
        <v>883</v>
      </c>
      <c r="I84" s="24"/>
      <c r="J84" s="43"/>
      <c r="K84" s="24" t="s">
        <v>706</v>
      </c>
      <c r="L84" s="24" t="s">
        <v>1076</v>
      </c>
      <c r="M84" s="24"/>
      <c r="N84" s="24">
        <v>1081</v>
      </c>
      <c r="O84" s="24" t="s">
        <v>113</v>
      </c>
      <c r="P84" s="40">
        <v>14</v>
      </c>
      <c r="Q84" s="28" t="s">
        <v>813</v>
      </c>
      <c r="R84" s="26"/>
      <c r="S84" s="26"/>
      <c r="T84" s="21" t="e">
        <f>VLOOKUP(N84,('Master File'!$I$3:$I$220),1,FALSE)</f>
        <v>#N/A</v>
      </c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1"/>
      <c r="CF84" s="21"/>
      <c r="CG84" s="21"/>
      <c r="CH84" s="21"/>
      <c r="CI84" s="21"/>
      <c r="CJ84" s="21"/>
      <c r="CK84" s="21"/>
      <c r="CL84" s="21"/>
      <c r="CM84" s="21"/>
    </row>
    <row r="85" spans="1:91" x14ac:dyDescent="0.25">
      <c r="A85" s="1">
        <f t="shared" si="1"/>
        <v>83</v>
      </c>
      <c r="B85" s="1" t="s">
        <v>253</v>
      </c>
      <c r="C85" s="1" t="s">
        <v>182</v>
      </c>
      <c r="D85" s="1"/>
      <c r="E85" s="2" t="s">
        <v>56</v>
      </c>
      <c r="F85" s="2" t="s">
        <v>6</v>
      </c>
      <c r="G85" s="24" t="s">
        <v>939</v>
      </c>
      <c r="H85" s="24" t="s">
        <v>878</v>
      </c>
      <c r="I85" s="24"/>
      <c r="J85" s="43"/>
      <c r="K85" s="24" t="s">
        <v>707</v>
      </c>
      <c r="L85" s="24" t="s">
        <v>1077</v>
      </c>
      <c r="M85" s="24"/>
      <c r="N85" s="24">
        <v>1082</v>
      </c>
      <c r="O85" s="24" t="s">
        <v>119</v>
      </c>
      <c r="P85" s="40">
        <v>18</v>
      </c>
      <c r="Q85" s="28" t="s">
        <v>814</v>
      </c>
      <c r="R85" s="26"/>
      <c r="S85" s="26"/>
      <c r="T85" s="21">
        <f>VLOOKUP(N85,('Master File'!$I$3:$I$220),1,FALSE)</f>
        <v>1082</v>
      </c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1"/>
      <c r="CF85" s="21"/>
      <c r="CG85" s="21"/>
      <c r="CH85" s="21"/>
      <c r="CI85" s="21"/>
      <c r="CJ85" s="21"/>
      <c r="CK85" s="21"/>
      <c r="CL85" s="21"/>
      <c r="CM85" s="21"/>
    </row>
    <row r="86" spans="1:91" x14ac:dyDescent="0.25">
      <c r="A86" s="1">
        <f t="shared" si="1"/>
        <v>84</v>
      </c>
      <c r="B86" s="1" t="s">
        <v>254</v>
      </c>
      <c r="C86" s="1" t="s">
        <v>182</v>
      </c>
      <c r="D86" s="1"/>
      <c r="E86" s="2" t="s">
        <v>73</v>
      </c>
      <c r="F86" s="2" t="s">
        <v>6</v>
      </c>
      <c r="G86" s="24" t="s">
        <v>888</v>
      </c>
      <c r="H86" s="24" t="s">
        <v>120</v>
      </c>
      <c r="I86" s="24"/>
      <c r="J86" s="43"/>
      <c r="K86" s="24" t="s">
        <v>708</v>
      </c>
      <c r="L86" s="24" t="s">
        <v>772</v>
      </c>
      <c r="M86" s="24" t="s">
        <v>1145</v>
      </c>
      <c r="N86" s="24">
        <v>1083</v>
      </c>
      <c r="O86" s="24" t="s">
        <v>120</v>
      </c>
      <c r="P86" s="40">
        <v>0</v>
      </c>
      <c r="Q86" s="28" t="s">
        <v>814</v>
      </c>
      <c r="R86" s="26"/>
      <c r="S86" s="26"/>
      <c r="T86" s="21">
        <f>VLOOKUP(N86,('Master File'!$I$3:$I$220),1,FALSE)</f>
        <v>1083</v>
      </c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1"/>
      <c r="CF86" s="21"/>
      <c r="CG86" s="21"/>
      <c r="CH86" s="21"/>
      <c r="CI86" s="21"/>
      <c r="CJ86" s="21"/>
      <c r="CK86" s="21"/>
      <c r="CL86" s="21"/>
      <c r="CM86" s="21"/>
    </row>
    <row r="87" spans="1:91" x14ac:dyDescent="0.25">
      <c r="A87" s="1">
        <f t="shared" si="1"/>
        <v>85</v>
      </c>
      <c r="B87" s="1" t="s">
        <v>255</v>
      </c>
      <c r="C87" s="1" t="s">
        <v>182</v>
      </c>
      <c r="D87" s="1"/>
      <c r="E87" s="2" t="s">
        <v>84</v>
      </c>
      <c r="F87" s="2" t="s">
        <v>6</v>
      </c>
      <c r="G87" s="24" t="s">
        <v>939</v>
      </c>
      <c r="H87" s="24" t="s">
        <v>879</v>
      </c>
      <c r="I87" s="24"/>
      <c r="J87" s="43"/>
      <c r="K87" s="24" t="s">
        <v>709</v>
      </c>
      <c r="L87" s="24" t="s">
        <v>1078</v>
      </c>
      <c r="M87" s="24"/>
      <c r="N87" s="24">
        <v>1084</v>
      </c>
      <c r="O87" s="24" t="s">
        <v>126</v>
      </c>
      <c r="P87" s="40">
        <v>30</v>
      </c>
      <c r="Q87" s="28" t="s">
        <v>814</v>
      </c>
      <c r="R87" s="26"/>
      <c r="S87" s="26"/>
      <c r="T87" s="21">
        <f>VLOOKUP(N87,('Master File'!$I$3:$I$220),1,FALSE)</f>
        <v>1084</v>
      </c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1"/>
      <c r="CF87" s="21"/>
      <c r="CG87" s="21"/>
      <c r="CH87" s="21"/>
      <c r="CI87" s="21"/>
      <c r="CJ87" s="21"/>
      <c r="CK87" s="21"/>
      <c r="CL87" s="21"/>
      <c r="CM87" s="21"/>
    </row>
    <row r="88" spans="1:91" x14ac:dyDescent="0.25">
      <c r="A88" s="1">
        <f t="shared" si="1"/>
        <v>86</v>
      </c>
      <c r="B88" s="1" t="s">
        <v>256</v>
      </c>
      <c r="C88" s="1" t="s">
        <v>182</v>
      </c>
      <c r="D88" s="1"/>
      <c r="E88" s="2" t="s">
        <v>84</v>
      </c>
      <c r="F88" s="2" t="s">
        <v>6</v>
      </c>
      <c r="G88" s="24" t="s">
        <v>939</v>
      </c>
      <c r="H88" s="24" t="s">
        <v>875</v>
      </c>
      <c r="I88" s="24"/>
      <c r="J88" s="43"/>
      <c r="K88" s="24" t="s">
        <v>710</v>
      </c>
      <c r="L88" s="24" t="s">
        <v>1079</v>
      </c>
      <c r="M88" s="24"/>
      <c r="N88" s="24">
        <v>1085</v>
      </c>
      <c r="O88" s="24" t="s">
        <v>127</v>
      </c>
      <c r="P88" s="40">
        <v>25</v>
      </c>
      <c r="Q88" s="28" t="s">
        <v>814</v>
      </c>
      <c r="R88" s="26"/>
      <c r="S88" s="26"/>
      <c r="T88" s="21">
        <f>VLOOKUP(N88,('Master File'!$I$3:$I$220),1,FALSE)</f>
        <v>1085</v>
      </c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1"/>
      <c r="CF88" s="21"/>
      <c r="CG88" s="21"/>
      <c r="CH88" s="21"/>
      <c r="CI88" s="21"/>
      <c r="CJ88" s="21"/>
      <c r="CK88" s="21"/>
      <c r="CL88" s="21"/>
      <c r="CM88" s="21"/>
    </row>
    <row r="89" spans="1:91" x14ac:dyDescent="0.25">
      <c r="A89" s="1">
        <f t="shared" si="1"/>
        <v>87</v>
      </c>
      <c r="B89" s="1" t="s">
        <v>170</v>
      </c>
      <c r="C89" s="1" t="s">
        <v>172</v>
      </c>
      <c r="D89" s="1" t="s">
        <v>885</v>
      </c>
      <c r="E89" s="2" t="s">
        <v>40</v>
      </c>
      <c r="F89" s="2" t="s">
        <v>17</v>
      </c>
      <c r="G89" s="24" t="s">
        <v>888</v>
      </c>
      <c r="H89" s="24" t="s">
        <v>824</v>
      </c>
      <c r="I89" s="24"/>
      <c r="J89" s="43"/>
      <c r="K89" s="24"/>
      <c r="L89" s="24" t="s">
        <v>993</v>
      </c>
      <c r="M89" s="24"/>
      <c r="N89" s="24">
        <v>1086</v>
      </c>
      <c r="O89" s="25" t="s">
        <v>994</v>
      </c>
      <c r="P89" s="40">
        <v>12</v>
      </c>
      <c r="Q89" s="28" t="s">
        <v>814</v>
      </c>
      <c r="R89" s="26"/>
      <c r="S89" s="26"/>
      <c r="T89" s="21">
        <f>VLOOKUP(N89,('Master File'!$I$3:$I$220),1,FALSE)</f>
        <v>1086</v>
      </c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</row>
    <row r="90" spans="1:91" x14ac:dyDescent="0.25">
      <c r="A90" s="1">
        <f>A89+1</f>
        <v>88</v>
      </c>
      <c r="B90" s="1" t="s">
        <v>171</v>
      </c>
      <c r="C90" s="1" t="s">
        <v>172</v>
      </c>
      <c r="D90" s="1" t="s">
        <v>885</v>
      </c>
      <c r="E90" s="2" t="s">
        <v>40</v>
      </c>
      <c r="F90" s="2" t="s">
        <v>17</v>
      </c>
      <c r="G90" s="24" t="s">
        <v>888</v>
      </c>
      <c r="H90" s="24" t="s">
        <v>824</v>
      </c>
      <c r="I90" s="24"/>
      <c r="J90" s="43"/>
      <c r="K90" s="24"/>
      <c r="L90" s="24" t="s">
        <v>941</v>
      </c>
      <c r="M90" s="24"/>
      <c r="N90" s="24">
        <v>1087</v>
      </c>
      <c r="O90" s="25" t="s">
        <v>995</v>
      </c>
      <c r="P90" s="40">
        <v>30</v>
      </c>
      <c r="Q90" s="28" t="s">
        <v>814</v>
      </c>
      <c r="R90" s="26"/>
      <c r="S90" s="26"/>
      <c r="T90" s="21">
        <f>VLOOKUP(N90,('Master File'!$I$3:$I$220),1,FALSE)</f>
        <v>1087</v>
      </c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</row>
    <row r="91" spans="1:91" x14ac:dyDescent="0.25">
      <c r="A91" s="1">
        <f>A90+1</f>
        <v>89</v>
      </c>
      <c r="B91" s="1" t="s">
        <v>149</v>
      </c>
      <c r="C91" s="1" t="s">
        <v>150</v>
      </c>
      <c r="D91" s="1"/>
      <c r="E91" s="2" t="s">
        <v>56</v>
      </c>
      <c r="F91" s="2" t="s">
        <v>17</v>
      </c>
      <c r="G91" s="24" t="s">
        <v>889</v>
      </c>
      <c r="H91" s="24" t="s">
        <v>61</v>
      </c>
      <c r="I91" s="24"/>
      <c r="J91" s="43"/>
      <c r="K91" s="24"/>
      <c r="L91" s="24" t="s">
        <v>1080</v>
      </c>
      <c r="M91" s="24"/>
      <c r="N91" s="24">
        <v>1088</v>
      </c>
      <c r="O91" s="24" t="s">
        <v>95</v>
      </c>
      <c r="P91" s="40">
        <v>10</v>
      </c>
      <c r="Q91" s="28" t="s">
        <v>814</v>
      </c>
      <c r="R91" s="26"/>
      <c r="S91" s="26"/>
      <c r="T91" s="21">
        <f>VLOOKUP(N91,('Master File'!$I$3:$I$220),1,FALSE)</f>
        <v>1088</v>
      </c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</row>
    <row r="92" spans="1:91" x14ac:dyDescent="0.25">
      <c r="A92" s="1">
        <f t="shared" si="1"/>
        <v>90</v>
      </c>
      <c r="B92" s="1" t="s">
        <v>151</v>
      </c>
      <c r="C92" s="1" t="s">
        <v>150</v>
      </c>
      <c r="D92" s="1"/>
      <c r="E92" s="2" t="s">
        <v>56</v>
      </c>
      <c r="F92" s="2" t="s">
        <v>17</v>
      </c>
      <c r="G92" s="24" t="s">
        <v>889</v>
      </c>
      <c r="H92" s="24" t="s">
        <v>61</v>
      </c>
      <c r="I92" s="24"/>
      <c r="J92" s="43"/>
      <c r="K92" s="24"/>
      <c r="L92" s="24" t="s">
        <v>1081</v>
      </c>
      <c r="M92" s="24"/>
      <c r="N92" s="24">
        <v>1089</v>
      </c>
      <c r="O92" s="24" t="s">
        <v>94</v>
      </c>
      <c r="P92" s="40">
        <v>15</v>
      </c>
      <c r="Q92" s="28" t="s">
        <v>814</v>
      </c>
      <c r="R92" s="26"/>
      <c r="S92" s="26"/>
      <c r="T92" s="21">
        <f>VLOOKUP(N92,('Master File'!$I$3:$I$220),1,FALSE)</f>
        <v>1089</v>
      </c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</row>
    <row r="93" spans="1:91" x14ac:dyDescent="0.25">
      <c r="A93" s="1">
        <f t="shared" si="1"/>
        <v>91</v>
      </c>
      <c r="B93" s="1" t="s">
        <v>154</v>
      </c>
      <c r="C93" s="1" t="s">
        <v>150</v>
      </c>
      <c r="D93" s="1"/>
      <c r="E93" s="2" t="s">
        <v>56</v>
      </c>
      <c r="F93" s="2" t="s">
        <v>17</v>
      </c>
      <c r="G93" s="24" t="s">
        <v>889</v>
      </c>
      <c r="H93" s="24" t="s">
        <v>854</v>
      </c>
      <c r="I93" s="24"/>
      <c r="J93" s="43"/>
      <c r="K93" s="24"/>
      <c r="L93" s="24" t="s">
        <v>1082</v>
      </c>
      <c r="M93" s="24"/>
      <c r="N93" s="24">
        <v>1090</v>
      </c>
      <c r="O93" s="24" t="s">
        <v>99</v>
      </c>
      <c r="P93" s="40">
        <v>12</v>
      </c>
      <c r="Q93" s="28" t="s">
        <v>809</v>
      </c>
      <c r="R93" s="26"/>
      <c r="S93" s="26"/>
      <c r="T93" s="21" t="e">
        <f>VLOOKUP(N93,('Master File'!$I$3:$I$220),1,FALSE)</f>
        <v>#N/A</v>
      </c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</row>
    <row r="94" spans="1:91" x14ac:dyDescent="0.25">
      <c r="A94" s="1">
        <f t="shared" si="1"/>
        <v>92</v>
      </c>
      <c r="B94" s="1" t="s">
        <v>155</v>
      </c>
      <c r="C94" s="1" t="s">
        <v>150</v>
      </c>
      <c r="D94" s="1"/>
      <c r="E94" s="2" t="s">
        <v>37</v>
      </c>
      <c r="F94" s="2" t="s">
        <v>17</v>
      </c>
      <c r="G94" s="24" t="s">
        <v>888</v>
      </c>
      <c r="H94" s="24" t="s">
        <v>823</v>
      </c>
      <c r="I94" s="24"/>
      <c r="J94" s="43"/>
      <c r="K94" s="24"/>
      <c r="L94" s="24" t="s">
        <v>781</v>
      </c>
      <c r="M94" s="24"/>
      <c r="N94" s="24">
        <v>1091</v>
      </c>
      <c r="O94" s="25" t="s">
        <v>39</v>
      </c>
      <c r="P94" s="40">
        <v>20</v>
      </c>
      <c r="Q94" s="28" t="s">
        <v>814</v>
      </c>
      <c r="R94" s="26"/>
      <c r="S94" s="26"/>
      <c r="T94" s="21">
        <f>VLOOKUP(N94,('Master File'!$I$3:$I$220),1,FALSE)</f>
        <v>1091</v>
      </c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</row>
    <row r="95" spans="1:91" x14ac:dyDescent="0.25">
      <c r="A95" s="1">
        <f t="shared" si="1"/>
        <v>93</v>
      </c>
      <c r="B95" s="1" t="s">
        <v>156</v>
      </c>
      <c r="C95" s="1" t="s">
        <v>150</v>
      </c>
      <c r="D95" s="1"/>
      <c r="E95" s="2" t="s">
        <v>30</v>
      </c>
      <c r="F95" s="2" t="s">
        <v>17</v>
      </c>
      <c r="G95" s="24" t="s">
        <v>888</v>
      </c>
      <c r="H95" s="24" t="s">
        <v>822</v>
      </c>
      <c r="I95" s="24"/>
      <c r="J95" s="43"/>
      <c r="K95" s="24" t="s">
        <v>804</v>
      </c>
      <c r="L95" s="24" t="s">
        <v>627</v>
      </c>
      <c r="M95" s="24"/>
      <c r="N95" s="24">
        <v>1092</v>
      </c>
      <c r="O95" s="24" t="s">
        <v>1002</v>
      </c>
      <c r="P95" s="40">
        <v>20</v>
      </c>
      <c r="Q95" s="28" t="s">
        <v>814</v>
      </c>
      <c r="R95" s="26"/>
      <c r="S95" s="26"/>
      <c r="T95" s="21">
        <f>VLOOKUP(N95,('Master File'!$I$3:$I$220),1,FALSE)</f>
        <v>1092</v>
      </c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</row>
    <row r="96" spans="1:91" x14ac:dyDescent="0.25">
      <c r="A96" s="1">
        <f t="shared" si="1"/>
        <v>94</v>
      </c>
      <c r="B96" s="1" t="s">
        <v>157</v>
      </c>
      <c r="C96" s="1" t="s">
        <v>150</v>
      </c>
      <c r="D96" s="1"/>
      <c r="E96" s="2" t="s">
        <v>56</v>
      </c>
      <c r="F96" s="2" t="s">
        <v>17</v>
      </c>
      <c r="G96" s="24" t="s">
        <v>888</v>
      </c>
      <c r="H96" s="24" t="s">
        <v>828</v>
      </c>
      <c r="I96" s="24"/>
      <c r="J96" s="43"/>
      <c r="K96" s="24"/>
      <c r="L96" s="24" t="s">
        <v>782</v>
      </c>
      <c r="M96" s="24"/>
      <c r="N96" s="24">
        <v>1093</v>
      </c>
      <c r="O96" s="24" t="s">
        <v>91</v>
      </c>
      <c r="P96" s="40">
        <v>12</v>
      </c>
      <c r="Q96" s="28" t="s">
        <v>814</v>
      </c>
      <c r="R96" s="26"/>
      <c r="S96" s="26"/>
      <c r="T96" s="21">
        <f>VLOOKUP(N96,('Master File'!$I$3:$I$220),1,FALSE)</f>
        <v>1093</v>
      </c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</row>
    <row r="97" spans="1:82" x14ac:dyDescent="0.25">
      <c r="A97" s="1">
        <f t="shared" si="1"/>
        <v>95</v>
      </c>
      <c r="B97" s="1" t="s">
        <v>158</v>
      </c>
      <c r="C97" s="1" t="s">
        <v>150</v>
      </c>
      <c r="D97" s="1"/>
      <c r="E97" s="2" t="s">
        <v>56</v>
      </c>
      <c r="F97" s="2" t="s">
        <v>17</v>
      </c>
      <c r="G97" s="24" t="s">
        <v>888</v>
      </c>
      <c r="H97" s="24" t="s">
        <v>829</v>
      </c>
      <c r="I97" s="24"/>
      <c r="J97" s="43"/>
      <c r="K97" s="24"/>
      <c r="L97" s="24" t="s">
        <v>997</v>
      </c>
      <c r="M97" s="24"/>
      <c r="N97" s="24">
        <v>1094</v>
      </c>
      <c r="O97" s="24" t="s">
        <v>92</v>
      </c>
      <c r="P97" s="40">
        <v>12</v>
      </c>
      <c r="Q97" s="28" t="s">
        <v>814</v>
      </c>
      <c r="R97" s="26"/>
      <c r="S97" s="26"/>
      <c r="T97" s="21">
        <f>VLOOKUP(N97,('Master File'!$I$3:$I$220),1,FALSE)</f>
        <v>1094</v>
      </c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</row>
    <row r="98" spans="1:82" x14ac:dyDescent="0.25">
      <c r="A98" s="1">
        <f t="shared" si="1"/>
        <v>96</v>
      </c>
      <c r="B98" s="1" t="s">
        <v>159</v>
      </c>
      <c r="C98" s="1" t="s">
        <v>150</v>
      </c>
      <c r="D98" s="1"/>
      <c r="E98" s="2" t="s">
        <v>56</v>
      </c>
      <c r="F98" s="2" t="s">
        <v>17</v>
      </c>
      <c r="G98" s="24" t="s">
        <v>888</v>
      </c>
      <c r="H98" s="24" t="s">
        <v>830</v>
      </c>
      <c r="I98" s="24"/>
      <c r="J98" s="43"/>
      <c r="K98" s="24"/>
      <c r="L98" s="24" t="s">
        <v>998</v>
      </c>
      <c r="M98" s="24"/>
      <c r="N98" s="24">
        <v>1095</v>
      </c>
      <c r="O98" s="24" t="s">
        <v>93</v>
      </c>
      <c r="P98" s="40">
        <v>12</v>
      </c>
      <c r="Q98" s="28" t="s">
        <v>814</v>
      </c>
      <c r="R98" s="26"/>
      <c r="S98" s="26"/>
      <c r="T98" s="21">
        <f>VLOOKUP(N98,('Master File'!$I$3:$I$220),1,FALSE)</f>
        <v>1095</v>
      </c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</row>
    <row r="99" spans="1:82" x14ac:dyDescent="0.25">
      <c r="A99" s="1">
        <f t="shared" si="1"/>
        <v>97</v>
      </c>
      <c r="B99" s="1" t="s">
        <v>160</v>
      </c>
      <c r="C99" s="1" t="s">
        <v>150</v>
      </c>
      <c r="D99" s="1"/>
      <c r="E99" s="2" t="s">
        <v>56</v>
      </c>
      <c r="F99" s="2" t="s">
        <v>17</v>
      </c>
      <c r="G99" s="24" t="s">
        <v>889</v>
      </c>
      <c r="H99" s="24" t="s">
        <v>858</v>
      </c>
      <c r="I99" s="24"/>
      <c r="J99" s="43"/>
      <c r="K99" s="24"/>
      <c r="L99" s="24" t="s">
        <v>1083</v>
      </c>
      <c r="M99" s="24"/>
      <c r="N99" s="24">
        <v>1096</v>
      </c>
      <c r="O99" s="24" t="s">
        <v>100</v>
      </c>
      <c r="P99" s="40">
        <v>18</v>
      </c>
      <c r="Q99" s="28" t="s">
        <v>813</v>
      </c>
      <c r="R99" s="26"/>
      <c r="S99" s="26"/>
      <c r="T99" s="21" t="e">
        <f>VLOOKUP(N99,('Master File'!$I$3:$I$220),1,FALSE)</f>
        <v>#N/A</v>
      </c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</row>
    <row r="100" spans="1:82" x14ac:dyDescent="0.25">
      <c r="A100" s="1">
        <f t="shared" si="1"/>
        <v>98</v>
      </c>
      <c r="B100" s="1" t="s">
        <v>161</v>
      </c>
      <c r="C100" s="1" t="s">
        <v>150</v>
      </c>
      <c r="D100" s="1"/>
      <c r="E100" s="2" t="s">
        <v>56</v>
      </c>
      <c r="F100" s="2" t="s">
        <v>17</v>
      </c>
      <c r="G100" s="24" t="s">
        <v>889</v>
      </c>
      <c r="H100" s="24" t="s">
        <v>859</v>
      </c>
      <c r="I100" s="24"/>
      <c r="J100" s="43"/>
      <c r="K100" s="24"/>
      <c r="L100" s="24" t="s">
        <v>1084</v>
      </c>
      <c r="M100" s="24"/>
      <c r="N100" s="24">
        <v>1097</v>
      </c>
      <c r="O100" s="24" t="s">
        <v>115</v>
      </c>
      <c r="P100" s="40">
        <v>18</v>
      </c>
      <c r="Q100" s="28" t="s">
        <v>813</v>
      </c>
      <c r="R100" s="26"/>
      <c r="S100" s="26"/>
      <c r="T100" s="21" t="e">
        <f>VLOOKUP(N100,('Master File'!$I$3:$I$220),1,FALSE)</f>
        <v>#N/A</v>
      </c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</row>
    <row r="101" spans="1:82" x14ac:dyDescent="0.25">
      <c r="A101" s="1">
        <f t="shared" si="1"/>
        <v>99</v>
      </c>
      <c r="B101" s="1" t="s">
        <v>162</v>
      </c>
      <c r="C101" s="1" t="s">
        <v>150</v>
      </c>
      <c r="D101" s="1"/>
      <c r="E101" s="2" t="s">
        <v>56</v>
      </c>
      <c r="F101" s="2" t="s">
        <v>17</v>
      </c>
      <c r="G101" s="24" t="s">
        <v>889</v>
      </c>
      <c r="H101" s="24" t="s">
        <v>855</v>
      </c>
      <c r="I101" s="24"/>
      <c r="J101" s="43"/>
      <c r="K101" s="24"/>
      <c r="L101" s="24" t="s">
        <v>1085</v>
      </c>
      <c r="M101" s="24"/>
      <c r="N101" s="24">
        <v>1098</v>
      </c>
      <c r="O101" s="24" t="s">
        <v>109</v>
      </c>
      <c r="P101" s="40">
        <v>20</v>
      </c>
      <c r="Q101" s="28" t="s">
        <v>813</v>
      </c>
      <c r="R101" s="26"/>
      <c r="S101" s="26"/>
      <c r="T101" s="21" t="e">
        <f>VLOOKUP(N101,('Master File'!$I$3:$I$220),1,FALSE)</f>
        <v>#N/A</v>
      </c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</row>
    <row r="102" spans="1:82" x14ac:dyDescent="0.25">
      <c r="A102" s="1">
        <f t="shared" si="1"/>
        <v>100</v>
      </c>
      <c r="B102" s="1" t="s">
        <v>163</v>
      </c>
      <c r="C102" s="1" t="s">
        <v>150</v>
      </c>
      <c r="D102" s="1"/>
      <c r="E102" s="2" t="s">
        <v>30</v>
      </c>
      <c r="F102" s="2" t="s">
        <v>17</v>
      </c>
      <c r="G102" s="24" t="s">
        <v>889</v>
      </c>
      <c r="H102" s="24" t="s">
        <v>822</v>
      </c>
      <c r="I102" s="24"/>
      <c r="J102" s="43"/>
      <c r="K102" s="24" t="s">
        <v>803</v>
      </c>
      <c r="L102" s="24"/>
      <c r="M102" s="24"/>
      <c r="N102" s="24">
        <v>1099</v>
      </c>
      <c r="O102" s="24" t="s">
        <v>1086</v>
      </c>
      <c r="P102" s="40">
        <v>25</v>
      </c>
      <c r="Q102" s="28" t="s">
        <v>809</v>
      </c>
      <c r="R102" s="26"/>
      <c r="S102" s="26"/>
      <c r="T102" s="21">
        <f>VLOOKUP(N102,('Master File'!$I$3:$I$220),1,FALSE)</f>
        <v>1099</v>
      </c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</row>
    <row r="103" spans="1:82" x14ac:dyDescent="0.25">
      <c r="A103" s="1">
        <f t="shared" si="1"/>
        <v>101</v>
      </c>
      <c r="B103" s="1" t="s">
        <v>169</v>
      </c>
      <c r="C103" s="1" t="s">
        <v>150</v>
      </c>
      <c r="D103" s="1"/>
      <c r="E103" s="2" t="s">
        <v>32</v>
      </c>
      <c r="F103" s="2" t="s">
        <v>17</v>
      </c>
      <c r="G103" s="24" t="s">
        <v>888</v>
      </c>
      <c r="H103" s="24" t="s">
        <v>820</v>
      </c>
      <c r="I103" s="24"/>
      <c r="J103" s="43"/>
      <c r="K103" s="24"/>
      <c r="L103" s="24" t="s">
        <v>1000</v>
      </c>
      <c r="M103" s="24"/>
      <c r="N103" s="24">
        <v>1100</v>
      </c>
      <c r="O103" s="25" t="s">
        <v>999</v>
      </c>
      <c r="P103" s="40">
        <v>30</v>
      </c>
      <c r="Q103" s="28" t="s">
        <v>813</v>
      </c>
      <c r="R103" s="26"/>
      <c r="S103" s="26"/>
      <c r="T103" s="21">
        <f>VLOOKUP(N103,('Master File'!$I$3:$I$220),1,FALSE)</f>
        <v>1100</v>
      </c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</row>
    <row r="104" spans="1:82" x14ac:dyDescent="0.25">
      <c r="A104" s="1">
        <f t="shared" si="1"/>
        <v>102</v>
      </c>
      <c r="B104" s="1" t="s">
        <v>166</v>
      </c>
      <c r="C104" s="1" t="s">
        <v>153</v>
      </c>
      <c r="D104" s="1"/>
      <c r="E104" s="2" t="s">
        <v>56</v>
      </c>
      <c r="F104" s="2" t="s">
        <v>17</v>
      </c>
      <c r="G104" s="24" t="s">
        <v>889</v>
      </c>
      <c r="H104" s="24" t="s">
        <v>860</v>
      </c>
      <c r="I104" s="24"/>
      <c r="J104" s="43"/>
      <c r="K104" s="24"/>
      <c r="L104" s="24" t="s">
        <v>1130</v>
      </c>
      <c r="M104" s="24"/>
      <c r="N104" s="24">
        <v>1101</v>
      </c>
      <c r="O104" s="24" t="s">
        <v>1129</v>
      </c>
      <c r="P104" s="40">
        <v>20</v>
      </c>
      <c r="Q104" s="28" t="s">
        <v>814</v>
      </c>
      <c r="R104" s="26"/>
      <c r="S104" s="26"/>
      <c r="T104" s="21">
        <f>VLOOKUP(N104,('Master File'!$I$3:$I$220),1,FALSE)</f>
        <v>1101</v>
      </c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</row>
    <row r="105" spans="1:82" x14ac:dyDescent="0.25">
      <c r="A105" s="1">
        <f t="shared" si="1"/>
        <v>103</v>
      </c>
      <c r="B105" s="1" t="s">
        <v>165</v>
      </c>
      <c r="C105" s="1" t="s">
        <v>153</v>
      </c>
      <c r="D105" s="1"/>
      <c r="E105" s="2" t="s">
        <v>56</v>
      </c>
      <c r="F105" s="2" t="s">
        <v>17</v>
      </c>
      <c r="G105" s="24" t="s">
        <v>889</v>
      </c>
      <c r="H105" s="24" t="s">
        <v>861</v>
      </c>
      <c r="I105" s="24"/>
      <c r="J105" s="43"/>
      <c r="K105" s="24"/>
      <c r="L105" s="24" t="s">
        <v>1323</v>
      </c>
      <c r="M105" s="24"/>
      <c r="N105" s="24">
        <v>1102</v>
      </c>
      <c r="O105" s="24" t="s">
        <v>1128</v>
      </c>
      <c r="P105" s="40">
        <v>10</v>
      </c>
      <c r="Q105" s="28" t="s">
        <v>814</v>
      </c>
      <c r="R105" s="26"/>
      <c r="S105" s="26"/>
      <c r="T105" s="21">
        <f>VLOOKUP(N105,('Master File'!$I$3:$I$220),1,FALSE)</f>
        <v>1102</v>
      </c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</row>
    <row r="106" spans="1:82" x14ac:dyDescent="0.25">
      <c r="A106" s="1">
        <f t="shared" si="1"/>
        <v>104</v>
      </c>
      <c r="B106" s="1" t="s">
        <v>164</v>
      </c>
      <c r="C106" s="1" t="s">
        <v>153</v>
      </c>
      <c r="D106" s="1"/>
      <c r="E106" s="2" t="s">
        <v>56</v>
      </c>
      <c r="F106" s="2" t="s">
        <v>17</v>
      </c>
      <c r="G106" s="24" t="s">
        <v>889</v>
      </c>
      <c r="H106" s="24" t="s">
        <v>856</v>
      </c>
      <c r="I106" s="24"/>
      <c r="J106" s="43"/>
      <c r="K106" s="24"/>
      <c r="L106" s="24" t="s">
        <v>1088</v>
      </c>
      <c r="M106" s="24"/>
      <c r="N106" s="24">
        <v>1103</v>
      </c>
      <c r="O106" s="24" t="s">
        <v>104</v>
      </c>
      <c r="P106" s="40">
        <v>15</v>
      </c>
      <c r="Q106" s="28" t="s">
        <v>814</v>
      </c>
      <c r="R106" s="26"/>
      <c r="S106" s="26"/>
      <c r="T106" s="21">
        <f>VLOOKUP(N106,('Master File'!$I$3:$I$220),1,FALSE)</f>
        <v>1103</v>
      </c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</row>
    <row r="107" spans="1:82" x14ac:dyDescent="0.25">
      <c r="A107" s="1">
        <f t="shared" si="1"/>
        <v>105</v>
      </c>
      <c r="B107" s="1" t="s">
        <v>167</v>
      </c>
      <c r="C107" s="1" t="s">
        <v>153</v>
      </c>
      <c r="D107" s="1"/>
      <c r="E107" s="2" t="s">
        <v>56</v>
      </c>
      <c r="F107" s="2" t="s">
        <v>17</v>
      </c>
      <c r="G107" s="24" t="s">
        <v>889</v>
      </c>
      <c r="H107" s="24" t="s">
        <v>857</v>
      </c>
      <c r="I107" s="24"/>
      <c r="J107" s="43"/>
      <c r="K107" s="24"/>
      <c r="L107" s="24" t="s">
        <v>1089</v>
      </c>
      <c r="M107" s="24"/>
      <c r="N107" s="24">
        <v>1104</v>
      </c>
      <c r="O107" s="24" t="s">
        <v>1114</v>
      </c>
      <c r="P107" s="40">
        <v>20</v>
      </c>
      <c r="Q107" s="28" t="s">
        <v>814</v>
      </c>
      <c r="R107" s="26"/>
      <c r="S107" s="26"/>
      <c r="T107" s="21">
        <f>VLOOKUP(N107,('Master File'!$I$3:$I$220),1,FALSE)</f>
        <v>1104</v>
      </c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</row>
    <row r="108" spans="1:82" x14ac:dyDescent="0.25">
      <c r="A108" s="1">
        <f t="shared" si="1"/>
        <v>106</v>
      </c>
      <c r="B108" s="1" t="s">
        <v>168</v>
      </c>
      <c r="C108" s="1" t="s">
        <v>153</v>
      </c>
      <c r="D108" s="1"/>
      <c r="E108" s="2" t="s">
        <v>56</v>
      </c>
      <c r="F108" s="2" t="s">
        <v>17</v>
      </c>
      <c r="G108" s="24" t="s">
        <v>889</v>
      </c>
      <c r="H108" s="24" t="s">
        <v>862</v>
      </c>
      <c r="I108" s="24"/>
      <c r="J108" s="43"/>
      <c r="K108" s="24"/>
      <c r="L108" s="24" t="s">
        <v>1191</v>
      </c>
      <c r="M108" s="24"/>
      <c r="N108" s="24">
        <v>1105</v>
      </c>
      <c r="O108" s="24" t="s">
        <v>1126</v>
      </c>
      <c r="P108" s="40">
        <v>18</v>
      </c>
      <c r="Q108" s="28" t="s">
        <v>814</v>
      </c>
      <c r="R108" s="26"/>
      <c r="S108" s="26"/>
      <c r="T108" s="21">
        <f>VLOOKUP(N108,('Master File'!$I$3:$I$220),1,FALSE)</f>
        <v>1105</v>
      </c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</row>
    <row r="109" spans="1:82" x14ac:dyDescent="0.25">
      <c r="A109" s="1">
        <f t="shared" si="1"/>
        <v>107</v>
      </c>
      <c r="B109" s="1" t="s">
        <v>152</v>
      </c>
      <c r="C109" s="1" t="s">
        <v>153</v>
      </c>
      <c r="D109" s="1"/>
      <c r="E109" s="2" t="s">
        <v>56</v>
      </c>
      <c r="F109" s="2" t="s">
        <v>17</v>
      </c>
      <c r="G109" s="24" t="s">
        <v>889</v>
      </c>
      <c r="H109" s="24" t="s">
        <v>61</v>
      </c>
      <c r="I109" s="24"/>
      <c r="J109" s="43"/>
      <c r="K109" s="24"/>
      <c r="L109" s="24" t="s">
        <v>1184</v>
      </c>
      <c r="M109" s="24"/>
      <c r="N109" s="24">
        <v>1106</v>
      </c>
      <c r="O109" s="24" t="s">
        <v>1127</v>
      </c>
      <c r="P109" s="40">
        <v>15</v>
      </c>
      <c r="Q109" s="28" t="s">
        <v>814</v>
      </c>
      <c r="R109" s="26"/>
      <c r="S109" s="26"/>
      <c r="T109" s="21">
        <f>VLOOKUP(N109,('Master File'!$I$3:$I$220),1,FALSE)</f>
        <v>1106</v>
      </c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</row>
    <row r="110" spans="1:82" x14ac:dyDescent="0.25">
      <c r="A110" s="1">
        <f t="shared" si="1"/>
        <v>108</v>
      </c>
      <c r="B110" s="1" t="s">
        <v>257</v>
      </c>
      <c r="C110" s="1"/>
      <c r="D110" s="1"/>
      <c r="E110" s="2" t="s">
        <v>130</v>
      </c>
      <c r="F110" s="2" t="s">
        <v>17</v>
      </c>
      <c r="G110" s="24" t="s">
        <v>888</v>
      </c>
      <c r="H110" s="24" t="s">
        <v>845</v>
      </c>
      <c r="I110" s="24"/>
      <c r="J110" s="43"/>
      <c r="K110" s="24"/>
      <c r="L110" s="24" t="s">
        <v>1008</v>
      </c>
      <c r="M110" s="24" t="s">
        <v>1016</v>
      </c>
      <c r="N110" s="24">
        <v>1107</v>
      </c>
      <c r="O110" s="24" t="s">
        <v>131</v>
      </c>
      <c r="P110" s="40">
        <v>40</v>
      </c>
      <c r="Q110" s="28" t="s">
        <v>814</v>
      </c>
      <c r="R110" s="26"/>
      <c r="S110" s="26"/>
      <c r="T110" s="21">
        <f>VLOOKUP(N110,('Master File'!$I$3:$I$220),1,FALSE)</f>
        <v>1107</v>
      </c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</row>
    <row r="111" spans="1:82" x14ac:dyDescent="0.25">
      <c r="A111" s="1">
        <f t="shared" si="1"/>
        <v>109</v>
      </c>
      <c r="B111" s="1" t="s">
        <v>258</v>
      </c>
      <c r="C111" s="1"/>
      <c r="D111" s="1"/>
      <c r="E111" s="2" t="s">
        <v>130</v>
      </c>
      <c r="F111" s="2" t="s">
        <v>17</v>
      </c>
      <c r="G111" s="24" t="s">
        <v>888</v>
      </c>
      <c r="H111" s="24" t="s">
        <v>847</v>
      </c>
      <c r="I111" s="24"/>
      <c r="J111" s="43"/>
      <c r="K111" s="24"/>
      <c r="L111" s="24" t="s">
        <v>1011</v>
      </c>
      <c r="M111" s="24" t="s">
        <v>1017</v>
      </c>
      <c r="N111" s="24">
        <v>1108</v>
      </c>
      <c r="O111" s="24" t="s">
        <v>132</v>
      </c>
      <c r="P111" s="40">
        <v>40</v>
      </c>
      <c r="Q111" s="28" t="s">
        <v>814</v>
      </c>
      <c r="R111" s="26"/>
      <c r="S111" s="26"/>
      <c r="T111" s="21">
        <f>VLOOKUP(N111,('Master File'!$I$3:$I$220),1,FALSE)</f>
        <v>1108</v>
      </c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</row>
    <row r="112" spans="1:82" x14ac:dyDescent="0.25">
      <c r="A112" s="1">
        <f t="shared" si="1"/>
        <v>110</v>
      </c>
      <c r="B112" s="1" t="s">
        <v>259</v>
      </c>
      <c r="C112" s="1"/>
      <c r="D112" s="1"/>
      <c r="E112" s="2" t="s">
        <v>130</v>
      </c>
      <c r="F112" s="2" t="s">
        <v>17</v>
      </c>
      <c r="G112" s="24" t="s">
        <v>888</v>
      </c>
      <c r="H112" s="24" t="s">
        <v>846</v>
      </c>
      <c r="I112" s="24"/>
      <c r="J112" s="43"/>
      <c r="K112" s="24"/>
      <c r="L112" s="24" t="s">
        <v>1009</v>
      </c>
      <c r="M112" s="24" t="s">
        <v>1018</v>
      </c>
      <c r="N112" s="24">
        <v>1109</v>
      </c>
      <c r="O112" s="24" t="s">
        <v>133</v>
      </c>
      <c r="P112" s="40">
        <v>40</v>
      </c>
      <c r="Q112" s="28" t="s">
        <v>814</v>
      </c>
      <c r="R112" s="26"/>
      <c r="S112" s="26"/>
      <c r="T112" s="21">
        <f>VLOOKUP(N112,('Master File'!$I$3:$I$220),1,FALSE)</f>
        <v>1109</v>
      </c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</row>
    <row r="113" spans="1:82" x14ac:dyDescent="0.25">
      <c r="A113" s="1">
        <f t="shared" si="1"/>
        <v>111</v>
      </c>
      <c r="B113" s="1" t="s">
        <v>260</v>
      </c>
      <c r="C113" s="1"/>
      <c r="D113" s="1"/>
      <c r="E113" s="2" t="s">
        <v>130</v>
      </c>
      <c r="F113" s="2" t="s">
        <v>17</v>
      </c>
      <c r="G113" s="24" t="s">
        <v>889</v>
      </c>
      <c r="H113" s="24" t="s">
        <v>863</v>
      </c>
      <c r="I113" s="24"/>
      <c r="J113" s="43"/>
      <c r="K113" s="24"/>
      <c r="L113" s="24" t="s">
        <v>783</v>
      </c>
      <c r="M113" s="24" t="s">
        <v>1019</v>
      </c>
      <c r="N113" s="24">
        <v>1110</v>
      </c>
      <c r="O113" s="24" t="s">
        <v>134</v>
      </c>
      <c r="P113" s="40">
        <v>40</v>
      </c>
      <c r="Q113" s="28" t="s">
        <v>813</v>
      </c>
      <c r="R113" s="26"/>
      <c r="S113" s="26"/>
      <c r="T113" s="21">
        <f>VLOOKUP(N113,('Master File'!$I$3:$I$220),1,FALSE)</f>
        <v>1110</v>
      </c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</row>
    <row r="114" spans="1:82" x14ac:dyDescent="0.25">
      <c r="A114" s="1">
        <f t="shared" si="1"/>
        <v>112</v>
      </c>
      <c r="B114" s="1" t="s">
        <v>261</v>
      </c>
      <c r="C114" s="1"/>
      <c r="D114" s="1"/>
      <c r="E114" s="2" t="s">
        <v>130</v>
      </c>
      <c r="F114" s="2" t="s">
        <v>17</v>
      </c>
      <c r="G114" s="24" t="s">
        <v>889</v>
      </c>
      <c r="H114" s="24" t="s">
        <v>849</v>
      </c>
      <c r="I114" s="24"/>
      <c r="J114" s="43"/>
      <c r="K114" s="24"/>
      <c r="L114" s="24" t="s">
        <v>1015</v>
      </c>
      <c r="M114" s="24" t="s">
        <v>1020</v>
      </c>
      <c r="N114" s="24">
        <v>1111</v>
      </c>
      <c r="O114" s="24" t="s">
        <v>135</v>
      </c>
      <c r="P114" s="40">
        <v>40</v>
      </c>
      <c r="Q114" s="28" t="s">
        <v>814</v>
      </c>
      <c r="R114" s="26"/>
      <c r="S114" s="26"/>
      <c r="T114" s="21">
        <f>VLOOKUP(N114,('Master File'!$I$3:$I$220),1,FALSE)</f>
        <v>1111</v>
      </c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</row>
    <row r="115" spans="1:82" x14ac:dyDescent="0.25">
      <c r="A115" s="1">
        <f t="shared" si="1"/>
        <v>113</v>
      </c>
      <c r="B115" s="1" t="s">
        <v>262</v>
      </c>
      <c r="C115" s="1"/>
      <c r="D115" s="1"/>
      <c r="E115" s="2" t="s">
        <v>130</v>
      </c>
      <c r="F115" s="2" t="s">
        <v>17</v>
      </c>
      <c r="G115" s="24" t="s">
        <v>888</v>
      </c>
      <c r="H115" s="24" t="s">
        <v>838</v>
      </c>
      <c r="I115" s="24"/>
      <c r="J115" s="43"/>
      <c r="K115" s="24"/>
      <c r="L115" s="24" t="s">
        <v>1010</v>
      </c>
      <c r="M115" s="24" t="s">
        <v>1021</v>
      </c>
      <c r="N115" s="24">
        <v>1112</v>
      </c>
      <c r="O115" s="24" t="s">
        <v>136</v>
      </c>
      <c r="P115" s="40">
        <v>40</v>
      </c>
      <c r="Q115" s="28" t="s">
        <v>814</v>
      </c>
      <c r="R115" s="26"/>
      <c r="S115" s="26"/>
      <c r="T115" s="21">
        <f>VLOOKUP(N115,('Master File'!$I$3:$I$220),1,FALSE)</f>
        <v>1112</v>
      </c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</row>
    <row r="116" spans="1:82" x14ac:dyDescent="0.25">
      <c r="A116" s="1">
        <f t="shared" si="1"/>
        <v>114</v>
      </c>
      <c r="B116" s="1" t="s">
        <v>263</v>
      </c>
      <c r="C116" s="1"/>
      <c r="D116" s="1"/>
      <c r="E116" s="2" t="s">
        <v>130</v>
      </c>
      <c r="F116" s="2" t="s">
        <v>17</v>
      </c>
      <c r="G116" s="24" t="s">
        <v>888</v>
      </c>
      <c r="H116" s="24" t="s">
        <v>846</v>
      </c>
      <c r="I116" s="24"/>
      <c r="J116" s="43"/>
      <c r="K116" s="24"/>
      <c r="L116" s="24" t="s">
        <v>1012</v>
      </c>
      <c r="M116" s="24" t="s">
        <v>1022</v>
      </c>
      <c r="N116" s="24">
        <v>1113</v>
      </c>
      <c r="O116" s="24" t="s">
        <v>137</v>
      </c>
      <c r="P116" s="40">
        <v>11</v>
      </c>
      <c r="Q116" s="28" t="s">
        <v>813</v>
      </c>
      <c r="R116" s="26"/>
      <c r="S116" s="26"/>
      <c r="T116" s="21">
        <f>VLOOKUP(N116,('Master File'!$I$3:$I$220),1,FALSE)</f>
        <v>1113</v>
      </c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</row>
    <row r="117" spans="1:82" x14ac:dyDescent="0.25">
      <c r="A117" s="1">
        <f t="shared" si="1"/>
        <v>115</v>
      </c>
      <c r="B117" s="1" t="s">
        <v>264</v>
      </c>
      <c r="C117" s="1"/>
      <c r="D117" s="1"/>
      <c r="E117" s="2" t="s">
        <v>130</v>
      </c>
      <c r="F117" s="2" t="s">
        <v>17</v>
      </c>
      <c r="G117" s="24" t="s">
        <v>888</v>
      </c>
      <c r="H117" s="24" t="s">
        <v>848</v>
      </c>
      <c r="I117" s="24"/>
      <c r="J117" s="43"/>
      <c r="K117" s="24"/>
      <c r="L117" s="24" t="s">
        <v>1013</v>
      </c>
      <c r="M117" s="24" t="s">
        <v>1023</v>
      </c>
      <c r="N117" s="24">
        <v>1114</v>
      </c>
      <c r="O117" s="24" t="s">
        <v>138</v>
      </c>
      <c r="P117" s="40">
        <v>30</v>
      </c>
      <c r="Q117" s="28" t="s">
        <v>814</v>
      </c>
      <c r="R117" s="26"/>
      <c r="S117" s="26"/>
      <c r="T117" s="21">
        <f>VLOOKUP(N117,('Master File'!$I$3:$I$220),1,FALSE)</f>
        <v>1114</v>
      </c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</row>
    <row r="118" spans="1:82" x14ac:dyDescent="0.25">
      <c r="A118" s="1">
        <f t="shared" si="1"/>
        <v>116</v>
      </c>
      <c r="B118" s="1" t="s">
        <v>265</v>
      </c>
      <c r="C118" s="1"/>
      <c r="D118" s="1"/>
      <c r="E118" s="2" t="s">
        <v>130</v>
      </c>
      <c r="F118" s="2" t="s">
        <v>17</v>
      </c>
      <c r="G118" s="24" t="s">
        <v>888</v>
      </c>
      <c r="H118" s="24" t="s">
        <v>850</v>
      </c>
      <c r="I118" s="24"/>
      <c r="J118" s="43"/>
      <c r="K118" s="24"/>
      <c r="L118" s="24" t="s">
        <v>784</v>
      </c>
      <c r="M118" s="24" t="s">
        <v>1024</v>
      </c>
      <c r="N118" s="24">
        <v>1115</v>
      </c>
      <c r="O118" s="24" t="s">
        <v>139</v>
      </c>
      <c r="P118" s="40">
        <v>30</v>
      </c>
      <c r="Q118" s="28" t="s">
        <v>814</v>
      </c>
      <c r="R118" s="26"/>
      <c r="S118" s="26"/>
      <c r="T118" s="21">
        <f>VLOOKUP(N118,('Master File'!$I$3:$I$220),1,FALSE)</f>
        <v>1115</v>
      </c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</row>
    <row r="119" spans="1:82" x14ac:dyDescent="0.25">
      <c r="A119" s="1">
        <f t="shared" si="1"/>
        <v>117</v>
      </c>
      <c r="B119" s="1" t="s">
        <v>266</v>
      </c>
      <c r="C119" s="1"/>
      <c r="D119" s="1"/>
      <c r="E119" s="2" t="s">
        <v>130</v>
      </c>
      <c r="F119" s="2" t="s">
        <v>17</v>
      </c>
      <c r="G119" s="24" t="s">
        <v>888</v>
      </c>
      <c r="H119" s="24" t="s">
        <v>846</v>
      </c>
      <c r="I119" s="24"/>
      <c r="J119" s="43"/>
      <c r="K119" s="24"/>
      <c r="L119" s="24" t="s">
        <v>1014</v>
      </c>
      <c r="M119" s="24" t="s">
        <v>1025</v>
      </c>
      <c r="N119" s="24">
        <v>1116</v>
      </c>
      <c r="O119" s="24" t="s">
        <v>140</v>
      </c>
      <c r="P119" s="40">
        <v>30</v>
      </c>
      <c r="Q119" s="28" t="s">
        <v>814</v>
      </c>
      <c r="R119" s="26"/>
      <c r="S119" s="26"/>
      <c r="T119" s="21">
        <f>VLOOKUP(N119,('Master File'!$I$3:$I$220),1,FALSE)</f>
        <v>1116</v>
      </c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</row>
    <row r="120" spans="1:82" x14ac:dyDescent="0.25">
      <c r="A120" s="1">
        <f t="shared" si="1"/>
        <v>118</v>
      </c>
      <c r="B120" s="1"/>
      <c r="C120" s="1"/>
      <c r="D120" s="1"/>
      <c r="E120" s="2" t="s">
        <v>37</v>
      </c>
      <c r="F120" s="2" t="s">
        <v>17</v>
      </c>
      <c r="G120" s="24" t="s">
        <v>888</v>
      </c>
      <c r="H120" s="24" t="s">
        <v>823</v>
      </c>
      <c r="I120" s="24"/>
      <c r="J120" s="43"/>
      <c r="K120" s="24"/>
      <c r="L120" s="24" t="s">
        <v>785</v>
      </c>
      <c r="M120" s="24"/>
      <c r="N120" s="24">
        <v>1117</v>
      </c>
      <c r="O120" s="25" t="s">
        <v>1001</v>
      </c>
      <c r="P120" s="40">
        <v>15</v>
      </c>
      <c r="Q120" s="28" t="s">
        <v>814</v>
      </c>
      <c r="R120" s="26"/>
      <c r="S120" s="26"/>
      <c r="T120" s="21">
        <f>VLOOKUP(N120,('Master File'!$I$3:$I$220),1,FALSE)</f>
        <v>1117</v>
      </c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</row>
    <row r="121" spans="1:82" x14ac:dyDescent="0.25">
      <c r="A121" s="1">
        <f t="shared" si="1"/>
        <v>119</v>
      </c>
      <c r="B121" s="1"/>
      <c r="C121" s="1"/>
      <c r="D121" s="1"/>
      <c r="E121" s="2" t="s">
        <v>37</v>
      </c>
      <c r="F121" s="2" t="s">
        <v>17</v>
      </c>
      <c r="G121" s="24" t="s">
        <v>888</v>
      </c>
      <c r="H121" s="24" t="s">
        <v>823</v>
      </c>
      <c r="I121" s="24"/>
      <c r="J121" s="43"/>
      <c r="K121" s="24"/>
      <c r="L121" s="24" t="s">
        <v>786</v>
      </c>
      <c r="M121" s="24"/>
      <c r="N121" s="24">
        <v>1118</v>
      </c>
      <c r="O121" s="25" t="s">
        <v>38</v>
      </c>
      <c r="P121" s="40">
        <v>30</v>
      </c>
      <c r="Q121" s="28" t="s">
        <v>814</v>
      </c>
      <c r="R121" s="26"/>
      <c r="S121" s="26"/>
      <c r="T121" s="21">
        <f>VLOOKUP(N121,('Master File'!$I$3:$I$220),1,FALSE)</f>
        <v>1118</v>
      </c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</row>
    <row r="122" spans="1:82" x14ac:dyDescent="0.25">
      <c r="A122" s="1">
        <f t="shared" si="1"/>
        <v>120</v>
      </c>
      <c r="B122" s="1"/>
      <c r="C122" s="1"/>
      <c r="D122" s="1"/>
      <c r="E122" s="2" t="s">
        <v>56</v>
      </c>
      <c r="F122" s="2" t="s">
        <v>6</v>
      </c>
      <c r="G122" s="24" t="s">
        <v>939</v>
      </c>
      <c r="H122" s="24" t="s">
        <v>61</v>
      </c>
      <c r="I122" s="24"/>
      <c r="J122" s="43"/>
      <c r="K122" s="24"/>
      <c r="L122" s="24" t="s">
        <v>1090</v>
      </c>
      <c r="M122" s="24"/>
      <c r="N122" s="24">
        <v>1119</v>
      </c>
      <c r="O122" s="24" t="s">
        <v>61</v>
      </c>
      <c r="P122" s="40" t="s">
        <v>800</v>
      </c>
      <c r="Q122" s="28" t="s">
        <v>809</v>
      </c>
      <c r="R122" s="26"/>
      <c r="S122" s="26"/>
      <c r="T122" s="21" t="e">
        <f>VLOOKUP(N122,('Master File'!$I$3:$I$220),1,FALSE)</f>
        <v>#N/A</v>
      </c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</row>
    <row r="123" spans="1:82" x14ac:dyDescent="0.25">
      <c r="A123" s="1">
        <f t="shared" si="1"/>
        <v>121</v>
      </c>
      <c r="B123" s="1"/>
      <c r="C123" s="1"/>
      <c r="D123" s="1"/>
      <c r="E123" s="2" t="s">
        <v>56</v>
      </c>
      <c r="F123" s="2" t="s">
        <v>17</v>
      </c>
      <c r="G123" s="24" t="s">
        <v>888</v>
      </c>
      <c r="H123" s="24" t="s">
        <v>851</v>
      </c>
      <c r="I123" s="24"/>
      <c r="J123" s="43"/>
      <c r="K123" s="24"/>
      <c r="L123" s="24" t="s">
        <v>1004</v>
      </c>
      <c r="M123" s="24"/>
      <c r="N123" s="24">
        <v>1120</v>
      </c>
      <c r="O123" s="24" t="s">
        <v>97</v>
      </c>
      <c r="P123" s="41" t="s">
        <v>799</v>
      </c>
      <c r="Q123" s="28" t="s">
        <v>814</v>
      </c>
      <c r="R123" s="26"/>
      <c r="S123" s="26"/>
      <c r="T123" s="21">
        <f>VLOOKUP(N123,('Master File'!$I$3:$I$220),1,FALSE)</f>
        <v>1120</v>
      </c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</row>
    <row r="124" spans="1:82" x14ac:dyDescent="0.25">
      <c r="A124" s="1">
        <f t="shared" si="1"/>
        <v>122</v>
      </c>
      <c r="B124" s="1"/>
      <c r="C124" s="1"/>
      <c r="D124" s="1"/>
      <c r="E124" s="2" t="s">
        <v>56</v>
      </c>
      <c r="F124" s="2" t="s">
        <v>17</v>
      </c>
      <c r="G124" s="24" t="s">
        <v>888</v>
      </c>
      <c r="H124" s="24" t="s">
        <v>98</v>
      </c>
      <c r="I124" s="24"/>
      <c r="J124" s="43"/>
      <c r="K124" s="24"/>
      <c r="L124" s="24" t="s">
        <v>1005</v>
      </c>
      <c r="M124" s="24"/>
      <c r="N124" s="24">
        <v>1121</v>
      </c>
      <c r="O124" s="24" t="s">
        <v>98</v>
      </c>
      <c r="P124" s="41" t="s">
        <v>799</v>
      </c>
      <c r="Q124" s="28" t="s">
        <v>814</v>
      </c>
      <c r="R124" s="26"/>
      <c r="S124" s="26"/>
      <c r="T124" s="21">
        <f>VLOOKUP(N124,('Master File'!$I$3:$I$220),1,FALSE)</f>
        <v>1121</v>
      </c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</row>
    <row r="125" spans="1:82" x14ac:dyDescent="0.25">
      <c r="A125" s="1">
        <f t="shared" si="1"/>
        <v>123</v>
      </c>
      <c r="B125" s="1"/>
      <c r="C125" s="1"/>
      <c r="D125" s="1"/>
      <c r="E125" s="2" t="s">
        <v>56</v>
      </c>
      <c r="F125" s="2" t="s">
        <v>17</v>
      </c>
      <c r="G125" s="24" t="s">
        <v>889</v>
      </c>
      <c r="H125" s="24" t="s">
        <v>864</v>
      </c>
      <c r="I125" s="24"/>
      <c r="J125" s="43"/>
      <c r="K125" s="24"/>
      <c r="L125" s="24"/>
      <c r="M125" s="24"/>
      <c r="N125" s="24">
        <v>1122</v>
      </c>
      <c r="O125" s="24" t="s">
        <v>101</v>
      </c>
      <c r="P125" s="40">
        <v>10</v>
      </c>
      <c r="Q125" s="28" t="s">
        <v>809</v>
      </c>
      <c r="R125" s="26"/>
      <c r="S125" s="26"/>
      <c r="T125" s="21" t="e">
        <f>VLOOKUP(N125,('Master File'!$I$3:$I$220),1,FALSE)</f>
        <v>#N/A</v>
      </c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</row>
    <row r="126" spans="1:82" x14ac:dyDescent="0.25">
      <c r="A126" s="1">
        <f t="shared" si="1"/>
        <v>124</v>
      </c>
      <c r="B126" s="1"/>
      <c r="C126" s="1"/>
      <c r="D126" s="1"/>
      <c r="E126" s="2" t="s">
        <v>56</v>
      </c>
      <c r="F126" s="2" t="s">
        <v>107</v>
      </c>
      <c r="G126" s="24" t="s">
        <v>889</v>
      </c>
      <c r="H126" s="24" t="s">
        <v>865</v>
      </c>
      <c r="I126" s="24"/>
      <c r="J126" s="43"/>
      <c r="K126" s="24"/>
      <c r="L126" s="24"/>
      <c r="M126" s="24"/>
      <c r="N126" s="24">
        <v>1123</v>
      </c>
      <c r="O126" s="24" t="s">
        <v>106</v>
      </c>
      <c r="P126" s="40">
        <v>20</v>
      </c>
      <c r="Q126" s="28" t="s">
        <v>813</v>
      </c>
      <c r="R126" s="26"/>
      <c r="S126" s="26"/>
      <c r="T126" s="21" t="e">
        <f>VLOOKUP(N126,('Master File'!$I$3:$I$220),1,FALSE)</f>
        <v>#N/A</v>
      </c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</row>
    <row r="127" spans="1:82" x14ac:dyDescent="0.25">
      <c r="A127" s="1">
        <f t="shared" si="1"/>
        <v>125</v>
      </c>
      <c r="B127" s="1"/>
      <c r="C127" s="1"/>
      <c r="D127" s="1"/>
      <c r="E127" s="2" t="s">
        <v>56</v>
      </c>
      <c r="F127" s="2" t="s">
        <v>107</v>
      </c>
      <c r="G127" s="24" t="s">
        <v>889</v>
      </c>
      <c r="H127" s="24" t="s">
        <v>866</v>
      </c>
      <c r="I127" s="24"/>
      <c r="J127" s="43"/>
      <c r="K127" s="24"/>
      <c r="L127" s="24"/>
      <c r="M127" s="24"/>
      <c r="N127" s="24">
        <v>1124</v>
      </c>
      <c r="O127" s="24" t="s">
        <v>114</v>
      </c>
      <c r="P127" s="40">
        <v>18</v>
      </c>
      <c r="Q127" s="28" t="s">
        <v>813</v>
      </c>
      <c r="R127" s="26"/>
      <c r="S127" s="26"/>
      <c r="T127" s="21" t="e">
        <f>VLOOKUP(N127,('Master File'!$I$3:$I$220),1,FALSE)</f>
        <v>#N/A</v>
      </c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</row>
    <row r="128" spans="1:82" x14ac:dyDescent="0.25">
      <c r="A128" s="1">
        <f t="shared" si="1"/>
        <v>126</v>
      </c>
      <c r="B128" s="1"/>
      <c r="C128" s="1"/>
      <c r="D128" s="1"/>
      <c r="E128" s="2" t="s">
        <v>56</v>
      </c>
      <c r="F128" s="2" t="s">
        <v>17</v>
      </c>
      <c r="G128" s="24" t="s">
        <v>889</v>
      </c>
      <c r="H128" s="24" t="s">
        <v>867</v>
      </c>
      <c r="I128" s="24"/>
      <c r="J128" s="43"/>
      <c r="K128" s="24"/>
      <c r="L128" s="24"/>
      <c r="M128" s="24"/>
      <c r="N128" s="24">
        <v>1125</v>
      </c>
      <c r="O128" s="24" t="s">
        <v>116</v>
      </c>
      <c r="P128" s="40">
        <v>15</v>
      </c>
      <c r="Q128" s="28" t="s">
        <v>813</v>
      </c>
      <c r="R128" s="26"/>
      <c r="S128" s="26"/>
      <c r="T128" s="21" t="e">
        <f>VLOOKUP(N128,('Master File'!$I$3:$I$220),1,FALSE)</f>
        <v>#N/A</v>
      </c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</row>
    <row r="129" spans="1:82" x14ac:dyDescent="0.25">
      <c r="A129" s="1">
        <f t="shared" si="1"/>
        <v>127</v>
      </c>
      <c r="B129" s="1"/>
      <c r="C129" s="1"/>
      <c r="D129" s="1"/>
      <c r="E129" s="2" t="s">
        <v>56</v>
      </c>
      <c r="F129" s="2" t="s">
        <v>17</v>
      </c>
      <c r="G129" s="24" t="s">
        <v>889</v>
      </c>
      <c r="H129" s="24" t="s">
        <v>868</v>
      </c>
      <c r="I129" s="24"/>
      <c r="J129" s="43"/>
      <c r="K129" s="24"/>
      <c r="L129" s="24"/>
      <c r="M129" s="24"/>
      <c r="N129" s="24">
        <v>1126</v>
      </c>
      <c r="O129" s="24" t="s">
        <v>117</v>
      </c>
      <c r="P129" s="40">
        <v>12</v>
      </c>
      <c r="Q129" s="28" t="s">
        <v>813</v>
      </c>
      <c r="R129" s="26"/>
      <c r="S129" s="26"/>
      <c r="T129" s="21" t="e">
        <f>VLOOKUP(N129,('Master File'!$I$3:$I$220),1,FALSE)</f>
        <v>#N/A</v>
      </c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</row>
    <row r="130" spans="1:82" x14ac:dyDescent="0.25">
      <c r="A130" s="1">
        <f t="shared" si="1"/>
        <v>128</v>
      </c>
      <c r="B130" s="1"/>
      <c r="C130" s="1"/>
      <c r="D130" s="1"/>
      <c r="E130" s="2" t="s">
        <v>56</v>
      </c>
      <c r="F130" s="2" t="s">
        <v>17</v>
      </c>
      <c r="G130" s="24" t="s">
        <v>889</v>
      </c>
      <c r="H130" s="24" t="s">
        <v>869</v>
      </c>
      <c r="I130" s="24"/>
      <c r="J130" s="43"/>
      <c r="K130" s="24"/>
      <c r="L130" s="24"/>
      <c r="M130" s="24"/>
      <c r="N130" s="24">
        <v>1127</v>
      </c>
      <c r="O130" s="24" t="s">
        <v>118</v>
      </c>
      <c r="P130" s="40">
        <v>12</v>
      </c>
      <c r="Q130" s="28" t="s">
        <v>813</v>
      </c>
      <c r="R130" s="26"/>
      <c r="S130" s="26"/>
      <c r="T130" s="21" t="e">
        <f>VLOOKUP(N130,('Master File'!$I$3:$I$220),1,FALSE)</f>
        <v>#N/A</v>
      </c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</row>
    <row r="131" spans="1:82" x14ac:dyDescent="0.25">
      <c r="A131" s="1">
        <f t="shared" si="1"/>
        <v>129</v>
      </c>
      <c r="B131" s="1"/>
      <c r="C131" s="1"/>
      <c r="D131" s="1" t="s">
        <v>886</v>
      </c>
      <c r="E131" s="2" t="s">
        <v>84</v>
      </c>
      <c r="F131" s="2" t="s">
        <v>17</v>
      </c>
      <c r="G131" s="24" t="s">
        <v>888</v>
      </c>
      <c r="H131" s="24" t="s">
        <v>870</v>
      </c>
      <c r="I131" s="24"/>
      <c r="J131" s="43"/>
      <c r="K131" s="24"/>
      <c r="L131" s="24"/>
      <c r="M131" s="24" t="s">
        <v>972</v>
      </c>
      <c r="N131" s="24">
        <v>1128</v>
      </c>
      <c r="O131" s="24" t="s">
        <v>121</v>
      </c>
      <c r="P131" s="40" t="s">
        <v>800</v>
      </c>
      <c r="Q131" s="28" t="s">
        <v>814</v>
      </c>
      <c r="R131" s="26"/>
      <c r="S131" s="26"/>
      <c r="T131" s="21">
        <f>VLOOKUP(N131,('Master File'!$I$3:$I$220),1,FALSE)</f>
        <v>1128</v>
      </c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</row>
    <row r="132" spans="1:82" x14ac:dyDescent="0.25">
      <c r="A132" s="1">
        <f t="shared" si="1"/>
        <v>130</v>
      </c>
      <c r="B132" s="1"/>
      <c r="C132" s="1"/>
      <c r="D132" s="1" t="s">
        <v>886</v>
      </c>
      <c r="E132" s="2" t="s">
        <v>84</v>
      </c>
      <c r="F132" s="2" t="s">
        <v>17</v>
      </c>
      <c r="G132" s="24" t="s">
        <v>888</v>
      </c>
      <c r="H132" s="24" t="s">
        <v>122</v>
      </c>
      <c r="I132" s="24"/>
      <c r="J132" s="43"/>
      <c r="K132" s="24"/>
      <c r="L132" s="24" t="s">
        <v>773</v>
      </c>
      <c r="M132" s="24" t="s">
        <v>973</v>
      </c>
      <c r="N132" s="24">
        <v>1129</v>
      </c>
      <c r="O132" s="24" t="s">
        <v>122</v>
      </c>
      <c r="P132" s="40" t="s">
        <v>800</v>
      </c>
      <c r="Q132" s="28" t="s">
        <v>814</v>
      </c>
      <c r="R132" s="26"/>
      <c r="S132" s="26"/>
      <c r="T132" s="21">
        <f>VLOOKUP(N132,('Master File'!$I$3:$I$220),1,FALSE)</f>
        <v>1129</v>
      </c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</row>
    <row r="133" spans="1:82" x14ac:dyDescent="0.25">
      <c r="A133" s="1">
        <f t="shared" si="1"/>
        <v>131</v>
      </c>
      <c r="B133" s="1"/>
      <c r="C133" s="1"/>
      <c r="D133" s="1" t="s">
        <v>886</v>
      </c>
      <c r="E133" s="2" t="s">
        <v>84</v>
      </c>
      <c r="F133" s="2" t="s">
        <v>17</v>
      </c>
      <c r="G133" s="24" t="s">
        <v>888</v>
      </c>
      <c r="H133" s="24" t="s">
        <v>123</v>
      </c>
      <c r="I133" s="24"/>
      <c r="J133" s="43"/>
      <c r="K133" s="24"/>
      <c r="L133" s="24" t="s">
        <v>759</v>
      </c>
      <c r="M133" s="24" t="s">
        <v>974</v>
      </c>
      <c r="N133" s="24">
        <v>1130</v>
      </c>
      <c r="O133" s="24" t="s">
        <v>123</v>
      </c>
      <c r="P133" s="40">
        <v>40</v>
      </c>
      <c r="Q133" s="28" t="s">
        <v>814</v>
      </c>
      <c r="R133" s="26"/>
      <c r="S133" s="26"/>
      <c r="T133" s="21">
        <f>VLOOKUP(N133,('Master File'!$I$3:$I$220),1,FALSE)</f>
        <v>1130</v>
      </c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</row>
    <row r="134" spans="1:82" x14ac:dyDescent="0.25">
      <c r="A134" s="1">
        <f t="shared" ref="A134:A153" si="2">A133+1</f>
        <v>132</v>
      </c>
      <c r="B134" s="1"/>
      <c r="C134" s="1"/>
      <c r="D134" s="1" t="s">
        <v>886</v>
      </c>
      <c r="E134" s="2" t="s">
        <v>88</v>
      </c>
      <c r="F134" s="2" t="s">
        <v>17</v>
      </c>
      <c r="G134" s="24" t="s">
        <v>888</v>
      </c>
      <c r="H134" s="24" t="s">
        <v>124</v>
      </c>
      <c r="I134" s="24"/>
      <c r="J134" s="43"/>
      <c r="K134" s="24"/>
      <c r="L134" s="24" t="s">
        <v>760</v>
      </c>
      <c r="M134" s="24" t="s">
        <v>975</v>
      </c>
      <c r="N134" s="24">
        <v>1131</v>
      </c>
      <c r="O134" s="24" t="s">
        <v>124</v>
      </c>
      <c r="P134" s="40" t="s">
        <v>800</v>
      </c>
      <c r="Q134" s="28" t="s">
        <v>814</v>
      </c>
      <c r="R134" s="26"/>
      <c r="S134" s="26"/>
      <c r="T134" s="21">
        <f>VLOOKUP(N134,('Master File'!$I$3:$I$220),1,FALSE)</f>
        <v>1131</v>
      </c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</row>
    <row r="135" spans="1:82" x14ac:dyDescent="0.25">
      <c r="A135" s="1">
        <f t="shared" si="2"/>
        <v>133</v>
      </c>
      <c r="B135" s="1"/>
      <c r="C135" s="1"/>
      <c r="D135" s="1" t="s">
        <v>886</v>
      </c>
      <c r="E135" s="2" t="s">
        <v>88</v>
      </c>
      <c r="F135" s="2" t="s">
        <v>17</v>
      </c>
      <c r="G135" s="24" t="s">
        <v>888</v>
      </c>
      <c r="H135" s="24" t="s">
        <v>125</v>
      </c>
      <c r="I135" s="24"/>
      <c r="J135" s="43"/>
      <c r="K135" s="24"/>
      <c r="L135" s="24" t="s">
        <v>774</v>
      </c>
      <c r="M135" s="24" t="s">
        <v>976</v>
      </c>
      <c r="N135" s="24">
        <v>1132</v>
      </c>
      <c r="O135" s="24" t="s">
        <v>125</v>
      </c>
      <c r="P135" s="40" t="s">
        <v>800</v>
      </c>
      <c r="Q135" s="28" t="s">
        <v>814</v>
      </c>
      <c r="R135" s="26"/>
      <c r="S135" s="26"/>
      <c r="T135" s="21">
        <f>VLOOKUP(N135,('Master File'!$I$3:$I$220),1,FALSE)</f>
        <v>1132</v>
      </c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</row>
    <row r="136" spans="1:82" x14ac:dyDescent="0.25">
      <c r="A136" s="1">
        <f t="shared" si="2"/>
        <v>134</v>
      </c>
      <c r="B136" s="1"/>
      <c r="C136" s="1" t="s">
        <v>1156</v>
      </c>
      <c r="D136" s="1" t="s">
        <v>886</v>
      </c>
      <c r="E136" s="2" t="s">
        <v>128</v>
      </c>
      <c r="F136" s="2" t="s">
        <v>17</v>
      </c>
      <c r="G136" s="24" t="s">
        <v>888</v>
      </c>
      <c r="H136" s="24" t="s">
        <v>129</v>
      </c>
      <c r="I136" s="24"/>
      <c r="J136" s="43"/>
      <c r="K136" s="24"/>
      <c r="L136" s="24" t="s">
        <v>761</v>
      </c>
      <c r="M136" s="24" t="s">
        <v>977</v>
      </c>
      <c r="N136" s="24">
        <v>1133</v>
      </c>
      <c r="O136" s="24" t="s">
        <v>129</v>
      </c>
      <c r="P136" s="40" t="s">
        <v>800</v>
      </c>
      <c r="Q136" s="28" t="s">
        <v>814</v>
      </c>
      <c r="R136" s="26"/>
      <c r="S136" s="26"/>
      <c r="T136" s="21">
        <f>VLOOKUP(N136,('Master File'!$I$3:$I$220),1,FALSE)</f>
        <v>1133</v>
      </c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</row>
    <row r="137" spans="1:82" x14ac:dyDescent="0.25">
      <c r="A137" s="1">
        <f t="shared" si="2"/>
        <v>135</v>
      </c>
      <c r="B137" s="1" t="s">
        <v>789</v>
      </c>
      <c r="C137" s="1" t="s">
        <v>182</v>
      </c>
      <c r="D137" s="1" t="s">
        <v>885</v>
      </c>
      <c r="E137" s="2" t="s">
        <v>30</v>
      </c>
      <c r="F137" s="2" t="s">
        <v>6</v>
      </c>
      <c r="G137" s="24" t="s">
        <v>888</v>
      </c>
      <c r="H137" s="24" t="s">
        <v>822</v>
      </c>
      <c r="I137" s="24" t="s">
        <v>895</v>
      </c>
      <c r="J137" s="43">
        <v>1</v>
      </c>
      <c r="K137" s="24" t="s">
        <v>790</v>
      </c>
      <c r="L137" s="24" t="s">
        <v>791</v>
      </c>
      <c r="M137" s="24"/>
      <c r="N137" s="24">
        <v>1134</v>
      </c>
      <c r="O137" s="24" t="s">
        <v>795</v>
      </c>
      <c r="P137" s="40">
        <v>50</v>
      </c>
      <c r="Q137" s="28" t="s">
        <v>814</v>
      </c>
      <c r="R137" s="26">
        <v>600</v>
      </c>
      <c r="S137" s="26"/>
      <c r="T137" s="21">
        <f>VLOOKUP(N137,('Master File'!$I$3:$I$220),1,FALSE)</f>
        <v>1134</v>
      </c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</row>
    <row r="138" spans="1:82" x14ac:dyDescent="0.25">
      <c r="A138" s="1">
        <f t="shared" si="2"/>
        <v>136</v>
      </c>
      <c r="B138" s="1" t="s">
        <v>792</v>
      </c>
      <c r="C138" s="1" t="s">
        <v>182</v>
      </c>
      <c r="D138" s="1" t="s">
        <v>885</v>
      </c>
      <c r="E138" s="2" t="s">
        <v>32</v>
      </c>
      <c r="F138" s="2" t="s">
        <v>6</v>
      </c>
      <c r="G138" s="24" t="s">
        <v>888</v>
      </c>
      <c r="H138" s="24" t="s">
        <v>820</v>
      </c>
      <c r="I138" s="24" t="s">
        <v>895</v>
      </c>
      <c r="J138" s="43">
        <v>1</v>
      </c>
      <c r="K138" s="24" t="s">
        <v>793</v>
      </c>
      <c r="L138" s="24" t="s">
        <v>794</v>
      </c>
      <c r="M138" s="24"/>
      <c r="N138" s="24">
        <v>1135</v>
      </c>
      <c r="O138" s="24" t="s">
        <v>796</v>
      </c>
      <c r="P138" s="40">
        <v>50</v>
      </c>
      <c r="Q138" s="28" t="s">
        <v>814</v>
      </c>
      <c r="R138" s="26">
        <v>900</v>
      </c>
      <c r="S138" s="26"/>
      <c r="T138" s="21">
        <f>VLOOKUP(N138,('Master File'!$I$3:$I$220),1,FALSE)</f>
        <v>1135</v>
      </c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</row>
    <row r="139" spans="1:82" x14ac:dyDescent="0.25">
      <c r="A139" s="1">
        <f t="shared" si="2"/>
        <v>137</v>
      </c>
      <c r="B139" s="1" t="s">
        <v>940</v>
      </c>
      <c r="C139" s="1" t="s">
        <v>182</v>
      </c>
      <c r="D139" s="1" t="s">
        <v>885</v>
      </c>
      <c r="E139" s="2" t="s">
        <v>32</v>
      </c>
      <c r="F139" s="2" t="s">
        <v>6</v>
      </c>
      <c r="G139" s="24" t="s">
        <v>888</v>
      </c>
      <c r="H139" s="24" t="s">
        <v>820</v>
      </c>
      <c r="I139" s="24" t="s">
        <v>895</v>
      </c>
      <c r="J139" s="43">
        <v>1</v>
      </c>
      <c r="K139" s="24" t="s">
        <v>801</v>
      </c>
      <c r="L139" s="24" t="s">
        <v>801</v>
      </c>
      <c r="M139" s="24"/>
      <c r="N139" s="24">
        <v>1136</v>
      </c>
      <c r="O139" s="24" t="s">
        <v>802</v>
      </c>
      <c r="P139" s="40">
        <v>25</v>
      </c>
      <c r="Q139" s="28" t="s">
        <v>814</v>
      </c>
      <c r="R139" s="26" t="s">
        <v>895</v>
      </c>
      <c r="S139" s="26"/>
      <c r="T139" s="21">
        <f>VLOOKUP(N139,('Master File'!$I$3:$I$220),1,FALSE)</f>
        <v>1136</v>
      </c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</row>
    <row r="140" spans="1:82" x14ac:dyDescent="0.25">
      <c r="A140" s="1">
        <f t="shared" si="2"/>
        <v>138</v>
      </c>
      <c r="B140" s="1" t="s">
        <v>943</v>
      </c>
      <c r="C140" s="1" t="s">
        <v>182</v>
      </c>
      <c r="D140" s="1" t="s">
        <v>885</v>
      </c>
      <c r="E140" s="2" t="s">
        <v>30</v>
      </c>
      <c r="F140" s="2" t="s">
        <v>6</v>
      </c>
      <c r="G140" s="24" t="s">
        <v>888</v>
      </c>
      <c r="H140" s="24" t="s">
        <v>822</v>
      </c>
      <c r="I140" s="24" t="s">
        <v>895</v>
      </c>
      <c r="J140" s="43">
        <v>1</v>
      </c>
      <c r="K140" s="24" t="s">
        <v>805</v>
      </c>
      <c r="L140" s="24" t="s">
        <v>806</v>
      </c>
      <c r="M140" s="24"/>
      <c r="N140" s="24">
        <v>1137</v>
      </c>
      <c r="O140" s="24" t="s">
        <v>807</v>
      </c>
      <c r="P140" s="40">
        <v>25</v>
      </c>
      <c r="Q140" s="28" t="s">
        <v>814</v>
      </c>
      <c r="R140" s="26" t="s">
        <v>895</v>
      </c>
      <c r="S140" s="26"/>
      <c r="T140" s="21">
        <f>VLOOKUP(N140,('Master File'!$I$3:$I$220),1,FALSE)</f>
        <v>1137</v>
      </c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</row>
    <row r="141" spans="1:82" x14ac:dyDescent="0.25">
      <c r="A141" s="1">
        <f t="shared" si="2"/>
        <v>139</v>
      </c>
      <c r="B141" s="1" t="s">
        <v>944</v>
      </c>
      <c r="C141" s="1" t="s">
        <v>182</v>
      </c>
      <c r="D141" s="1" t="s">
        <v>885</v>
      </c>
      <c r="E141" s="2" t="s">
        <v>4</v>
      </c>
      <c r="F141" s="2" t="s">
        <v>6</v>
      </c>
      <c r="G141" s="24" t="s">
        <v>888</v>
      </c>
      <c r="H141" s="24" t="s">
        <v>825</v>
      </c>
      <c r="I141" s="24" t="s">
        <v>895</v>
      </c>
      <c r="J141" s="43">
        <v>3</v>
      </c>
      <c r="K141" s="24" t="s">
        <v>810</v>
      </c>
      <c r="L141" s="24" t="s">
        <v>812</v>
      </c>
      <c r="M141" s="24"/>
      <c r="N141" s="24">
        <v>1138</v>
      </c>
      <c r="O141" s="24" t="s">
        <v>811</v>
      </c>
      <c r="P141" s="40">
        <v>25</v>
      </c>
      <c r="Q141" s="28" t="s">
        <v>814</v>
      </c>
      <c r="R141" s="26">
        <v>3200</v>
      </c>
      <c r="S141" s="26"/>
      <c r="T141" s="21">
        <f>VLOOKUP(N141,('Master File'!$I$3:$I$220),1,FALSE)</f>
        <v>1138</v>
      </c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</row>
    <row r="142" spans="1:82" x14ac:dyDescent="0.25">
      <c r="A142" s="1">
        <f t="shared" si="2"/>
        <v>140</v>
      </c>
      <c r="B142" s="1" t="s">
        <v>945</v>
      </c>
      <c r="C142" s="1" t="s">
        <v>182</v>
      </c>
      <c r="D142" s="1" t="s">
        <v>885</v>
      </c>
      <c r="E142" s="2" t="s">
        <v>40</v>
      </c>
      <c r="F142" s="2" t="s">
        <v>6</v>
      </c>
      <c r="G142" s="24" t="s">
        <v>888</v>
      </c>
      <c r="H142" s="24" t="s">
        <v>824</v>
      </c>
      <c r="I142" s="24" t="s">
        <v>900</v>
      </c>
      <c r="J142" s="43"/>
      <c r="K142" s="24"/>
      <c r="L142" s="24" t="s">
        <v>779</v>
      </c>
      <c r="M142" s="24"/>
      <c r="N142" s="24">
        <v>1139</v>
      </c>
      <c r="O142" s="25" t="s">
        <v>43</v>
      </c>
      <c r="P142" s="40">
        <v>30</v>
      </c>
      <c r="Q142" s="28" t="s">
        <v>814</v>
      </c>
      <c r="R142" s="26">
        <v>1200</v>
      </c>
      <c r="S142" s="26"/>
      <c r="T142" s="21">
        <f>VLOOKUP(N142,('Master File'!$I$3:$I$220),1,FALSE)</f>
        <v>1139</v>
      </c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</row>
    <row r="143" spans="1:82" x14ac:dyDescent="0.25">
      <c r="A143" s="1">
        <f t="shared" si="2"/>
        <v>141</v>
      </c>
      <c r="B143" s="1" t="s">
        <v>992</v>
      </c>
      <c r="C143" s="1" t="s">
        <v>182</v>
      </c>
      <c r="D143" s="1" t="s">
        <v>885</v>
      </c>
      <c r="E143" s="2" t="s">
        <v>40</v>
      </c>
      <c r="F143" s="2" t="s">
        <v>6</v>
      </c>
      <c r="G143" s="24" t="s">
        <v>939</v>
      </c>
      <c r="H143" s="24" t="s">
        <v>824</v>
      </c>
      <c r="I143" s="24" t="s">
        <v>900</v>
      </c>
      <c r="J143" s="43"/>
      <c r="K143" s="24"/>
      <c r="L143" s="24" t="s">
        <v>778</v>
      </c>
      <c r="M143" s="24"/>
      <c r="N143" s="24">
        <v>1140</v>
      </c>
      <c r="O143" s="25" t="s">
        <v>42</v>
      </c>
      <c r="P143" s="40">
        <v>12</v>
      </c>
      <c r="Q143" s="28" t="s">
        <v>814</v>
      </c>
      <c r="R143" s="26">
        <v>1100</v>
      </c>
      <c r="S143" s="26"/>
      <c r="T143" s="21">
        <f>VLOOKUP(N143,('Master File'!$I$3:$I$220),1,FALSE)</f>
        <v>1140</v>
      </c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</row>
    <row r="144" spans="1:82" x14ac:dyDescent="0.25">
      <c r="A144" s="1">
        <f t="shared" si="2"/>
        <v>142</v>
      </c>
      <c r="B144" s="1">
        <v>3663</v>
      </c>
      <c r="C144" s="1">
        <v>3663</v>
      </c>
      <c r="D144" s="1" t="s">
        <v>885</v>
      </c>
      <c r="E144" s="2" t="s">
        <v>56</v>
      </c>
      <c r="F144" s="2" t="s">
        <v>17</v>
      </c>
      <c r="G144" s="24" t="s">
        <v>939</v>
      </c>
      <c r="H144" s="24" t="s">
        <v>1093</v>
      </c>
      <c r="I144" s="24"/>
      <c r="J144" s="43"/>
      <c r="K144" s="24"/>
      <c r="L144" s="24" t="s">
        <v>1091</v>
      </c>
      <c r="M144" s="24"/>
      <c r="N144" s="24">
        <v>1141</v>
      </c>
      <c r="O144" s="24" t="s">
        <v>1092</v>
      </c>
      <c r="P144" s="40">
        <v>10</v>
      </c>
      <c r="Q144" s="28" t="s">
        <v>814</v>
      </c>
      <c r="R144" s="26"/>
      <c r="S144" s="26"/>
      <c r="T144" s="21">
        <f>VLOOKUP(N144,('Master File'!$I$3:$I$220),1,FALSE)</f>
        <v>1141</v>
      </c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</row>
    <row r="145" spans="1:82" x14ac:dyDescent="0.25">
      <c r="A145" s="1">
        <f t="shared" si="2"/>
        <v>143</v>
      </c>
      <c r="B145" s="1" t="s">
        <v>1048</v>
      </c>
      <c r="C145" s="1" t="s">
        <v>1048</v>
      </c>
      <c r="D145" s="1" t="s">
        <v>885</v>
      </c>
      <c r="E145" s="2" t="s">
        <v>56</v>
      </c>
      <c r="F145" s="2" t="s">
        <v>17</v>
      </c>
      <c r="G145" s="24" t="s">
        <v>939</v>
      </c>
      <c r="H145" s="24" t="s">
        <v>1094</v>
      </c>
      <c r="I145" s="24"/>
      <c r="J145" s="43"/>
      <c r="K145" s="24"/>
      <c r="L145" s="24" t="s">
        <v>1096</v>
      </c>
      <c r="M145" s="24"/>
      <c r="N145" s="24">
        <v>1142</v>
      </c>
      <c r="O145" s="24" t="s">
        <v>1095</v>
      </c>
      <c r="P145" s="40">
        <v>10</v>
      </c>
      <c r="Q145" s="28" t="s">
        <v>814</v>
      </c>
      <c r="R145" s="26"/>
      <c r="S145" s="26"/>
      <c r="T145" s="21">
        <f>VLOOKUP(N145,('Master File'!$I$3:$I$220),1,FALSE)</f>
        <v>1142</v>
      </c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</row>
    <row r="146" spans="1:82" x14ac:dyDescent="0.25">
      <c r="A146" s="1">
        <f t="shared" si="2"/>
        <v>144</v>
      </c>
      <c r="B146" s="1" t="s">
        <v>1060</v>
      </c>
      <c r="C146" s="1" t="s">
        <v>1060</v>
      </c>
      <c r="D146" s="1" t="s">
        <v>885</v>
      </c>
      <c r="E146" s="2" t="s">
        <v>56</v>
      </c>
      <c r="F146" s="2" t="s">
        <v>17</v>
      </c>
      <c r="G146" s="24" t="s">
        <v>939</v>
      </c>
      <c r="H146" s="24" t="s">
        <v>839</v>
      </c>
      <c r="I146" s="24"/>
      <c r="J146" s="43"/>
      <c r="K146" s="24"/>
      <c r="L146" s="24" t="s">
        <v>1097</v>
      </c>
      <c r="M146" s="24"/>
      <c r="N146" s="24">
        <v>1143</v>
      </c>
      <c r="O146" s="24" t="s">
        <v>839</v>
      </c>
      <c r="P146" s="40" t="s">
        <v>799</v>
      </c>
      <c r="Q146" s="28" t="s">
        <v>814</v>
      </c>
      <c r="R146" s="26"/>
      <c r="S146" s="26"/>
      <c r="T146" s="21">
        <f>VLOOKUP(N146,('Master File'!$I$3:$I$220),1,FALSE)</f>
        <v>1143</v>
      </c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</row>
    <row r="147" spans="1:82" x14ac:dyDescent="0.25">
      <c r="A147" s="1">
        <f t="shared" si="2"/>
        <v>145</v>
      </c>
      <c r="B147" s="1" t="s">
        <v>1098</v>
      </c>
      <c r="C147" s="1" t="s">
        <v>182</v>
      </c>
      <c r="D147" s="1" t="s">
        <v>885</v>
      </c>
      <c r="E147" s="2" t="s">
        <v>56</v>
      </c>
      <c r="F147" s="2" t="s">
        <v>6</v>
      </c>
      <c r="G147" s="24" t="s">
        <v>939</v>
      </c>
      <c r="H147" s="24" t="s">
        <v>1099</v>
      </c>
      <c r="I147" s="24"/>
      <c r="J147" s="43"/>
      <c r="K147" s="24"/>
      <c r="L147" s="24" t="s">
        <v>1101</v>
      </c>
      <c r="M147" s="24"/>
      <c r="N147" s="24">
        <v>1144</v>
      </c>
      <c r="O147" s="24" t="s">
        <v>1100</v>
      </c>
      <c r="P147" s="40">
        <v>10</v>
      </c>
      <c r="Q147" s="28" t="s">
        <v>814</v>
      </c>
      <c r="R147" s="26"/>
      <c r="S147" s="26"/>
      <c r="T147" s="21">
        <f>VLOOKUP(N147,('Master File'!$I$3:$I$220),1,FALSE)</f>
        <v>1144</v>
      </c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</row>
    <row r="148" spans="1:82" x14ac:dyDescent="0.25">
      <c r="A148" s="1">
        <f t="shared" si="2"/>
        <v>146</v>
      </c>
      <c r="B148" s="1" t="s">
        <v>1102</v>
      </c>
      <c r="C148" s="1" t="s">
        <v>182</v>
      </c>
      <c r="D148" s="1" t="s">
        <v>885</v>
      </c>
      <c r="E148" s="2" t="s">
        <v>56</v>
      </c>
      <c r="F148" s="2" t="s">
        <v>6</v>
      </c>
      <c r="G148" s="24" t="s">
        <v>939</v>
      </c>
      <c r="H148" s="24" t="s">
        <v>1103</v>
      </c>
      <c r="I148" s="24"/>
      <c r="J148" s="43"/>
      <c r="K148" s="24"/>
      <c r="L148" s="24" t="s">
        <v>1105</v>
      </c>
      <c r="M148" s="24"/>
      <c r="N148" s="24">
        <v>1145</v>
      </c>
      <c r="O148" s="24" t="s">
        <v>1104</v>
      </c>
      <c r="P148" s="40">
        <v>10</v>
      </c>
      <c r="Q148" s="28" t="s">
        <v>814</v>
      </c>
      <c r="R148" s="26"/>
      <c r="S148" s="26"/>
      <c r="T148" s="21">
        <f>VLOOKUP(N148,('Master File'!$I$3:$I$220),1,FALSE)</f>
        <v>1145</v>
      </c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</row>
    <row r="149" spans="1:82" x14ac:dyDescent="0.25">
      <c r="A149" s="1">
        <f t="shared" si="2"/>
        <v>147</v>
      </c>
      <c r="B149" s="1" t="s">
        <v>1106</v>
      </c>
      <c r="C149" s="1" t="s">
        <v>182</v>
      </c>
      <c r="D149" s="1" t="s">
        <v>885</v>
      </c>
      <c r="E149" s="2" t="s">
        <v>128</v>
      </c>
      <c r="F149" s="2" t="s">
        <v>6</v>
      </c>
      <c r="G149" s="24" t="s">
        <v>939</v>
      </c>
      <c r="H149" s="24" t="s">
        <v>1107</v>
      </c>
      <c r="I149" s="24"/>
      <c r="J149" s="43"/>
      <c r="K149" s="24"/>
      <c r="L149" s="24" t="s">
        <v>1108</v>
      </c>
      <c r="M149" s="24"/>
      <c r="N149" s="24">
        <v>1146</v>
      </c>
      <c r="O149" s="24" t="s">
        <v>1109</v>
      </c>
      <c r="P149" s="40">
        <v>18</v>
      </c>
      <c r="Q149" s="28" t="s">
        <v>814</v>
      </c>
      <c r="R149" s="26"/>
      <c r="S149" s="26"/>
      <c r="T149" s="21">
        <f>VLOOKUP(N149,('Master File'!$I$3:$I$220),1,FALSE)</f>
        <v>1146</v>
      </c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</row>
    <row r="150" spans="1:82" x14ac:dyDescent="0.25">
      <c r="A150" s="1">
        <f t="shared" si="2"/>
        <v>148</v>
      </c>
      <c r="B150" s="1" t="s">
        <v>1110</v>
      </c>
      <c r="C150" s="1" t="s">
        <v>182</v>
      </c>
      <c r="D150" s="1" t="s">
        <v>885</v>
      </c>
      <c r="E150" s="2" t="s">
        <v>128</v>
      </c>
      <c r="F150" s="2" t="s">
        <v>17</v>
      </c>
      <c r="G150" s="24" t="s">
        <v>939</v>
      </c>
      <c r="H150" s="24" t="s">
        <v>1111</v>
      </c>
      <c r="I150" s="24"/>
      <c r="J150" s="43"/>
      <c r="K150" s="24"/>
      <c r="L150" s="24" t="s">
        <v>1131</v>
      </c>
      <c r="M150" s="24"/>
      <c r="N150" s="24">
        <v>1147</v>
      </c>
      <c r="O150" s="24" t="s">
        <v>1112</v>
      </c>
      <c r="P150" s="40">
        <v>16</v>
      </c>
      <c r="Q150" s="28" t="s">
        <v>814</v>
      </c>
      <c r="R150" s="26"/>
      <c r="S150" s="26"/>
      <c r="T150" s="21">
        <f>VLOOKUP(N150,('Master File'!$I$3:$I$220),1,FALSE)</f>
        <v>1147</v>
      </c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</row>
    <row r="151" spans="1:82" x14ac:dyDescent="0.25">
      <c r="A151" s="1">
        <f t="shared" si="2"/>
        <v>149</v>
      </c>
      <c r="B151" s="1" t="s">
        <v>1113</v>
      </c>
      <c r="C151" s="1" t="s">
        <v>1064</v>
      </c>
      <c r="D151" s="1" t="s">
        <v>885</v>
      </c>
      <c r="E151" s="2" t="s">
        <v>56</v>
      </c>
      <c r="F151" s="2" t="s">
        <v>17</v>
      </c>
      <c r="G151" s="24" t="s">
        <v>939</v>
      </c>
      <c r="H151" s="24" t="s">
        <v>871</v>
      </c>
      <c r="I151" s="24"/>
      <c r="J151" s="43"/>
      <c r="K151" s="24"/>
      <c r="L151" s="24" t="s">
        <v>1135</v>
      </c>
      <c r="M151" s="24"/>
      <c r="N151" s="24">
        <v>1148</v>
      </c>
      <c r="O151" s="24" t="s">
        <v>1132</v>
      </c>
      <c r="P151" s="40">
        <v>16</v>
      </c>
      <c r="Q151" s="28" t="s">
        <v>814</v>
      </c>
      <c r="R151" s="26"/>
      <c r="S151" s="26"/>
      <c r="T151" s="21">
        <f>VLOOKUP(N151,('Master File'!$I$3:$I$220),1,FALSE)</f>
        <v>1148</v>
      </c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</row>
    <row r="152" spans="1:82" x14ac:dyDescent="0.25">
      <c r="A152" s="1">
        <f t="shared" si="2"/>
        <v>150</v>
      </c>
      <c r="B152" s="1" t="s">
        <v>1067</v>
      </c>
      <c r="C152" s="1" t="s">
        <v>1067</v>
      </c>
      <c r="D152" s="1" t="s">
        <v>1115</v>
      </c>
      <c r="E152" s="2" t="s">
        <v>56</v>
      </c>
      <c r="F152" s="2" t="s">
        <v>17</v>
      </c>
      <c r="G152" s="24" t="s">
        <v>939</v>
      </c>
      <c r="H152" s="24" t="s">
        <v>1122</v>
      </c>
      <c r="I152" s="24"/>
      <c r="J152" s="43"/>
      <c r="K152" s="24"/>
      <c r="L152" s="24" t="s">
        <v>1117</v>
      </c>
      <c r="M152" s="24"/>
      <c r="N152" s="24">
        <v>1149</v>
      </c>
      <c r="O152" s="24" t="s">
        <v>1116</v>
      </c>
      <c r="P152" s="40" t="s">
        <v>1118</v>
      </c>
      <c r="Q152" s="28" t="s">
        <v>814</v>
      </c>
      <c r="R152" s="26"/>
      <c r="S152" s="26"/>
      <c r="T152" s="21">
        <f>VLOOKUP(N152,('Master File'!$I$3:$I$220),1,FALSE)</f>
        <v>1149</v>
      </c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</row>
    <row r="153" spans="1:82" x14ac:dyDescent="0.25">
      <c r="A153" s="1">
        <f t="shared" si="2"/>
        <v>151</v>
      </c>
      <c r="B153" s="1" t="s">
        <v>1067</v>
      </c>
      <c r="C153" s="1" t="s">
        <v>1067</v>
      </c>
      <c r="D153" s="1" t="s">
        <v>1115</v>
      </c>
      <c r="E153" s="2" t="s">
        <v>56</v>
      </c>
      <c r="F153" s="2" t="s">
        <v>17</v>
      </c>
      <c r="G153" s="24" t="s">
        <v>939</v>
      </c>
      <c r="H153" s="24" t="s">
        <v>1122</v>
      </c>
      <c r="I153" s="24"/>
      <c r="J153" s="43"/>
      <c r="K153" s="24"/>
      <c r="L153" s="24" t="s">
        <v>1120</v>
      </c>
      <c r="M153" s="24"/>
      <c r="N153" s="24">
        <v>1150</v>
      </c>
      <c r="O153" s="24" t="s">
        <v>1119</v>
      </c>
      <c r="P153" s="40" t="s">
        <v>1121</v>
      </c>
      <c r="Q153" s="28" t="s">
        <v>814</v>
      </c>
      <c r="R153" s="26"/>
      <c r="S153" s="26"/>
      <c r="T153" s="21">
        <f>VLOOKUP(N153,('Master File'!$I$3:$I$220),1,FALSE)</f>
        <v>1150</v>
      </c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</row>
    <row r="154" spans="1:82" x14ac:dyDescent="0.25">
      <c r="A154" s="1">
        <v>152</v>
      </c>
      <c r="B154" s="1" t="s">
        <v>1067</v>
      </c>
      <c r="C154" s="1" t="s">
        <v>1067</v>
      </c>
      <c r="D154" s="1" t="s">
        <v>1115</v>
      </c>
      <c r="E154" s="2" t="s">
        <v>56</v>
      </c>
      <c r="F154" s="2" t="s">
        <v>17</v>
      </c>
      <c r="G154" s="24" t="s">
        <v>939</v>
      </c>
      <c r="H154" s="24" t="s">
        <v>1122</v>
      </c>
      <c r="I154" s="24"/>
      <c r="J154" s="43"/>
      <c r="K154" s="24"/>
      <c r="L154" s="24" t="s">
        <v>1123</v>
      </c>
      <c r="M154" s="24"/>
      <c r="N154" s="24">
        <v>1151</v>
      </c>
      <c r="O154" s="24" t="s">
        <v>1124</v>
      </c>
      <c r="P154" s="40" t="s">
        <v>1125</v>
      </c>
      <c r="Q154" s="28" t="s">
        <v>814</v>
      </c>
      <c r="R154" s="26"/>
      <c r="S154" s="26"/>
      <c r="T154" s="21">
        <f>VLOOKUP(N154,('Master File'!$I$3:$I$220),1,FALSE)</f>
        <v>1151</v>
      </c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</row>
    <row r="155" spans="1:82" x14ac:dyDescent="0.25">
      <c r="A155" s="1">
        <v>153</v>
      </c>
      <c r="B155" s="1"/>
      <c r="C155" s="1"/>
      <c r="D155" s="1"/>
      <c r="E155" s="2" t="s">
        <v>130</v>
      </c>
      <c r="F155" s="2" t="s">
        <v>17</v>
      </c>
      <c r="G155" s="24" t="s">
        <v>888</v>
      </c>
      <c r="H155" s="24" t="s">
        <v>838</v>
      </c>
      <c r="I155" s="24"/>
      <c r="J155" s="43"/>
      <c r="K155" s="24"/>
      <c r="L155" s="24" t="s">
        <v>1149</v>
      </c>
      <c r="M155" s="24" t="s">
        <v>1147</v>
      </c>
      <c r="N155" s="24">
        <v>1152</v>
      </c>
      <c r="O155" s="24" t="s">
        <v>1148</v>
      </c>
      <c r="P155" s="40">
        <v>50</v>
      </c>
      <c r="Q155" s="28" t="s">
        <v>814</v>
      </c>
      <c r="R155" s="26"/>
      <c r="S155" s="26"/>
      <c r="T155" s="21">
        <f>VLOOKUP(N155,('Master File'!$I$3:$I$220),1,FALSE)</f>
        <v>1152</v>
      </c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</row>
    <row r="156" spans="1:82" x14ac:dyDescent="0.25">
      <c r="A156" s="1">
        <v>154</v>
      </c>
      <c r="B156" s="1" t="s">
        <v>1159</v>
      </c>
      <c r="C156" s="1" t="s">
        <v>182</v>
      </c>
      <c r="D156" s="1" t="s">
        <v>886</v>
      </c>
      <c r="E156" s="2" t="s">
        <v>56</v>
      </c>
      <c r="F156" s="2" t="s">
        <v>6</v>
      </c>
      <c r="G156" s="24" t="s">
        <v>888</v>
      </c>
      <c r="H156" s="24" t="s">
        <v>1157</v>
      </c>
      <c r="I156" s="24"/>
      <c r="J156" s="43"/>
      <c r="K156" s="24"/>
      <c r="L156" s="24" t="s">
        <v>1160</v>
      </c>
      <c r="M156" s="24" t="s">
        <v>1158</v>
      </c>
      <c r="N156" s="24">
        <v>1153</v>
      </c>
      <c r="O156" s="24" t="s">
        <v>1157</v>
      </c>
      <c r="P156" s="40">
        <v>1200</v>
      </c>
      <c r="Q156" s="28" t="s">
        <v>814</v>
      </c>
      <c r="R156" s="26"/>
      <c r="S156" s="26"/>
      <c r="T156" s="21" t="e">
        <f>VLOOKUP(N156,('Master File'!$I$3:$I$220),1,FALSE)</f>
        <v>#N/A</v>
      </c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</row>
    <row r="157" spans="1:82" x14ac:dyDescent="0.25">
      <c r="A157" s="1">
        <v>155</v>
      </c>
      <c r="B157" s="1" t="s">
        <v>1164</v>
      </c>
      <c r="C157" s="1" t="s">
        <v>182</v>
      </c>
      <c r="D157" s="1" t="s">
        <v>885</v>
      </c>
      <c r="E157" s="2" t="s">
        <v>40</v>
      </c>
      <c r="F157" s="2" t="s">
        <v>6</v>
      </c>
      <c r="G157" s="24" t="s">
        <v>888</v>
      </c>
      <c r="H157" s="24" t="s">
        <v>824</v>
      </c>
      <c r="I157" s="24"/>
      <c r="J157" s="43"/>
      <c r="K157" s="24"/>
      <c r="L157" s="24" t="s">
        <v>1168</v>
      </c>
      <c r="M157" s="24"/>
      <c r="N157" s="24">
        <v>1154</v>
      </c>
      <c r="O157" s="24" t="s">
        <v>1161</v>
      </c>
      <c r="P157" s="40">
        <v>40</v>
      </c>
      <c r="Q157" s="28" t="s">
        <v>814</v>
      </c>
      <c r="R157" s="26"/>
      <c r="S157" s="26"/>
      <c r="T157" s="21" t="e">
        <f>VLOOKUP(N157,('Master File'!$I$3:$I$220),1,FALSE)</f>
        <v>#N/A</v>
      </c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</row>
    <row r="158" spans="1:82" x14ac:dyDescent="0.25">
      <c r="A158" s="1">
        <v>156</v>
      </c>
      <c r="B158" s="1" t="s">
        <v>1165</v>
      </c>
      <c r="C158" s="1" t="s">
        <v>182</v>
      </c>
      <c r="D158" s="1" t="s">
        <v>885</v>
      </c>
      <c r="E158" s="2" t="s">
        <v>13</v>
      </c>
      <c r="F158" s="2" t="s">
        <v>6</v>
      </c>
      <c r="G158" s="24" t="s">
        <v>888</v>
      </c>
      <c r="H158" s="24" t="s">
        <v>819</v>
      </c>
      <c r="I158" s="24"/>
      <c r="J158" s="43"/>
      <c r="K158" s="24"/>
      <c r="L158" s="24" t="s">
        <v>1169</v>
      </c>
      <c r="M158" s="24"/>
      <c r="N158" s="24">
        <v>1155</v>
      </c>
      <c r="O158" s="24" t="s">
        <v>1162</v>
      </c>
      <c r="P158" s="40">
        <v>40</v>
      </c>
      <c r="Q158" s="28" t="s">
        <v>814</v>
      </c>
      <c r="R158" s="26"/>
      <c r="S158" s="26"/>
      <c r="T158" s="21" t="e">
        <f>VLOOKUP(N158,('Master File'!$I$3:$I$220),1,FALSE)</f>
        <v>#N/A</v>
      </c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</row>
    <row r="159" spans="1:82" x14ac:dyDescent="0.25">
      <c r="A159" s="1">
        <v>157</v>
      </c>
      <c r="B159" s="1" t="s">
        <v>1166</v>
      </c>
      <c r="C159" s="1" t="s">
        <v>182</v>
      </c>
      <c r="D159" s="1" t="s">
        <v>885</v>
      </c>
      <c r="E159" s="2" t="s">
        <v>51</v>
      </c>
      <c r="F159" s="2" t="s">
        <v>6</v>
      </c>
      <c r="G159" s="24" t="s">
        <v>888</v>
      </c>
      <c r="H159" s="24" t="s">
        <v>1167</v>
      </c>
      <c r="I159" s="24"/>
      <c r="J159" s="43"/>
      <c r="K159" s="24"/>
      <c r="L159" s="24" t="s">
        <v>1170</v>
      </c>
      <c r="M159" s="24"/>
      <c r="N159" s="24">
        <v>1156</v>
      </c>
      <c r="O159" s="24" t="s">
        <v>1163</v>
      </c>
      <c r="P159" s="40">
        <v>30</v>
      </c>
      <c r="Q159" s="28" t="s">
        <v>814</v>
      </c>
      <c r="R159" s="26"/>
      <c r="S159" s="26"/>
      <c r="T159" s="21" t="e">
        <f>VLOOKUP(N159,('Master File'!$I$3:$I$220),1,FALSE)</f>
        <v>#N/A</v>
      </c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</row>
    <row r="160" spans="1:82" x14ac:dyDescent="0.25">
      <c r="A160" s="1">
        <v>158</v>
      </c>
      <c r="B160" s="1"/>
      <c r="C160" s="1"/>
      <c r="D160" s="1" t="s">
        <v>886</v>
      </c>
      <c r="E160" s="2" t="s">
        <v>609</v>
      </c>
      <c r="F160" s="2" t="s">
        <v>17</v>
      </c>
      <c r="G160" s="24" t="s">
        <v>888</v>
      </c>
      <c r="H160" s="24" t="s">
        <v>1175</v>
      </c>
      <c r="I160" s="24"/>
      <c r="J160" s="43"/>
      <c r="K160" s="24"/>
      <c r="L160" s="24"/>
      <c r="M160" s="24" t="s">
        <v>1176</v>
      </c>
      <c r="N160" s="24">
        <v>1157</v>
      </c>
      <c r="O160" s="24" t="s">
        <v>1175</v>
      </c>
      <c r="P160" s="40" t="s">
        <v>800</v>
      </c>
      <c r="Q160" s="28" t="s">
        <v>814</v>
      </c>
      <c r="R160" s="26"/>
      <c r="S160" s="26"/>
      <c r="T160" s="21">
        <f>VLOOKUP(N160,('Master File'!$I$3:$I$220),1,FALSE)</f>
        <v>1157</v>
      </c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</row>
    <row r="161" spans="1:82" x14ac:dyDescent="0.25">
      <c r="A161" s="1">
        <v>159</v>
      </c>
      <c r="B161" s="1"/>
      <c r="C161" s="1"/>
      <c r="D161" s="1" t="s">
        <v>1115</v>
      </c>
      <c r="E161" s="2" t="s">
        <v>1177</v>
      </c>
      <c r="F161" s="2" t="s">
        <v>17</v>
      </c>
      <c r="G161" s="24" t="s">
        <v>888</v>
      </c>
      <c r="H161" s="24" t="s">
        <v>1178</v>
      </c>
      <c r="I161" s="24"/>
      <c r="J161" s="43"/>
      <c r="K161" s="24"/>
      <c r="L161" s="24"/>
      <c r="M161" s="24" t="s">
        <v>1179</v>
      </c>
      <c r="N161" s="24">
        <v>1158</v>
      </c>
      <c r="O161" s="24" t="s">
        <v>1178</v>
      </c>
      <c r="P161" s="40" t="s">
        <v>800</v>
      </c>
      <c r="Q161" s="28" t="s">
        <v>814</v>
      </c>
      <c r="R161" s="26"/>
      <c r="S161" s="26"/>
      <c r="T161" s="21">
        <f>VLOOKUP(N161,('Master File'!$I$3:$I$220),1,FALSE)</f>
        <v>1158</v>
      </c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</row>
    <row r="162" spans="1:82" x14ac:dyDescent="0.25">
      <c r="A162" s="1">
        <v>160</v>
      </c>
      <c r="B162" s="1"/>
      <c r="C162" s="1"/>
      <c r="D162" s="1" t="s">
        <v>1115</v>
      </c>
      <c r="E162" s="2" t="s">
        <v>1180</v>
      </c>
      <c r="F162" s="2" t="s">
        <v>17</v>
      </c>
      <c r="G162" s="24" t="s">
        <v>888</v>
      </c>
      <c r="H162" s="24" t="s">
        <v>1180</v>
      </c>
      <c r="I162" s="24"/>
      <c r="J162" s="43"/>
      <c r="K162" s="24"/>
      <c r="L162" s="24"/>
      <c r="M162" s="24" t="s">
        <v>1181</v>
      </c>
      <c r="N162" s="24">
        <v>1159</v>
      </c>
      <c r="O162" s="24" t="s">
        <v>1180</v>
      </c>
      <c r="P162" s="40" t="s">
        <v>800</v>
      </c>
      <c r="Q162" s="28" t="s">
        <v>814</v>
      </c>
      <c r="R162" s="26"/>
      <c r="S162" s="26"/>
      <c r="T162" s="21">
        <f>VLOOKUP(N162,('Master File'!$I$3:$I$220),1,FALSE)</f>
        <v>1159</v>
      </c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</row>
    <row r="163" spans="1:82" x14ac:dyDescent="0.25">
      <c r="A163" s="1">
        <v>161</v>
      </c>
      <c r="B163" s="1"/>
      <c r="C163" s="1"/>
      <c r="D163" s="1" t="s">
        <v>886</v>
      </c>
      <c r="E163" s="2" t="s">
        <v>128</v>
      </c>
      <c r="F163" s="2" t="s">
        <v>17</v>
      </c>
      <c r="G163" s="24" t="s">
        <v>888</v>
      </c>
      <c r="H163" s="24" t="s">
        <v>288</v>
      </c>
      <c r="I163" s="24"/>
      <c r="J163" s="43"/>
      <c r="K163" s="24"/>
      <c r="L163" s="24"/>
      <c r="M163" s="24" t="s">
        <v>1182</v>
      </c>
      <c r="N163" s="24">
        <v>1160</v>
      </c>
      <c r="O163" s="24" t="s">
        <v>288</v>
      </c>
      <c r="P163" s="40" t="s">
        <v>800</v>
      </c>
      <c r="Q163" s="28" t="s">
        <v>814</v>
      </c>
      <c r="R163" s="26"/>
      <c r="S163" s="26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</row>
    <row r="164" spans="1:82" x14ac:dyDescent="0.25">
      <c r="A164" s="1">
        <v>162</v>
      </c>
      <c r="B164" s="1" t="s">
        <v>1186</v>
      </c>
      <c r="C164" s="1"/>
      <c r="D164" s="1"/>
      <c r="E164" s="2" t="s">
        <v>130</v>
      </c>
      <c r="F164" s="2" t="s">
        <v>17</v>
      </c>
      <c r="G164" s="24" t="s">
        <v>939</v>
      </c>
      <c r="H164" s="24" t="s">
        <v>863</v>
      </c>
      <c r="I164" s="24"/>
      <c r="J164" s="43"/>
      <c r="K164" s="24"/>
      <c r="L164" s="24"/>
      <c r="M164" s="24" t="s">
        <v>1021</v>
      </c>
      <c r="N164" s="24">
        <v>1161</v>
      </c>
      <c r="O164" s="24" t="s">
        <v>1185</v>
      </c>
      <c r="P164" s="40">
        <v>40</v>
      </c>
      <c r="Q164" s="28" t="s">
        <v>814</v>
      </c>
      <c r="R164" s="26"/>
      <c r="S164" s="26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</row>
    <row r="165" spans="1:82" x14ac:dyDescent="0.25">
      <c r="A165" s="1">
        <v>163</v>
      </c>
      <c r="B165" s="1" t="s">
        <v>1192</v>
      </c>
      <c r="C165" s="1" t="s">
        <v>182</v>
      </c>
      <c r="D165" s="1" t="s">
        <v>886</v>
      </c>
      <c r="E165" s="2" t="s">
        <v>62</v>
      </c>
      <c r="F165" s="2" t="s">
        <v>6</v>
      </c>
      <c r="G165" s="24" t="s">
        <v>888</v>
      </c>
      <c r="H165" s="24" t="s">
        <v>1194</v>
      </c>
      <c r="I165" s="24"/>
      <c r="J165" s="43"/>
      <c r="K165" s="24"/>
      <c r="L165" s="24"/>
      <c r="M165" s="24" t="s">
        <v>1193</v>
      </c>
      <c r="N165" s="24">
        <v>1162</v>
      </c>
      <c r="O165" s="24" t="s">
        <v>1194</v>
      </c>
      <c r="P165" s="40"/>
      <c r="Q165" s="28" t="s">
        <v>814</v>
      </c>
      <c r="R165" s="26"/>
      <c r="S165" s="26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</row>
    <row r="166" spans="1:82" x14ac:dyDescent="0.25">
      <c r="A166" s="1">
        <v>164</v>
      </c>
      <c r="B166" s="1" t="s">
        <v>1195</v>
      </c>
      <c r="C166" s="1" t="s">
        <v>182</v>
      </c>
      <c r="D166" s="1" t="s">
        <v>886</v>
      </c>
      <c r="E166" s="2" t="s">
        <v>62</v>
      </c>
      <c r="F166" s="2" t="s">
        <v>6</v>
      </c>
      <c r="G166" s="24" t="s">
        <v>888</v>
      </c>
      <c r="H166" s="24" t="s">
        <v>1196</v>
      </c>
      <c r="I166" s="24"/>
      <c r="J166" s="43"/>
      <c r="K166" s="24"/>
      <c r="L166" s="24"/>
      <c r="M166" s="24" t="s">
        <v>1197</v>
      </c>
      <c r="N166" s="24">
        <v>1163</v>
      </c>
      <c r="O166" s="24" t="s">
        <v>1196</v>
      </c>
      <c r="P166" s="40"/>
      <c r="Q166" s="28" t="s">
        <v>814</v>
      </c>
      <c r="R166" s="26"/>
      <c r="S166" s="26"/>
      <c r="T166" s="21">
        <f>VLOOKUP(N166,('Master File'!$I$3:$I$220),1,FALSE)</f>
        <v>1163</v>
      </c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</row>
    <row r="167" spans="1:82" x14ac:dyDescent="0.25">
      <c r="A167" s="1">
        <v>165</v>
      </c>
      <c r="B167" s="1" t="s">
        <v>1201</v>
      </c>
      <c r="C167" s="1" t="s">
        <v>182</v>
      </c>
      <c r="D167" s="1" t="s">
        <v>886</v>
      </c>
      <c r="E167" s="2" t="s">
        <v>62</v>
      </c>
      <c r="F167" s="2" t="s">
        <v>6</v>
      </c>
      <c r="G167" s="24" t="s">
        <v>888</v>
      </c>
      <c r="H167" s="24" t="s">
        <v>1199</v>
      </c>
      <c r="I167" s="24"/>
      <c r="J167" s="43"/>
      <c r="K167" s="24"/>
      <c r="L167" s="24"/>
      <c r="M167" s="24" t="s">
        <v>1200</v>
      </c>
      <c r="N167" s="24">
        <v>1164</v>
      </c>
      <c r="O167" s="24" t="s">
        <v>1199</v>
      </c>
      <c r="P167" s="40"/>
      <c r="Q167" s="28" t="s">
        <v>814</v>
      </c>
      <c r="R167" s="26"/>
      <c r="S167" s="26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</row>
    <row r="168" spans="1:82" x14ac:dyDescent="0.25">
      <c r="A168" s="1">
        <v>166</v>
      </c>
      <c r="B168" s="1" t="s">
        <v>1198</v>
      </c>
      <c r="C168" s="1" t="s">
        <v>182</v>
      </c>
      <c r="D168" s="1" t="s">
        <v>886</v>
      </c>
      <c r="E168" s="2" t="s">
        <v>62</v>
      </c>
      <c r="F168" s="2" t="s">
        <v>6</v>
      </c>
      <c r="G168" s="24" t="s">
        <v>888</v>
      </c>
      <c r="H168" s="24" t="s">
        <v>1202</v>
      </c>
      <c r="I168" s="24"/>
      <c r="J168" s="43"/>
      <c r="K168" s="24"/>
      <c r="L168" s="24"/>
      <c r="M168" s="24" t="s">
        <v>1203</v>
      </c>
      <c r="N168" s="24">
        <v>1165</v>
      </c>
      <c r="O168" s="24" t="s">
        <v>1202</v>
      </c>
      <c r="P168" s="40"/>
      <c r="Q168" s="28" t="s">
        <v>814</v>
      </c>
      <c r="R168" s="26"/>
      <c r="S168" s="26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</row>
    <row r="169" spans="1:82" x14ac:dyDescent="0.25">
      <c r="A169" s="1">
        <v>167</v>
      </c>
      <c r="B169" s="1" t="s">
        <v>1204</v>
      </c>
      <c r="C169" s="1" t="s">
        <v>182</v>
      </c>
      <c r="D169" s="1" t="s">
        <v>886</v>
      </c>
      <c r="E169" s="2" t="s">
        <v>62</v>
      </c>
      <c r="F169" s="2" t="s">
        <v>6</v>
      </c>
      <c r="G169" s="24" t="s">
        <v>888</v>
      </c>
      <c r="H169" s="24" t="s">
        <v>1206</v>
      </c>
      <c r="I169" s="24"/>
      <c r="J169" s="43"/>
      <c r="K169" s="24"/>
      <c r="L169" s="24"/>
      <c r="M169" s="24" t="s">
        <v>1205</v>
      </c>
      <c r="N169" s="24">
        <v>1166</v>
      </c>
      <c r="O169" s="24" t="s">
        <v>1206</v>
      </c>
      <c r="P169" s="40"/>
      <c r="Q169" s="28" t="s">
        <v>814</v>
      </c>
      <c r="R169" s="26"/>
      <c r="S169" s="26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</row>
    <row r="170" spans="1:82" x14ac:dyDescent="0.25">
      <c r="A170" s="1">
        <v>168</v>
      </c>
      <c r="B170" s="1" t="s">
        <v>1207</v>
      </c>
      <c r="C170" s="1" t="s">
        <v>182</v>
      </c>
      <c r="D170" s="1" t="s">
        <v>886</v>
      </c>
      <c r="E170" s="2" t="s">
        <v>62</v>
      </c>
      <c r="F170" s="2" t="s">
        <v>6</v>
      </c>
      <c r="G170" s="24" t="s">
        <v>888</v>
      </c>
      <c r="H170" s="24" t="s">
        <v>1208</v>
      </c>
      <c r="I170" s="24"/>
      <c r="J170" s="43"/>
      <c r="K170" s="24"/>
      <c r="L170" s="24"/>
      <c r="M170" s="24" t="s">
        <v>1209</v>
      </c>
      <c r="N170" s="24">
        <v>1167</v>
      </c>
      <c r="O170" s="24" t="s">
        <v>1208</v>
      </c>
      <c r="P170" s="40"/>
      <c r="Q170" s="28" t="s">
        <v>814</v>
      </c>
      <c r="R170" s="26"/>
      <c r="S170" s="26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</row>
    <row r="171" spans="1:82" x14ac:dyDescent="0.25">
      <c r="A171" s="1">
        <v>169</v>
      </c>
      <c r="B171" s="1" t="s">
        <v>1207</v>
      </c>
      <c r="C171" s="1" t="s">
        <v>182</v>
      </c>
      <c r="D171" s="1" t="s">
        <v>886</v>
      </c>
      <c r="E171" s="2" t="s">
        <v>62</v>
      </c>
      <c r="F171" s="2" t="s">
        <v>6</v>
      </c>
      <c r="G171" s="24" t="s">
        <v>888</v>
      </c>
      <c r="H171" s="24" t="s">
        <v>1210</v>
      </c>
      <c r="I171" s="24"/>
      <c r="J171" s="43"/>
      <c r="K171" s="24"/>
      <c r="L171" s="24"/>
      <c r="M171" s="24" t="s">
        <v>1211</v>
      </c>
      <c r="N171" s="24">
        <v>1168</v>
      </c>
      <c r="O171" s="24" t="s">
        <v>1210</v>
      </c>
      <c r="P171" s="40"/>
      <c r="Q171" s="28" t="s">
        <v>814</v>
      </c>
      <c r="R171" s="26"/>
      <c r="S171" s="26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</row>
    <row r="172" spans="1:82" x14ac:dyDescent="0.25">
      <c r="A172" s="1">
        <v>170</v>
      </c>
      <c r="B172" s="1" t="s">
        <v>1212</v>
      </c>
      <c r="C172" s="1" t="s">
        <v>182</v>
      </c>
      <c r="D172" s="1" t="s">
        <v>886</v>
      </c>
      <c r="E172" s="2" t="s">
        <v>62</v>
      </c>
      <c r="F172" s="2" t="s">
        <v>6</v>
      </c>
      <c r="G172" s="24" t="s">
        <v>888</v>
      </c>
      <c r="H172" s="24" t="s">
        <v>1213</v>
      </c>
      <c r="I172" s="24"/>
      <c r="J172" s="43"/>
      <c r="K172" s="24"/>
      <c r="L172" s="24"/>
      <c r="M172" s="24" t="s">
        <v>1214</v>
      </c>
      <c r="N172" s="24">
        <v>1169</v>
      </c>
      <c r="O172" s="24" t="s">
        <v>1213</v>
      </c>
      <c r="P172" s="40"/>
      <c r="Q172" s="28" t="s">
        <v>814</v>
      </c>
      <c r="R172" s="26"/>
      <c r="S172" s="26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</row>
    <row r="173" spans="1:82" x14ac:dyDescent="0.25">
      <c r="A173" s="1">
        <v>171</v>
      </c>
      <c r="B173" s="1" t="s">
        <v>1215</v>
      </c>
      <c r="C173" s="1" t="s">
        <v>182</v>
      </c>
      <c r="D173" s="1" t="s">
        <v>886</v>
      </c>
      <c r="E173" s="2" t="s">
        <v>62</v>
      </c>
      <c r="F173" s="2" t="s">
        <v>6</v>
      </c>
      <c r="G173" s="24" t="s">
        <v>888</v>
      </c>
      <c r="H173" s="24" t="s">
        <v>1216</v>
      </c>
      <c r="I173" s="24"/>
      <c r="J173" s="43"/>
      <c r="K173" s="24"/>
      <c r="L173" s="24"/>
      <c r="M173" s="24" t="s">
        <v>1219</v>
      </c>
      <c r="N173" s="24">
        <v>1170</v>
      </c>
      <c r="O173" s="24" t="s">
        <v>1216</v>
      </c>
      <c r="P173" s="40"/>
      <c r="Q173" s="28" t="s">
        <v>814</v>
      </c>
      <c r="R173" s="26"/>
      <c r="S173" s="26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</row>
    <row r="174" spans="1:82" x14ac:dyDescent="0.25">
      <c r="A174" s="1">
        <v>172</v>
      </c>
      <c r="B174" s="1" t="s">
        <v>1217</v>
      </c>
      <c r="C174" s="1" t="s">
        <v>182</v>
      </c>
      <c r="D174" s="1" t="s">
        <v>886</v>
      </c>
      <c r="E174" s="2" t="s">
        <v>62</v>
      </c>
      <c r="F174" s="2" t="s">
        <v>6</v>
      </c>
      <c r="G174" s="24" t="s">
        <v>888</v>
      </c>
      <c r="H174" s="24" t="s">
        <v>1218</v>
      </c>
      <c r="I174" s="24"/>
      <c r="J174" s="43"/>
      <c r="K174" s="24"/>
      <c r="L174" s="24"/>
      <c r="M174" s="24" t="s">
        <v>1220</v>
      </c>
      <c r="N174" s="24">
        <v>1171</v>
      </c>
      <c r="O174" s="24" t="s">
        <v>1218</v>
      </c>
      <c r="P174" s="40"/>
      <c r="Q174" s="28" t="s">
        <v>814</v>
      </c>
      <c r="R174" s="26"/>
      <c r="S174" s="26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</row>
    <row r="175" spans="1:82" x14ac:dyDescent="0.25">
      <c r="A175" s="1">
        <v>173</v>
      </c>
      <c r="B175" s="1" t="s">
        <v>1221</v>
      </c>
      <c r="C175" s="1" t="s">
        <v>182</v>
      </c>
      <c r="D175" s="1" t="s">
        <v>886</v>
      </c>
      <c r="E175" s="2" t="s">
        <v>62</v>
      </c>
      <c r="F175" s="2" t="s">
        <v>6</v>
      </c>
      <c r="G175" s="24" t="s">
        <v>888</v>
      </c>
      <c r="H175" s="24" t="s">
        <v>1222</v>
      </c>
      <c r="I175" s="24"/>
      <c r="J175" s="43"/>
      <c r="K175" s="24"/>
      <c r="L175" s="24"/>
      <c r="M175" s="24" t="s">
        <v>1223</v>
      </c>
      <c r="N175" s="24">
        <v>1172</v>
      </c>
      <c r="O175" s="24" t="s">
        <v>1222</v>
      </c>
      <c r="P175" s="40"/>
      <c r="Q175" s="28" t="s">
        <v>814</v>
      </c>
      <c r="R175" s="26"/>
      <c r="S175" s="26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</row>
    <row r="176" spans="1:82" x14ac:dyDescent="0.25">
      <c r="A176" s="1">
        <v>174</v>
      </c>
      <c r="B176" s="1" t="s">
        <v>1224</v>
      </c>
      <c r="C176" s="1" t="s">
        <v>182</v>
      </c>
      <c r="D176" s="1" t="s">
        <v>886</v>
      </c>
      <c r="E176" s="2" t="s">
        <v>62</v>
      </c>
      <c r="F176" s="2" t="s">
        <v>6</v>
      </c>
      <c r="G176" s="24" t="s">
        <v>888</v>
      </c>
      <c r="H176" s="24" t="s">
        <v>1225</v>
      </c>
      <c r="I176" s="24"/>
      <c r="J176" s="43"/>
      <c r="K176" s="24"/>
      <c r="L176" s="24"/>
      <c r="M176" s="24" t="s">
        <v>1229</v>
      </c>
      <c r="N176" s="24">
        <v>1173</v>
      </c>
      <c r="O176" s="24" t="s">
        <v>1225</v>
      </c>
      <c r="P176" s="40"/>
      <c r="Q176" s="28" t="s">
        <v>814</v>
      </c>
      <c r="R176" s="26"/>
      <c r="S176" s="26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</row>
    <row r="177" spans="1:82" x14ac:dyDescent="0.25">
      <c r="A177" s="1">
        <v>175</v>
      </c>
      <c r="B177" s="1" t="s">
        <v>1233</v>
      </c>
      <c r="C177" s="1" t="s">
        <v>182</v>
      </c>
      <c r="D177" s="1" t="s">
        <v>886</v>
      </c>
      <c r="E177" s="2" t="s">
        <v>62</v>
      </c>
      <c r="F177" s="2" t="s">
        <v>6</v>
      </c>
      <c r="G177" s="24" t="s">
        <v>888</v>
      </c>
      <c r="H177" s="24" t="s">
        <v>1226</v>
      </c>
      <c r="I177" s="24"/>
      <c r="J177" s="43"/>
      <c r="K177" s="24"/>
      <c r="L177" s="24"/>
      <c r="M177" s="24" t="s">
        <v>1230</v>
      </c>
      <c r="N177" s="24">
        <v>1174</v>
      </c>
      <c r="O177" s="24" t="s">
        <v>1226</v>
      </c>
      <c r="P177" s="40"/>
      <c r="Q177" s="28" t="s">
        <v>814</v>
      </c>
      <c r="R177" s="26"/>
      <c r="S177" s="26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</row>
    <row r="178" spans="1:82" x14ac:dyDescent="0.25">
      <c r="A178" s="1">
        <v>176</v>
      </c>
      <c r="B178" s="1" t="s">
        <v>1234</v>
      </c>
      <c r="C178" s="1" t="s">
        <v>182</v>
      </c>
      <c r="D178" s="1" t="s">
        <v>886</v>
      </c>
      <c r="E178" s="2" t="s">
        <v>62</v>
      </c>
      <c r="F178" s="2" t="s">
        <v>6</v>
      </c>
      <c r="G178" s="24" t="s">
        <v>888</v>
      </c>
      <c r="H178" s="24" t="s">
        <v>1227</v>
      </c>
      <c r="I178" s="24"/>
      <c r="J178" s="43"/>
      <c r="K178" s="24"/>
      <c r="L178" s="24"/>
      <c r="M178" s="24" t="s">
        <v>1231</v>
      </c>
      <c r="N178" s="24">
        <v>1175</v>
      </c>
      <c r="O178" s="24" t="s">
        <v>1227</v>
      </c>
      <c r="P178" s="40"/>
      <c r="Q178" s="28" t="s">
        <v>814</v>
      </c>
      <c r="R178" s="26"/>
      <c r="S178" s="26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</row>
    <row r="179" spans="1:82" x14ac:dyDescent="0.25">
      <c r="A179" s="1">
        <v>177</v>
      </c>
      <c r="B179" s="1" t="s">
        <v>1235</v>
      </c>
      <c r="C179" s="1" t="s">
        <v>182</v>
      </c>
      <c r="D179" s="1" t="s">
        <v>886</v>
      </c>
      <c r="E179" s="2" t="s">
        <v>62</v>
      </c>
      <c r="F179" s="2" t="s">
        <v>6</v>
      </c>
      <c r="G179" s="24" t="s">
        <v>888</v>
      </c>
      <c r="H179" s="24" t="s">
        <v>1228</v>
      </c>
      <c r="I179" s="24"/>
      <c r="J179" s="43"/>
      <c r="K179" s="24"/>
      <c r="L179" s="24"/>
      <c r="M179" s="24" t="s">
        <v>1232</v>
      </c>
      <c r="N179" s="24">
        <v>1176</v>
      </c>
      <c r="O179" s="24" t="s">
        <v>1228</v>
      </c>
      <c r="P179" s="40"/>
      <c r="Q179" s="28" t="s">
        <v>814</v>
      </c>
      <c r="R179" s="26"/>
      <c r="S179" s="26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</row>
    <row r="180" spans="1:82" x14ac:dyDescent="0.25">
      <c r="A180" s="1">
        <v>178</v>
      </c>
      <c r="B180" s="1" t="s">
        <v>1236</v>
      </c>
      <c r="C180" s="1" t="s">
        <v>182</v>
      </c>
      <c r="D180" s="1" t="s">
        <v>886</v>
      </c>
      <c r="E180" s="2" t="s">
        <v>62</v>
      </c>
      <c r="F180" s="2" t="s">
        <v>6</v>
      </c>
      <c r="G180" s="24" t="s">
        <v>888</v>
      </c>
      <c r="H180" s="24" t="s">
        <v>1237</v>
      </c>
      <c r="I180" s="24"/>
      <c r="J180" s="43"/>
      <c r="K180" s="24"/>
      <c r="L180" s="24"/>
      <c r="M180" s="24" t="s">
        <v>1238</v>
      </c>
      <c r="N180" s="24">
        <v>1177</v>
      </c>
      <c r="O180" s="24" t="s">
        <v>1237</v>
      </c>
      <c r="P180" s="40"/>
      <c r="Q180" s="28" t="s">
        <v>814</v>
      </c>
      <c r="R180" s="26"/>
      <c r="S180" s="26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</row>
    <row r="181" spans="1:82" x14ac:dyDescent="0.25">
      <c r="A181" s="1">
        <v>179</v>
      </c>
      <c r="B181" s="1" t="s">
        <v>1239</v>
      </c>
      <c r="C181" s="1" t="s">
        <v>182</v>
      </c>
      <c r="D181" s="1" t="s">
        <v>886</v>
      </c>
      <c r="E181" s="2" t="s">
        <v>62</v>
      </c>
      <c r="F181" s="2" t="s">
        <v>6</v>
      </c>
      <c r="G181" s="24" t="s">
        <v>888</v>
      </c>
      <c r="H181" s="24" t="s">
        <v>1240</v>
      </c>
      <c r="I181" s="24"/>
      <c r="J181" s="43"/>
      <c r="K181" s="24"/>
      <c r="L181" s="24"/>
      <c r="M181" s="24" t="s">
        <v>1241</v>
      </c>
      <c r="N181" s="24">
        <v>1178</v>
      </c>
      <c r="O181" s="24" t="s">
        <v>1240</v>
      </c>
      <c r="P181" s="40"/>
      <c r="Q181" s="28" t="s">
        <v>814</v>
      </c>
      <c r="R181" s="26"/>
      <c r="S181" s="26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</row>
    <row r="182" spans="1:82" x14ac:dyDescent="0.25">
      <c r="A182" s="1">
        <v>180</v>
      </c>
      <c r="B182" s="1" t="s">
        <v>1242</v>
      </c>
      <c r="C182" s="1" t="s">
        <v>182</v>
      </c>
      <c r="D182" s="1" t="s">
        <v>886</v>
      </c>
      <c r="E182" s="2" t="s">
        <v>62</v>
      </c>
      <c r="F182" s="2" t="s">
        <v>6</v>
      </c>
      <c r="G182" s="24" t="s">
        <v>888</v>
      </c>
      <c r="H182" s="24" t="s">
        <v>1243</v>
      </c>
      <c r="I182" s="24"/>
      <c r="J182" s="43"/>
      <c r="K182" s="24"/>
      <c r="L182" s="24"/>
      <c r="M182" s="24" t="s">
        <v>1244</v>
      </c>
      <c r="N182" s="24">
        <v>1179</v>
      </c>
      <c r="O182" s="24" t="s">
        <v>1243</v>
      </c>
      <c r="P182" s="40"/>
      <c r="Q182" s="28" t="s">
        <v>814</v>
      </c>
      <c r="R182" s="26"/>
      <c r="S182" s="26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</row>
    <row r="183" spans="1:82" x14ac:dyDescent="0.25">
      <c r="A183" s="1">
        <v>181</v>
      </c>
      <c r="B183" s="1" t="s">
        <v>1245</v>
      </c>
      <c r="C183" s="1" t="s">
        <v>182</v>
      </c>
      <c r="D183" s="1" t="s">
        <v>886</v>
      </c>
      <c r="E183" s="2" t="s">
        <v>62</v>
      </c>
      <c r="F183" s="2" t="s">
        <v>6</v>
      </c>
      <c r="G183" s="24" t="s">
        <v>888</v>
      </c>
      <c r="H183" s="24" t="s">
        <v>1246</v>
      </c>
      <c r="I183" s="24"/>
      <c r="J183" s="43"/>
      <c r="K183" s="24"/>
      <c r="L183" s="24"/>
      <c r="M183" s="24" t="s">
        <v>1247</v>
      </c>
      <c r="N183" s="24">
        <v>1180</v>
      </c>
      <c r="O183" s="24" t="s">
        <v>1246</v>
      </c>
      <c r="P183" s="40"/>
      <c r="Q183" s="28" t="s">
        <v>814</v>
      </c>
      <c r="R183" s="26"/>
      <c r="S183" s="26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</row>
    <row r="184" spans="1:82" x14ac:dyDescent="0.25">
      <c r="A184" s="1">
        <v>182</v>
      </c>
      <c r="B184" s="1" t="s">
        <v>1248</v>
      </c>
      <c r="C184" s="1" t="s">
        <v>182</v>
      </c>
      <c r="D184" s="1" t="s">
        <v>886</v>
      </c>
      <c r="E184" s="2" t="s">
        <v>62</v>
      </c>
      <c r="F184" s="2" t="s">
        <v>6</v>
      </c>
      <c r="G184" s="24" t="s">
        <v>888</v>
      </c>
      <c r="H184" s="24" t="s">
        <v>1249</v>
      </c>
      <c r="I184" s="24"/>
      <c r="J184" s="43"/>
      <c r="K184" s="24"/>
      <c r="L184" s="24"/>
      <c r="M184" s="24" t="s">
        <v>1250</v>
      </c>
      <c r="N184" s="24">
        <v>1181</v>
      </c>
      <c r="O184" s="24" t="s">
        <v>1249</v>
      </c>
      <c r="P184" s="40"/>
      <c r="R184" s="26"/>
      <c r="S184" s="26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</row>
    <row r="185" spans="1:82" x14ac:dyDescent="0.25">
      <c r="A185" s="1">
        <v>183</v>
      </c>
      <c r="B185" s="1" t="s">
        <v>1251</v>
      </c>
      <c r="C185" s="1" t="s">
        <v>182</v>
      </c>
      <c r="D185" s="1" t="s">
        <v>886</v>
      </c>
      <c r="E185" s="2" t="s">
        <v>62</v>
      </c>
      <c r="F185" s="2" t="s">
        <v>6</v>
      </c>
      <c r="G185" s="24" t="s">
        <v>888</v>
      </c>
      <c r="H185" s="24" t="s">
        <v>1252</v>
      </c>
      <c r="I185" s="24"/>
      <c r="J185" s="43"/>
      <c r="K185" s="24"/>
      <c r="L185" s="24"/>
      <c r="M185" s="24" t="s">
        <v>1253</v>
      </c>
      <c r="N185" s="24">
        <v>1182</v>
      </c>
      <c r="O185" s="24" t="s">
        <v>1252</v>
      </c>
      <c r="P185" s="40"/>
      <c r="R185" s="26"/>
      <c r="S185" s="26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</row>
    <row r="186" spans="1:82" x14ac:dyDescent="0.25">
      <c r="A186" s="1">
        <v>184</v>
      </c>
      <c r="B186" s="1" t="s">
        <v>1254</v>
      </c>
      <c r="C186" s="1" t="s">
        <v>182</v>
      </c>
      <c r="D186" s="1" t="s">
        <v>886</v>
      </c>
      <c r="E186" s="2" t="s">
        <v>62</v>
      </c>
      <c r="F186" s="2" t="s">
        <v>6</v>
      </c>
      <c r="G186" s="24" t="s">
        <v>888</v>
      </c>
      <c r="H186" s="24" t="s">
        <v>1255</v>
      </c>
      <c r="I186" s="24"/>
      <c r="J186" s="43"/>
      <c r="K186" s="24"/>
      <c r="L186" s="24"/>
      <c r="M186" s="24" t="s">
        <v>1259</v>
      </c>
      <c r="N186" s="24">
        <v>1183</v>
      </c>
      <c r="O186" s="24" t="s">
        <v>1255</v>
      </c>
      <c r="P186" s="40"/>
      <c r="R186" s="26"/>
      <c r="S186" s="26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</row>
    <row r="187" spans="1:82" x14ac:dyDescent="0.25">
      <c r="A187" s="1">
        <v>185</v>
      </c>
      <c r="B187" s="1" t="s">
        <v>1263</v>
      </c>
      <c r="C187" s="1" t="s">
        <v>182</v>
      </c>
      <c r="D187" s="1" t="s">
        <v>886</v>
      </c>
      <c r="E187" s="2" t="s">
        <v>62</v>
      </c>
      <c r="F187" s="2" t="s">
        <v>6</v>
      </c>
      <c r="G187" s="24" t="s">
        <v>888</v>
      </c>
      <c r="H187" s="24" t="s">
        <v>1256</v>
      </c>
      <c r="I187" s="24"/>
      <c r="J187" s="43"/>
      <c r="K187" s="24"/>
      <c r="L187" s="24"/>
      <c r="M187" s="24" t="s">
        <v>1260</v>
      </c>
      <c r="N187" s="24">
        <v>1184</v>
      </c>
      <c r="O187" s="24" t="s">
        <v>1256</v>
      </c>
      <c r="P187" s="40"/>
      <c r="R187" s="26"/>
      <c r="S187" s="26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</row>
    <row r="188" spans="1:82" x14ac:dyDescent="0.25">
      <c r="A188" s="1">
        <v>186</v>
      </c>
      <c r="B188" s="1" t="s">
        <v>1264</v>
      </c>
      <c r="C188" s="1" t="s">
        <v>182</v>
      </c>
      <c r="D188" s="1" t="s">
        <v>886</v>
      </c>
      <c r="E188" s="2" t="s">
        <v>62</v>
      </c>
      <c r="F188" s="2" t="s">
        <v>6</v>
      </c>
      <c r="G188" s="24" t="s">
        <v>888</v>
      </c>
      <c r="H188" s="24" t="s">
        <v>1257</v>
      </c>
      <c r="I188" s="24"/>
      <c r="J188" s="43"/>
      <c r="K188" s="24"/>
      <c r="L188" s="24"/>
      <c r="M188" s="24" t="s">
        <v>1261</v>
      </c>
      <c r="N188" s="24">
        <v>1185</v>
      </c>
      <c r="O188" s="24" t="s">
        <v>1257</v>
      </c>
      <c r="P188" s="40"/>
      <c r="R188" s="26"/>
      <c r="S188" s="26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</row>
    <row r="189" spans="1:82" x14ac:dyDescent="0.25">
      <c r="A189" s="1">
        <v>187</v>
      </c>
      <c r="B189" s="1" t="s">
        <v>1265</v>
      </c>
      <c r="C189" s="1" t="s">
        <v>182</v>
      </c>
      <c r="D189" s="1" t="s">
        <v>886</v>
      </c>
      <c r="E189" s="2" t="s">
        <v>62</v>
      </c>
      <c r="F189" s="2" t="s">
        <v>6</v>
      </c>
      <c r="G189" s="24" t="s">
        <v>888</v>
      </c>
      <c r="H189" s="24" t="s">
        <v>1258</v>
      </c>
      <c r="I189" s="24"/>
      <c r="J189" s="43"/>
      <c r="K189" s="24"/>
      <c r="L189" s="24"/>
      <c r="M189" s="24" t="s">
        <v>1262</v>
      </c>
      <c r="N189" s="24">
        <v>1186</v>
      </c>
      <c r="O189" s="24" t="s">
        <v>1258</v>
      </c>
      <c r="P189" s="40"/>
      <c r="R189" s="26"/>
      <c r="S189" s="26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</row>
    <row r="190" spans="1:82" x14ac:dyDescent="0.25">
      <c r="A190" s="1">
        <v>188</v>
      </c>
      <c r="B190" s="1" t="s">
        <v>1266</v>
      </c>
      <c r="C190" s="1" t="s">
        <v>182</v>
      </c>
      <c r="D190" s="1" t="s">
        <v>886</v>
      </c>
      <c r="E190" s="2" t="s">
        <v>62</v>
      </c>
      <c r="F190" s="2" t="s">
        <v>6</v>
      </c>
      <c r="G190" s="24" t="s">
        <v>888</v>
      </c>
      <c r="H190" s="24" t="s">
        <v>1267</v>
      </c>
      <c r="I190" s="24"/>
      <c r="J190" s="43"/>
      <c r="K190" s="24"/>
      <c r="L190" s="24"/>
      <c r="M190" s="24" t="s">
        <v>1268</v>
      </c>
      <c r="N190" s="24">
        <v>1187</v>
      </c>
      <c r="O190" s="24" t="s">
        <v>1267</v>
      </c>
      <c r="P190" s="40"/>
      <c r="R190" s="26"/>
      <c r="S190" s="26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</row>
    <row r="191" spans="1:82" x14ac:dyDescent="0.25">
      <c r="A191" s="1">
        <v>189</v>
      </c>
      <c r="B191" s="1" t="s">
        <v>1269</v>
      </c>
      <c r="C191" s="1" t="s">
        <v>182</v>
      </c>
      <c r="D191" s="1" t="s">
        <v>886</v>
      </c>
      <c r="E191" s="2" t="s">
        <v>62</v>
      </c>
      <c r="F191" s="2" t="s">
        <v>6</v>
      </c>
      <c r="G191" s="24" t="s">
        <v>888</v>
      </c>
      <c r="H191" s="24" t="s">
        <v>1270</v>
      </c>
      <c r="I191" s="24"/>
      <c r="J191" s="43"/>
      <c r="K191" s="24"/>
      <c r="L191" s="24"/>
      <c r="M191" s="24" t="s">
        <v>1271</v>
      </c>
      <c r="N191" s="24">
        <v>1188</v>
      </c>
      <c r="O191" s="24" t="s">
        <v>1270</v>
      </c>
      <c r="P191" s="40"/>
      <c r="R191" s="26"/>
      <c r="S191" s="26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</row>
    <row r="192" spans="1:82" x14ac:dyDescent="0.25">
      <c r="A192" s="1">
        <v>190</v>
      </c>
      <c r="B192" s="1" t="s">
        <v>1272</v>
      </c>
      <c r="C192" s="1" t="s">
        <v>182</v>
      </c>
      <c r="D192" s="1" t="s">
        <v>886</v>
      </c>
      <c r="E192" s="2" t="s">
        <v>62</v>
      </c>
      <c r="F192" s="2" t="s">
        <v>6</v>
      </c>
      <c r="G192" s="24" t="s">
        <v>888</v>
      </c>
      <c r="H192" s="24" t="s">
        <v>1273</v>
      </c>
      <c r="I192" s="24"/>
      <c r="J192" s="43"/>
      <c r="K192" s="24"/>
      <c r="L192" s="24"/>
      <c r="M192" s="24" t="s">
        <v>1274</v>
      </c>
      <c r="N192" s="24">
        <v>1189</v>
      </c>
      <c r="O192" s="24" t="s">
        <v>1273</v>
      </c>
      <c r="P192" s="40"/>
      <c r="R192" s="26"/>
      <c r="S192" s="26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</row>
    <row r="193" spans="1:82" x14ac:dyDescent="0.25">
      <c r="A193" s="1">
        <v>191</v>
      </c>
      <c r="B193" s="1" t="s">
        <v>1275</v>
      </c>
      <c r="C193" s="1" t="s">
        <v>182</v>
      </c>
      <c r="D193" s="1" t="s">
        <v>886</v>
      </c>
      <c r="E193" s="2" t="s">
        <v>62</v>
      </c>
      <c r="F193" s="2" t="s">
        <v>6</v>
      </c>
      <c r="G193" s="24" t="s">
        <v>888</v>
      </c>
      <c r="H193" s="24" t="s">
        <v>1276</v>
      </c>
      <c r="I193" s="24"/>
      <c r="J193" s="43"/>
      <c r="K193" s="24"/>
      <c r="L193" s="24"/>
      <c r="M193" s="24" t="s">
        <v>1277</v>
      </c>
      <c r="N193" s="24">
        <v>1190</v>
      </c>
      <c r="O193" s="24" t="s">
        <v>1276</v>
      </c>
      <c r="P193" s="40"/>
      <c r="R193" s="26"/>
      <c r="S193" s="26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</row>
    <row r="194" spans="1:82" x14ac:dyDescent="0.25">
      <c r="A194" s="1">
        <v>192</v>
      </c>
      <c r="B194" s="1" t="s">
        <v>1278</v>
      </c>
      <c r="C194" s="1" t="s">
        <v>182</v>
      </c>
      <c r="D194" s="1" t="s">
        <v>886</v>
      </c>
      <c r="E194" s="2" t="s">
        <v>62</v>
      </c>
      <c r="F194" s="2" t="s">
        <v>6</v>
      </c>
      <c r="G194" s="24" t="s">
        <v>888</v>
      </c>
      <c r="H194" s="24" t="s">
        <v>1279</v>
      </c>
      <c r="I194" s="24"/>
      <c r="J194" s="43"/>
      <c r="K194" s="24"/>
      <c r="L194" s="24"/>
      <c r="M194" s="24" t="s">
        <v>1280</v>
      </c>
      <c r="N194" s="24">
        <v>1191</v>
      </c>
      <c r="O194" s="24" t="s">
        <v>1279</v>
      </c>
      <c r="P194" s="40"/>
      <c r="R194" s="26"/>
      <c r="S194" s="26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</row>
    <row r="195" spans="1:82" x14ac:dyDescent="0.25">
      <c r="A195" s="1">
        <v>193</v>
      </c>
      <c r="B195" s="1" t="s">
        <v>1286</v>
      </c>
      <c r="C195" s="1" t="s">
        <v>182</v>
      </c>
      <c r="D195" s="1" t="s">
        <v>885</v>
      </c>
      <c r="E195" s="2" t="s">
        <v>23</v>
      </c>
      <c r="F195" s="2" t="s">
        <v>6</v>
      </c>
      <c r="G195" s="24" t="s">
        <v>888</v>
      </c>
      <c r="H195" s="24" t="s">
        <v>821</v>
      </c>
      <c r="I195" s="24"/>
      <c r="J195" s="43"/>
      <c r="K195" s="24"/>
      <c r="L195" s="24" t="s">
        <v>1287</v>
      </c>
      <c r="M195" s="24"/>
      <c r="N195" s="24">
        <v>1192</v>
      </c>
      <c r="O195" s="24" t="s">
        <v>1288</v>
      </c>
      <c r="P195" s="40">
        <v>25</v>
      </c>
      <c r="Q195" s="28" t="s">
        <v>814</v>
      </c>
      <c r="R195" s="26">
        <v>3000</v>
      </c>
      <c r="S195" s="26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</row>
    <row r="196" spans="1:82" x14ac:dyDescent="0.25">
      <c r="A196" s="1">
        <v>194</v>
      </c>
      <c r="B196" s="1" t="s">
        <v>1289</v>
      </c>
      <c r="C196" s="1" t="s">
        <v>182</v>
      </c>
      <c r="D196" s="1" t="s">
        <v>885</v>
      </c>
      <c r="E196" s="2" t="s">
        <v>40</v>
      </c>
      <c r="F196" s="2" t="s">
        <v>6</v>
      </c>
      <c r="G196" s="24" t="s">
        <v>888</v>
      </c>
      <c r="H196" s="24" t="s">
        <v>824</v>
      </c>
      <c r="I196" s="24"/>
      <c r="J196" s="43"/>
      <c r="K196" s="24"/>
      <c r="L196" s="24" t="s">
        <v>1290</v>
      </c>
      <c r="M196" s="24"/>
      <c r="N196" s="24">
        <v>1193</v>
      </c>
      <c r="O196" s="24" t="s">
        <v>1291</v>
      </c>
      <c r="P196" s="40">
        <v>30</v>
      </c>
      <c r="Q196" s="28" t="s">
        <v>814</v>
      </c>
      <c r="R196" s="26"/>
      <c r="S196" s="26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</row>
    <row r="197" spans="1:82" x14ac:dyDescent="0.25">
      <c r="A197" s="1">
        <v>195</v>
      </c>
      <c r="B197" s="1" t="s">
        <v>1292</v>
      </c>
      <c r="C197" s="1" t="s">
        <v>182</v>
      </c>
      <c r="D197" s="1" t="s">
        <v>885</v>
      </c>
      <c r="E197" s="2" t="s">
        <v>37</v>
      </c>
      <c r="F197" s="2" t="s">
        <v>6</v>
      </c>
      <c r="G197" s="24" t="s">
        <v>888</v>
      </c>
      <c r="H197" s="24" t="s">
        <v>1293</v>
      </c>
      <c r="I197" s="24"/>
      <c r="J197" s="43"/>
      <c r="K197" s="24"/>
      <c r="L197" s="24" t="s">
        <v>1295</v>
      </c>
      <c r="M197" s="24"/>
      <c r="N197" s="24">
        <v>1194</v>
      </c>
      <c r="O197" s="24" t="s">
        <v>1294</v>
      </c>
      <c r="P197" s="40">
        <v>50</v>
      </c>
      <c r="Q197" s="28" t="s">
        <v>814</v>
      </c>
      <c r="R197" s="26"/>
      <c r="S197" s="26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</row>
    <row r="198" spans="1:82" x14ac:dyDescent="0.25">
      <c r="A198" s="1">
        <v>196</v>
      </c>
      <c r="B198" s="1"/>
      <c r="C198" s="1" t="s">
        <v>895</v>
      </c>
      <c r="D198" s="1" t="s">
        <v>886</v>
      </c>
      <c r="E198" s="2" t="s">
        <v>128</v>
      </c>
      <c r="F198" s="2" t="s">
        <v>17</v>
      </c>
      <c r="G198" s="24" t="s">
        <v>888</v>
      </c>
      <c r="H198" s="24" t="s">
        <v>1301</v>
      </c>
      <c r="I198" s="24"/>
      <c r="J198" s="43"/>
      <c r="K198" s="24"/>
      <c r="L198" s="24"/>
      <c r="M198" s="24" t="s">
        <v>1296</v>
      </c>
      <c r="N198" s="24">
        <v>1195</v>
      </c>
      <c r="O198" s="24" t="s">
        <v>1302</v>
      </c>
      <c r="P198" s="40"/>
      <c r="R198" s="26"/>
      <c r="S198" s="26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</row>
    <row r="199" spans="1:82" x14ac:dyDescent="0.25">
      <c r="A199" s="1">
        <v>197</v>
      </c>
      <c r="B199" s="1" t="s">
        <v>1297</v>
      </c>
      <c r="C199" s="1" t="s">
        <v>182</v>
      </c>
      <c r="D199" s="1" t="s">
        <v>886</v>
      </c>
      <c r="E199" s="2" t="s">
        <v>62</v>
      </c>
      <c r="F199" s="2" t="s">
        <v>6</v>
      </c>
      <c r="G199" s="24" t="s">
        <v>888</v>
      </c>
      <c r="H199" s="24" t="s">
        <v>1303</v>
      </c>
      <c r="I199" s="24"/>
      <c r="J199" s="43"/>
      <c r="K199" s="24"/>
      <c r="L199" s="24"/>
      <c r="M199" s="24" t="s">
        <v>1300</v>
      </c>
      <c r="N199" s="24">
        <v>1196</v>
      </c>
      <c r="O199" s="24" t="s">
        <v>1303</v>
      </c>
      <c r="P199" s="40"/>
      <c r="R199" s="26"/>
      <c r="S199" s="26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</row>
    <row r="200" spans="1:82" x14ac:dyDescent="0.25">
      <c r="A200" s="1">
        <v>198</v>
      </c>
      <c r="B200" s="1" t="s">
        <v>1298</v>
      </c>
      <c r="C200" s="1" t="s">
        <v>182</v>
      </c>
      <c r="D200" s="1" t="s">
        <v>886</v>
      </c>
      <c r="E200" s="2" t="s">
        <v>62</v>
      </c>
      <c r="F200" s="2" t="s">
        <v>6</v>
      </c>
      <c r="G200" s="24" t="s">
        <v>888</v>
      </c>
      <c r="H200" s="24" t="s">
        <v>1304</v>
      </c>
      <c r="I200" s="24"/>
      <c r="J200" s="43"/>
      <c r="K200" s="24"/>
      <c r="L200" s="24"/>
      <c r="M200" s="24" t="s">
        <v>1306</v>
      </c>
      <c r="N200" s="24">
        <v>1197</v>
      </c>
      <c r="O200" s="24" t="s">
        <v>1304</v>
      </c>
      <c r="P200" s="40"/>
      <c r="R200" s="26"/>
      <c r="S200" s="26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</row>
    <row r="201" spans="1:82" x14ac:dyDescent="0.25">
      <c r="A201" s="1">
        <v>199</v>
      </c>
      <c r="B201" s="1" t="s">
        <v>1299</v>
      </c>
      <c r="C201" s="1" t="s">
        <v>182</v>
      </c>
      <c r="D201" s="1" t="s">
        <v>886</v>
      </c>
      <c r="E201" s="2" t="s">
        <v>73</v>
      </c>
      <c r="F201" s="2" t="s">
        <v>6</v>
      </c>
      <c r="G201" s="24" t="s">
        <v>888</v>
      </c>
      <c r="H201" s="24" t="s">
        <v>1305</v>
      </c>
      <c r="I201" s="24"/>
      <c r="J201" s="43"/>
      <c r="K201" s="24"/>
      <c r="L201" s="24"/>
      <c r="M201" s="24" t="s">
        <v>1307</v>
      </c>
      <c r="N201" s="24">
        <v>1198</v>
      </c>
      <c r="O201" s="24" t="s">
        <v>1305</v>
      </c>
      <c r="P201" s="40"/>
      <c r="R201" s="26"/>
      <c r="S201" s="26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</row>
    <row r="202" spans="1:82" x14ac:dyDescent="0.25">
      <c r="A202" s="1">
        <v>200</v>
      </c>
      <c r="B202" s="1" t="s">
        <v>895</v>
      </c>
      <c r="C202" s="1" t="s">
        <v>895</v>
      </c>
      <c r="D202" s="1" t="s">
        <v>886</v>
      </c>
      <c r="E202" s="2" t="s">
        <v>73</v>
      </c>
      <c r="F202" s="2" t="s">
        <v>17</v>
      </c>
      <c r="G202" s="24" t="s">
        <v>888</v>
      </c>
      <c r="H202" s="24" t="s">
        <v>1309</v>
      </c>
      <c r="I202" s="24"/>
      <c r="J202" s="43"/>
      <c r="K202" s="24"/>
      <c r="L202" s="24"/>
      <c r="M202" s="24" t="s">
        <v>1308</v>
      </c>
      <c r="N202" s="24">
        <v>1199</v>
      </c>
      <c r="O202" s="24" t="s">
        <v>1309</v>
      </c>
      <c r="P202" s="40"/>
      <c r="R202" s="26"/>
      <c r="S202" s="26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</row>
    <row r="203" spans="1:82" x14ac:dyDescent="0.25">
      <c r="A203" s="1">
        <v>201</v>
      </c>
      <c r="B203" s="1" t="s">
        <v>1322</v>
      </c>
      <c r="C203" s="1" t="s">
        <v>153</v>
      </c>
      <c r="D203" s="1"/>
      <c r="E203" s="2" t="s">
        <v>56</v>
      </c>
      <c r="F203" s="2" t="s">
        <v>17</v>
      </c>
      <c r="G203" s="24" t="s">
        <v>889</v>
      </c>
      <c r="H203" s="24" t="s">
        <v>861</v>
      </c>
      <c r="I203" s="24"/>
      <c r="J203" s="43"/>
      <c r="K203" s="24"/>
      <c r="L203" s="24" t="s">
        <v>1087</v>
      </c>
      <c r="M203" s="24"/>
      <c r="N203" s="24">
        <v>1200</v>
      </c>
      <c r="O203" s="24" t="s">
        <v>1321</v>
      </c>
      <c r="P203" s="40">
        <v>12</v>
      </c>
      <c r="R203" s="26"/>
      <c r="S203" s="26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</row>
    <row r="204" spans="1:82" x14ac:dyDescent="0.25">
      <c r="A204" s="1">
        <v>202</v>
      </c>
      <c r="B204" s="1" t="s">
        <v>1331</v>
      </c>
      <c r="C204" s="1" t="s">
        <v>182</v>
      </c>
      <c r="D204" s="1" t="s">
        <v>885</v>
      </c>
      <c r="E204" s="2" t="s">
        <v>37</v>
      </c>
      <c r="F204" s="2" t="s">
        <v>6</v>
      </c>
      <c r="G204" s="24" t="s">
        <v>888</v>
      </c>
      <c r="H204" s="24" t="s">
        <v>823</v>
      </c>
      <c r="I204" s="24"/>
      <c r="J204" s="43"/>
      <c r="K204" s="24"/>
      <c r="L204" s="24" t="s">
        <v>1334</v>
      </c>
      <c r="M204" s="24"/>
      <c r="N204" s="24">
        <v>1201</v>
      </c>
      <c r="O204" s="25" t="s">
        <v>1335</v>
      </c>
      <c r="P204" s="40">
        <v>20</v>
      </c>
      <c r="Q204" s="28" t="s">
        <v>814</v>
      </c>
      <c r="R204" s="26">
        <v>2100</v>
      </c>
      <c r="S204" s="26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</row>
    <row r="205" spans="1:82" x14ac:dyDescent="0.25">
      <c r="A205" s="1">
        <v>203</v>
      </c>
      <c r="B205" s="1"/>
      <c r="C205" s="1"/>
      <c r="D205" s="1"/>
      <c r="E205" s="2"/>
      <c r="F205" s="2"/>
      <c r="G205" s="24"/>
      <c r="H205" s="24"/>
      <c r="I205" s="24"/>
      <c r="J205" s="43"/>
      <c r="K205" s="24"/>
      <c r="L205" s="24"/>
      <c r="M205" s="24"/>
      <c r="N205" s="24">
        <v>1202</v>
      </c>
      <c r="O205" s="24"/>
      <c r="P205" s="40"/>
      <c r="R205" s="26"/>
      <c r="S205" s="26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</row>
    <row r="206" spans="1:82" x14ac:dyDescent="0.25">
      <c r="A206" s="1">
        <v>204</v>
      </c>
      <c r="B206" s="1"/>
      <c r="C206" s="1"/>
      <c r="D206" s="1"/>
      <c r="E206" s="2"/>
      <c r="F206" s="2"/>
      <c r="G206" s="24"/>
      <c r="H206" s="24"/>
      <c r="I206" s="24"/>
      <c r="J206" s="43"/>
      <c r="K206" s="24"/>
      <c r="L206" s="24"/>
      <c r="M206" s="24"/>
      <c r="N206" s="24">
        <v>1203</v>
      </c>
      <c r="O206" s="24"/>
      <c r="P206" s="40"/>
      <c r="R206" s="26"/>
      <c r="S206" s="26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</row>
    <row r="207" spans="1:82" x14ac:dyDescent="0.25">
      <c r="A207" s="1">
        <v>205</v>
      </c>
      <c r="B207" s="1"/>
      <c r="C207" s="1"/>
      <c r="D207" s="1"/>
      <c r="E207" s="2"/>
      <c r="F207" s="2"/>
      <c r="G207" s="24"/>
      <c r="H207" s="24"/>
      <c r="I207" s="24"/>
      <c r="J207" s="43"/>
      <c r="K207" s="24"/>
      <c r="L207" s="24"/>
      <c r="M207" s="24"/>
      <c r="N207" s="24">
        <v>1204</v>
      </c>
      <c r="O207" s="24"/>
      <c r="P207" s="40"/>
      <c r="R207" s="26"/>
      <c r="S207" s="26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</row>
    <row r="208" spans="1:82" x14ac:dyDescent="0.25">
      <c r="A208" s="1">
        <v>206</v>
      </c>
      <c r="B208" s="1"/>
      <c r="C208" s="1"/>
      <c r="D208" s="1"/>
      <c r="E208" s="2"/>
      <c r="F208" s="2"/>
      <c r="G208" s="24"/>
      <c r="H208" s="24"/>
      <c r="I208" s="24"/>
      <c r="J208" s="43"/>
      <c r="K208" s="24"/>
      <c r="L208" s="24"/>
      <c r="M208" s="24"/>
      <c r="N208" s="24"/>
      <c r="O208" s="24"/>
      <c r="P208" s="40"/>
      <c r="R208" s="26"/>
      <c r="S208" s="26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</row>
    <row r="209" spans="1:82" x14ac:dyDescent="0.25">
      <c r="A209" s="1">
        <v>207</v>
      </c>
      <c r="B209" s="1"/>
      <c r="C209" s="1"/>
      <c r="D209" s="1"/>
      <c r="E209" s="2"/>
      <c r="F209" s="2"/>
      <c r="G209" s="24"/>
      <c r="H209" s="24"/>
      <c r="I209" s="24"/>
      <c r="J209" s="43"/>
      <c r="K209" s="24"/>
      <c r="L209" s="24"/>
      <c r="M209" s="24"/>
      <c r="N209" s="24"/>
      <c r="O209" s="24"/>
      <c r="P209" s="40"/>
      <c r="R209" s="26"/>
      <c r="S209" s="26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</row>
    <row r="210" spans="1:82" x14ac:dyDescent="0.25">
      <c r="A210" s="1">
        <v>208</v>
      </c>
      <c r="B210" s="1"/>
      <c r="C210" s="1"/>
      <c r="D210" s="1"/>
      <c r="E210" s="2"/>
      <c r="F210" s="2"/>
      <c r="G210" s="24"/>
      <c r="H210" s="24"/>
      <c r="I210" s="24"/>
      <c r="J210" s="43"/>
      <c r="K210" s="24"/>
      <c r="L210" s="24"/>
      <c r="M210" s="24"/>
      <c r="N210" s="24"/>
      <c r="O210" s="24"/>
      <c r="P210" s="40"/>
      <c r="R210" s="26"/>
      <c r="S210" s="26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</row>
    <row r="211" spans="1:82" x14ac:dyDescent="0.25">
      <c r="A211" s="1">
        <v>209</v>
      </c>
      <c r="B211" s="1"/>
      <c r="C211" s="1"/>
      <c r="D211" s="1"/>
      <c r="E211" s="2"/>
      <c r="F211" s="2"/>
      <c r="G211" s="24"/>
      <c r="H211" s="24"/>
      <c r="I211" s="24"/>
      <c r="J211" s="43"/>
      <c r="K211" s="24"/>
      <c r="L211" s="24"/>
      <c r="M211" s="24"/>
      <c r="N211" s="24"/>
      <c r="O211" s="24"/>
      <c r="P211" s="40"/>
      <c r="R211" s="26"/>
      <c r="S211" s="26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</row>
    <row r="212" spans="1:82" x14ac:dyDescent="0.25">
      <c r="A212" s="1"/>
      <c r="B212" s="1"/>
      <c r="C212" s="1"/>
      <c r="D212" s="1"/>
      <c r="E212" s="2"/>
      <c r="F212" s="2"/>
      <c r="G212" s="24"/>
      <c r="H212" s="24"/>
      <c r="I212" s="24"/>
      <c r="J212" s="43"/>
      <c r="K212" s="24"/>
      <c r="L212" s="24"/>
      <c r="M212" s="24"/>
      <c r="N212" s="24"/>
      <c r="O212" s="24"/>
      <c r="P212" s="40"/>
      <c r="R212" s="26"/>
      <c r="S212" s="26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</row>
    <row r="213" spans="1:82" x14ac:dyDescent="0.25">
      <c r="A213" s="1"/>
      <c r="B213" s="1"/>
      <c r="C213" s="1"/>
      <c r="D213" s="1"/>
      <c r="E213" s="2"/>
      <c r="F213" s="2"/>
      <c r="G213" s="24"/>
      <c r="H213" s="24"/>
      <c r="I213" s="24"/>
      <c r="J213" s="43"/>
      <c r="K213" s="24"/>
      <c r="L213" s="24"/>
      <c r="M213" s="24"/>
      <c r="N213" s="24"/>
      <c r="O213" s="24"/>
      <c r="P213" s="40"/>
      <c r="R213" s="26"/>
      <c r="S213" s="26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</row>
    <row r="214" spans="1:82" x14ac:dyDescent="0.25">
      <c r="A214" s="1"/>
      <c r="B214" s="1"/>
      <c r="C214" s="1"/>
      <c r="D214" s="1"/>
      <c r="E214" s="2" t="s">
        <v>17</v>
      </c>
      <c r="F214" s="2" t="s">
        <v>17</v>
      </c>
      <c r="G214" s="24"/>
      <c r="H214" s="24" t="s">
        <v>17</v>
      </c>
      <c r="I214" s="24"/>
      <c r="J214" s="43"/>
      <c r="K214" s="24"/>
      <c r="L214" s="24" t="s">
        <v>775</v>
      </c>
      <c r="M214" s="24"/>
      <c r="N214" s="24"/>
      <c r="O214" s="24" t="s">
        <v>17</v>
      </c>
      <c r="P214" s="40"/>
      <c r="R214" s="26"/>
      <c r="S214" s="26"/>
      <c r="T214" s="21" t="e">
        <f>VLOOKUP(N214,('Master File'!$I$3:$I$220),1,FALSE)</f>
        <v>#N/A</v>
      </c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</row>
  </sheetData>
  <autoFilter ref="A2:CM211" xr:uid="{00000000-0009-0000-0000-000000000000}"/>
  <sortState xmlns:xlrd2="http://schemas.microsoft.com/office/spreadsheetml/2017/richdata2" ref="B3:F139">
    <sortCondition ref="C3:C139"/>
  </sortState>
  <customSheetViews>
    <customSheetView guid="{B1221BD8-8E00-46E8-8D60-4A56740AF862}" scale="80" showAutoFilter="1" hiddenColumns="1" state="hidden">
      <pane ySplit="2" topLeftCell="A181" activePane="bottomLeft" state="frozen"/>
      <selection pane="bottomLeft" activeCell="A2" sqref="A2"/>
      <pageMargins left="0.7" right="0.7" top="0.75" bottom="0.75" header="0.3" footer="0.3"/>
      <pageSetup orientation="portrait" r:id="rId1"/>
      <autoFilter ref="A2:CM211" xr:uid="{A7B87F67-D6C6-4BB2-AA2D-89E561F3010E}"/>
    </customSheetView>
  </customSheetViews>
  <mergeCells count="3">
    <mergeCell ref="T1:AX1"/>
    <mergeCell ref="AY1:BM1"/>
    <mergeCell ref="BN1:CD1"/>
  </mergeCells>
  <dataValidations count="2">
    <dataValidation type="list" allowBlank="1" showInputMessage="1" showErrorMessage="1" sqref="Q3:Q213" xr:uid="{00000000-0002-0000-0000-000000000000}">
      <formula1>"Live, Discontinued, Holt"</formula1>
    </dataValidation>
    <dataValidation type="list" allowBlank="1" showInputMessage="1" showErrorMessage="1" sqref="G3:G214" xr:uid="{00000000-0002-0000-0000-000001000000}">
      <formula1>"Regular, Occasional"</formula1>
    </dataValidation>
  </dataValidation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254"/>
  <sheetViews>
    <sheetView topLeftCell="A134" workbookViewId="0">
      <selection activeCell="B57" sqref="B57"/>
    </sheetView>
  </sheetViews>
  <sheetFormatPr defaultRowHeight="15" x14ac:dyDescent="0.25"/>
  <cols>
    <col min="1" max="1" width="29.28515625" bestFit="1" customWidth="1"/>
    <col min="2" max="2" width="33" customWidth="1"/>
  </cols>
  <sheetData>
    <row r="1" spans="1:2" x14ac:dyDescent="0.25">
      <c r="A1" s="3" t="s">
        <v>522</v>
      </c>
    </row>
    <row r="2" spans="1:2" x14ac:dyDescent="0.25">
      <c r="A2" t="s">
        <v>267</v>
      </c>
      <c r="B2" t="s">
        <v>267</v>
      </c>
    </row>
    <row r="3" spans="1:2" x14ac:dyDescent="0.25">
      <c r="A3" t="s">
        <v>268</v>
      </c>
      <c r="B3" t="s">
        <v>268</v>
      </c>
    </row>
    <row r="4" spans="1:2" x14ac:dyDescent="0.25">
      <c r="A4" t="s">
        <v>269</v>
      </c>
      <c r="B4" t="s">
        <v>269</v>
      </c>
    </row>
    <row r="5" spans="1:2" x14ac:dyDescent="0.25">
      <c r="A5" t="s">
        <v>270</v>
      </c>
      <c r="B5" t="s">
        <v>270</v>
      </c>
    </row>
    <row r="6" spans="1:2" x14ac:dyDescent="0.25">
      <c r="A6" t="s">
        <v>271</v>
      </c>
      <c r="B6" t="s">
        <v>271</v>
      </c>
    </row>
    <row r="7" spans="1:2" x14ac:dyDescent="0.25">
      <c r="A7" t="s">
        <v>272</v>
      </c>
      <c r="B7" t="s">
        <v>272</v>
      </c>
    </row>
    <row r="8" spans="1:2" x14ac:dyDescent="0.25">
      <c r="A8" t="s">
        <v>273</v>
      </c>
      <c r="B8" t="s">
        <v>273</v>
      </c>
    </row>
    <row r="9" spans="1:2" x14ac:dyDescent="0.25">
      <c r="A9" t="s">
        <v>274</v>
      </c>
      <c r="B9" t="s">
        <v>274</v>
      </c>
    </row>
    <row r="10" spans="1:2" x14ac:dyDescent="0.25">
      <c r="A10" t="s">
        <v>275</v>
      </c>
      <c r="B10" t="s">
        <v>275</v>
      </c>
    </row>
    <row r="11" spans="1:2" x14ac:dyDescent="0.25">
      <c r="A11" t="s">
        <v>276</v>
      </c>
      <c r="B11" t="s">
        <v>276</v>
      </c>
    </row>
    <row r="12" spans="1:2" x14ac:dyDescent="0.25">
      <c r="A12" t="s">
        <v>277</v>
      </c>
      <c r="B12" t="s">
        <v>277</v>
      </c>
    </row>
    <row r="13" spans="1:2" x14ac:dyDescent="0.25">
      <c r="A13" t="s">
        <v>278</v>
      </c>
      <c r="B13" t="s">
        <v>278</v>
      </c>
    </row>
    <row r="14" spans="1:2" x14ac:dyDescent="0.25">
      <c r="A14" t="s">
        <v>279</v>
      </c>
      <c r="B14" t="s">
        <v>279</v>
      </c>
    </row>
    <row r="15" spans="1:2" x14ac:dyDescent="0.25">
      <c r="A15" t="s">
        <v>280</v>
      </c>
      <c r="B15" t="s">
        <v>280</v>
      </c>
    </row>
    <row r="16" spans="1:2" x14ac:dyDescent="0.25">
      <c r="A16" t="s">
        <v>281</v>
      </c>
      <c r="B16" t="s">
        <v>267</v>
      </c>
    </row>
    <row r="17" spans="1:2" x14ac:dyDescent="0.25">
      <c r="A17" t="s">
        <v>282</v>
      </c>
      <c r="B17" t="s">
        <v>268</v>
      </c>
    </row>
    <row r="18" spans="1:2" x14ac:dyDescent="0.25">
      <c r="A18" t="s">
        <v>283</v>
      </c>
      <c r="B18" t="s">
        <v>269</v>
      </c>
    </row>
    <row r="19" spans="1:2" x14ac:dyDescent="0.25">
      <c r="A19" t="s">
        <v>284</v>
      </c>
      <c r="B19" t="s">
        <v>270</v>
      </c>
    </row>
    <row r="20" spans="1:2" x14ac:dyDescent="0.25">
      <c r="A20" t="s">
        <v>285</v>
      </c>
      <c r="B20" t="s">
        <v>285</v>
      </c>
    </row>
    <row r="21" spans="1:2" x14ac:dyDescent="0.25">
      <c r="A21" t="s">
        <v>286</v>
      </c>
      <c r="B21" t="s">
        <v>286</v>
      </c>
    </row>
    <row r="22" spans="1:2" x14ac:dyDescent="0.25">
      <c r="A22" t="s">
        <v>287</v>
      </c>
      <c r="B22" t="s">
        <v>287</v>
      </c>
    </row>
    <row r="23" spans="1:2" x14ac:dyDescent="0.25">
      <c r="A23" t="s">
        <v>288</v>
      </c>
      <c r="B23" t="s">
        <v>288</v>
      </c>
    </row>
    <row r="24" spans="1:2" x14ac:dyDescent="0.25">
      <c r="A24" t="s">
        <v>289</v>
      </c>
      <c r="B24" t="s">
        <v>289</v>
      </c>
    </row>
    <row r="25" spans="1:2" x14ac:dyDescent="0.25">
      <c r="A25" t="s">
        <v>290</v>
      </c>
      <c r="B25" t="s">
        <v>290</v>
      </c>
    </row>
    <row r="26" spans="1:2" x14ac:dyDescent="0.25">
      <c r="A26" t="s">
        <v>291</v>
      </c>
      <c r="B26" t="s">
        <v>291</v>
      </c>
    </row>
    <row r="27" spans="1:2" x14ac:dyDescent="0.25">
      <c r="A27" t="s">
        <v>292</v>
      </c>
      <c r="B27" t="s">
        <v>292</v>
      </c>
    </row>
    <row r="28" spans="1:2" x14ac:dyDescent="0.25">
      <c r="A28" t="s">
        <v>128</v>
      </c>
      <c r="B28" t="s">
        <v>288</v>
      </c>
    </row>
    <row r="29" spans="1:2" x14ac:dyDescent="0.25">
      <c r="A29" t="s">
        <v>293</v>
      </c>
      <c r="B29" t="s">
        <v>267</v>
      </c>
    </row>
    <row r="30" spans="1:2" x14ac:dyDescent="0.25">
      <c r="A30" t="s">
        <v>294</v>
      </c>
      <c r="B30" t="s">
        <v>294</v>
      </c>
    </row>
    <row r="31" spans="1:2" x14ac:dyDescent="0.25">
      <c r="A31" t="s">
        <v>295</v>
      </c>
      <c r="B31" t="s">
        <v>295</v>
      </c>
    </row>
    <row r="32" spans="1:2" x14ac:dyDescent="0.25">
      <c r="A32" t="s">
        <v>296</v>
      </c>
      <c r="B32" t="s">
        <v>294</v>
      </c>
    </row>
    <row r="33" spans="1:2" x14ac:dyDescent="0.25">
      <c r="A33" t="s">
        <v>297</v>
      </c>
      <c r="B33" t="s">
        <v>277</v>
      </c>
    </row>
    <row r="34" spans="1:2" x14ac:dyDescent="0.25">
      <c r="A34" t="s">
        <v>298</v>
      </c>
      <c r="B34" t="s">
        <v>523</v>
      </c>
    </row>
    <row r="35" spans="1:2" x14ac:dyDescent="0.25">
      <c r="A35" t="s">
        <v>299</v>
      </c>
      <c r="B35" t="s">
        <v>299</v>
      </c>
    </row>
    <row r="36" spans="1:2" x14ac:dyDescent="0.25">
      <c r="A36" t="s">
        <v>300</v>
      </c>
    </row>
    <row r="37" spans="1:2" x14ac:dyDescent="0.25">
      <c r="A37" t="s">
        <v>301</v>
      </c>
    </row>
    <row r="38" spans="1:2" x14ac:dyDescent="0.25">
      <c r="A38" t="s">
        <v>302</v>
      </c>
    </row>
    <row r="39" spans="1:2" x14ac:dyDescent="0.25">
      <c r="A39" t="s">
        <v>303</v>
      </c>
    </row>
    <row r="40" spans="1:2" x14ac:dyDescent="0.25">
      <c r="A40" t="s">
        <v>304</v>
      </c>
    </row>
    <row r="41" spans="1:2" x14ac:dyDescent="0.25">
      <c r="A41" t="s">
        <v>305</v>
      </c>
    </row>
    <row r="42" spans="1:2" x14ac:dyDescent="0.25">
      <c r="A42" t="s">
        <v>306</v>
      </c>
    </row>
    <row r="43" spans="1:2" x14ac:dyDescent="0.25">
      <c r="A43" t="s">
        <v>307</v>
      </c>
    </row>
    <row r="44" spans="1:2" x14ac:dyDescent="0.25">
      <c r="A44" t="s">
        <v>308</v>
      </c>
    </row>
    <row r="45" spans="1:2" x14ac:dyDescent="0.25">
      <c r="A45" t="s">
        <v>309</v>
      </c>
    </row>
    <row r="46" spans="1:2" x14ac:dyDescent="0.25">
      <c r="A46" t="s">
        <v>310</v>
      </c>
    </row>
    <row r="47" spans="1:2" x14ac:dyDescent="0.25">
      <c r="A47" t="s">
        <v>311</v>
      </c>
    </row>
    <row r="48" spans="1:2" x14ac:dyDescent="0.25">
      <c r="A48" t="s">
        <v>312</v>
      </c>
    </row>
    <row r="49" spans="1:1" x14ac:dyDescent="0.25">
      <c r="A49" t="s">
        <v>313</v>
      </c>
    </row>
    <row r="50" spans="1:1" x14ac:dyDescent="0.25">
      <c r="A50" t="s">
        <v>314</v>
      </c>
    </row>
    <row r="51" spans="1:1" x14ac:dyDescent="0.25">
      <c r="A51" t="s">
        <v>315</v>
      </c>
    </row>
    <row r="52" spans="1:1" x14ac:dyDescent="0.25">
      <c r="A52" t="s">
        <v>316</v>
      </c>
    </row>
    <row r="53" spans="1:1" x14ac:dyDescent="0.25">
      <c r="A53" t="s">
        <v>317</v>
      </c>
    </row>
    <row r="54" spans="1:1" x14ac:dyDescent="0.25">
      <c r="A54" t="s">
        <v>318</v>
      </c>
    </row>
    <row r="55" spans="1:1" x14ac:dyDescent="0.25">
      <c r="A55" t="s">
        <v>320</v>
      </c>
    </row>
    <row r="56" spans="1:1" x14ac:dyDescent="0.25">
      <c r="A56" t="s">
        <v>321</v>
      </c>
    </row>
    <row r="57" spans="1:1" x14ac:dyDescent="0.25">
      <c r="A57" t="s">
        <v>322</v>
      </c>
    </row>
    <row r="58" spans="1:1" x14ac:dyDescent="0.25">
      <c r="A58" t="s">
        <v>323</v>
      </c>
    </row>
    <row r="59" spans="1:1" x14ac:dyDescent="0.25">
      <c r="A59" t="s">
        <v>324</v>
      </c>
    </row>
    <row r="60" spans="1:1" x14ac:dyDescent="0.25">
      <c r="A60" t="s">
        <v>325</v>
      </c>
    </row>
    <row r="61" spans="1:1" x14ac:dyDescent="0.25">
      <c r="A61" t="s">
        <v>326</v>
      </c>
    </row>
    <row r="62" spans="1:1" x14ac:dyDescent="0.25">
      <c r="A62" t="s">
        <v>327</v>
      </c>
    </row>
    <row r="63" spans="1:1" x14ac:dyDescent="0.25">
      <c r="A63" t="s">
        <v>328</v>
      </c>
    </row>
    <row r="64" spans="1:1" x14ac:dyDescent="0.25">
      <c r="A64" t="s">
        <v>329</v>
      </c>
    </row>
    <row r="65" spans="1:1" x14ac:dyDescent="0.25">
      <c r="A65" t="s">
        <v>330</v>
      </c>
    </row>
    <row r="66" spans="1:1" x14ac:dyDescent="0.25">
      <c r="A66" t="s">
        <v>331</v>
      </c>
    </row>
    <row r="67" spans="1:1" x14ac:dyDescent="0.25">
      <c r="A67" t="s">
        <v>332</v>
      </c>
    </row>
    <row r="68" spans="1:1" x14ac:dyDescent="0.25">
      <c r="A68" t="s">
        <v>333</v>
      </c>
    </row>
    <row r="69" spans="1:1" x14ac:dyDescent="0.25">
      <c r="A69" t="s">
        <v>334</v>
      </c>
    </row>
    <row r="70" spans="1:1" x14ac:dyDescent="0.25">
      <c r="A70" t="s">
        <v>335</v>
      </c>
    </row>
    <row r="71" spans="1:1" x14ac:dyDescent="0.25">
      <c r="A71" t="s">
        <v>336</v>
      </c>
    </row>
    <row r="72" spans="1:1" x14ac:dyDescent="0.25">
      <c r="A72" t="s">
        <v>337</v>
      </c>
    </row>
    <row r="73" spans="1:1" x14ac:dyDescent="0.25">
      <c r="A73" t="s">
        <v>338</v>
      </c>
    </row>
    <row r="74" spans="1:1" x14ac:dyDescent="0.25">
      <c r="A74" t="s">
        <v>339</v>
      </c>
    </row>
    <row r="75" spans="1:1" x14ac:dyDescent="0.25">
      <c r="A75" t="s">
        <v>340</v>
      </c>
    </row>
    <row r="76" spans="1:1" x14ac:dyDescent="0.25">
      <c r="A76" t="s">
        <v>341</v>
      </c>
    </row>
    <row r="77" spans="1:1" x14ac:dyDescent="0.25">
      <c r="A77" t="s">
        <v>342</v>
      </c>
    </row>
    <row r="78" spans="1:1" x14ac:dyDescent="0.25">
      <c r="A78" t="s">
        <v>343</v>
      </c>
    </row>
    <row r="79" spans="1:1" x14ac:dyDescent="0.25">
      <c r="A79" t="s">
        <v>344</v>
      </c>
    </row>
    <row r="80" spans="1:1" x14ac:dyDescent="0.25">
      <c r="A80" t="s">
        <v>345</v>
      </c>
    </row>
    <row r="81" spans="1:1" x14ac:dyDescent="0.25">
      <c r="A81" t="s">
        <v>346</v>
      </c>
    </row>
    <row r="82" spans="1:1" x14ac:dyDescent="0.25">
      <c r="A82" t="s">
        <v>347</v>
      </c>
    </row>
    <row r="83" spans="1:1" x14ac:dyDescent="0.25">
      <c r="A83" t="s">
        <v>348</v>
      </c>
    </row>
    <row r="84" spans="1:1" x14ac:dyDescent="0.25">
      <c r="A84" t="s">
        <v>349</v>
      </c>
    </row>
    <row r="85" spans="1:1" x14ac:dyDescent="0.25">
      <c r="A85" t="s">
        <v>350</v>
      </c>
    </row>
    <row r="86" spans="1:1" x14ac:dyDescent="0.25">
      <c r="A86" t="s">
        <v>351</v>
      </c>
    </row>
    <row r="87" spans="1:1" x14ac:dyDescent="0.25">
      <c r="A87" t="s">
        <v>352</v>
      </c>
    </row>
    <row r="88" spans="1:1" x14ac:dyDescent="0.25">
      <c r="A88" t="s">
        <v>353</v>
      </c>
    </row>
    <row r="89" spans="1:1" x14ac:dyDescent="0.25">
      <c r="A89" t="s">
        <v>354</v>
      </c>
    </row>
    <row r="90" spans="1:1" x14ac:dyDescent="0.25">
      <c r="A90" t="s">
        <v>355</v>
      </c>
    </row>
    <row r="91" spans="1:1" x14ac:dyDescent="0.25">
      <c r="A91" t="s">
        <v>356</v>
      </c>
    </row>
    <row r="92" spans="1:1" x14ac:dyDescent="0.25">
      <c r="A92" t="s">
        <v>357</v>
      </c>
    </row>
    <row r="93" spans="1:1" x14ac:dyDescent="0.25">
      <c r="A93" t="s">
        <v>358</v>
      </c>
    </row>
    <row r="94" spans="1:1" x14ac:dyDescent="0.25">
      <c r="A94" t="s">
        <v>359</v>
      </c>
    </row>
    <row r="95" spans="1:1" x14ac:dyDescent="0.25">
      <c r="A95" t="s">
        <v>360</v>
      </c>
    </row>
    <row r="96" spans="1:1" x14ac:dyDescent="0.25">
      <c r="A96" t="s">
        <v>361</v>
      </c>
    </row>
    <row r="97" spans="1:1" x14ac:dyDescent="0.25">
      <c r="A97" t="s">
        <v>362</v>
      </c>
    </row>
    <row r="98" spans="1:1" x14ac:dyDescent="0.25">
      <c r="A98" t="s">
        <v>363</v>
      </c>
    </row>
    <row r="99" spans="1:1" x14ac:dyDescent="0.25">
      <c r="A99" t="s">
        <v>364</v>
      </c>
    </row>
    <row r="100" spans="1:1" x14ac:dyDescent="0.25">
      <c r="A100" t="s">
        <v>365</v>
      </c>
    </row>
    <row r="101" spans="1:1" x14ac:dyDescent="0.25">
      <c r="A101" t="s">
        <v>366</v>
      </c>
    </row>
    <row r="102" spans="1:1" x14ac:dyDescent="0.25">
      <c r="A102" t="s">
        <v>367</v>
      </c>
    </row>
    <row r="103" spans="1:1" x14ac:dyDescent="0.25">
      <c r="A103" t="s">
        <v>368</v>
      </c>
    </row>
    <row r="104" spans="1:1" x14ac:dyDescent="0.25">
      <c r="A104" t="s">
        <v>369</v>
      </c>
    </row>
    <row r="105" spans="1:1" x14ac:dyDescent="0.25">
      <c r="A105" t="s">
        <v>370</v>
      </c>
    </row>
    <row r="106" spans="1:1" x14ac:dyDescent="0.25">
      <c r="A106" t="s">
        <v>371</v>
      </c>
    </row>
    <row r="107" spans="1:1" x14ac:dyDescent="0.25">
      <c r="A107" t="s">
        <v>372</v>
      </c>
    </row>
    <row r="108" spans="1:1" x14ac:dyDescent="0.25">
      <c r="A108" t="s">
        <v>373</v>
      </c>
    </row>
    <row r="109" spans="1:1" x14ac:dyDescent="0.25">
      <c r="A109" t="s">
        <v>374</v>
      </c>
    </row>
    <row r="110" spans="1:1" x14ac:dyDescent="0.25">
      <c r="A110" t="s">
        <v>375</v>
      </c>
    </row>
    <row r="111" spans="1:1" x14ac:dyDescent="0.25">
      <c r="A111" t="s">
        <v>376</v>
      </c>
    </row>
    <row r="112" spans="1:1" x14ac:dyDescent="0.25">
      <c r="A112" t="s">
        <v>377</v>
      </c>
    </row>
    <row r="113" spans="1:1" x14ac:dyDescent="0.25">
      <c r="A113" t="s">
        <v>378</v>
      </c>
    </row>
    <row r="114" spans="1:1" x14ac:dyDescent="0.25">
      <c r="A114" t="s">
        <v>379</v>
      </c>
    </row>
    <row r="115" spans="1:1" x14ac:dyDescent="0.25">
      <c r="A115" t="s">
        <v>380</v>
      </c>
    </row>
    <row r="116" spans="1:1" x14ac:dyDescent="0.25">
      <c r="A116" t="s">
        <v>381</v>
      </c>
    </row>
    <row r="117" spans="1:1" x14ac:dyDescent="0.25">
      <c r="A117" t="s">
        <v>382</v>
      </c>
    </row>
    <row r="118" spans="1:1" x14ac:dyDescent="0.25">
      <c r="A118" t="s">
        <v>383</v>
      </c>
    </row>
    <row r="119" spans="1:1" x14ac:dyDescent="0.25">
      <c r="A119" t="s">
        <v>385</v>
      </c>
    </row>
    <row r="120" spans="1:1" x14ac:dyDescent="0.25">
      <c r="A120" t="s">
        <v>386</v>
      </c>
    </row>
    <row r="121" spans="1:1" x14ac:dyDescent="0.25">
      <c r="A121" t="s">
        <v>387</v>
      </c>
    </row>
    <row r="122" spans="1:1" x14ac:dyDescent="0.25">
      <c r="A122" t="s">
        <v>388</v>
      </c>
    </row>
    <row r="123" spans="1:1" x14ac:dyDescent="0.25">
      <c r="A123" t="s">
        <v>389</v>
      </c>
    </row>
    <row r="124" spans="1:1" x14ac:dyDescent="0.25">
      <c r="A124" t="s">
        <v>390</v>
      </c>
    </row>
    <row r="125" spans="1:1" x14ac:dyDescent="0.25">
      <c r="A125" t="s">
        <v>391</v>
      </c>
    </row>
    <row r="126" spans="1:1" x14ac:dyDescent="0.25">
      <c r="A126" t="s">
        <v>392</v>
      </c>
    </row>
    <row r="127" spans="1:1" x14ac:dyDescent="0.25">
      <c r="A127" t="s">
        <v>393</v>
      </c>
    </row>
    <row r="128" spans="1:1" x14ac:dyDescent="0.25">
      <c r="A128" t="s">
        <v>394</v>
      </c>
    </row>
    <row r="129" spans="1:1" x14ac:dyDescent="0.25">
      <c r="A129" t="s">
        <v>395</v>
      </c>
    </row>
    <row r="130" spans="1:1" x14ac:dyDescent="0.25">
      <c r="A130" t="s">
        <v>396</v>
      </c>
    </row>
    <row r="131" spans="1:1" x14ac:dyDescent="0.25">
      <c r="A131" t="s">
        <v>397</v>
      </c>
    </row>
    <row r="132" spans="1:1" x14ac:dyDescent="0.25">
      <c r="A132" t="s">
        <v>398</v>
      </c>
    </row>
    <row r="133" spans="1:1" x14ac:dyDescent="0.25">
      <c r="A133" t="s">
        <v>399</v>
      </c>
    </row>
    <row r="134" spans="1:1" x14ac:dyDescent="0.25">
      <c r="A134" t="s">
        <v>400</v>
      </c>
    </row>
    <row r="135" spans="1:1" x14ac:dyDescent="0.25">
      <c r="A135" t="s">
        <v>401</v>
      </c>
    </row>
    <row r="136" spans="1:1" x14ac:dyDescent="0.25">
      <c r="A136" t="s">
        <v>402</v>
      </c>
    </row>
    <row r="137" spans="1:1" x14ac:dyDescent="0.25">
      <c r="A137" t="s">
        <v>403</v>
      </c>
    </row>
    <row r="138" spans="1:1" x14ac:dyDescent="0.25">
      <c r="A138" t="s">
        <v>404</v>
      </c>
    </row>
    <row r="139" spans="1:1" x14ac:dyDescent="0.25">
      <c r="A139" t="s">
        <v>405</v>
      </c>
    </row>
    <row r="140" spans="1:1" x14ac:dyDescent="0.25">
      <c r="A140" t="s">
        <v>406</v>
      </c>
    </row>
    <row r="141" spans="1:1" x14ac:dyDescent="0.25">
      <c r="A141" t="s">
        <v>407</v>
      </c>
    </row>
    <row r="142" spans="1:1" x14ac:dyDescent="0.25">
      <c r="A142" t="s">
        <v>408</v>
      </c>
    </row>
    <row r="143" spans="1:1" x14ac:dyDescent="0.25">
      <c r="A143" t="s">
        <v>409</v>
      </c>
    </row>
    <row r="144" spans="1:1" x14ac:dyDescent="0.25">
      <c r="A144" t="s">
        <v>410</v>
      </c>
    </row>
    <row r="145" spans="1:1" x14ac:dyDescent="0.25">
      <c r="A145" t="s">
        <v>411</v>
      </c>
    </row>
    <row r="146" spans="1:1" x14ac:dyDescent="0.25">
      <c r="A146" t="s">
        <v>412</v>
      </c>
    </row>
    <row r="147" spans="1:1" x14ac:dyDescent="0.25">
      <c r="A147" t="s">
        <v>413</v>
      </c>
    </row>
    <row r="148" spans="1:1" x14ac:dyDescent="0.25">
      <c r="A148" t="s">
        <v>414</v>
      </c>
    </row>
    <row r="149" spans="1:1" x14ac:dyDescent="0.25">
      <c r="A149" t="s">
        <v>415</v>
      </c>
    </row>
    <row r="150" spans="1:1" x14ac:dyDescent="0.25">
      <c r="A150" t="s">
        <v>416</v>
      </c>
    </row>
    <row r="151" spans="1:1" x14ac:dyDescent="0.25">
      <c r="A151" t="s">
        <v>417</v>
      </c>
    </row>
    <row r="152" spans="1:1" x14ac:dyDescent="0.25">
      <c r="A152" t="s">
        <v>418</v>
      </c>
    </row>
    <row r="153" spans="1:1" x14ac:dyDescent="0.25">
      <c r="A153" t="s">
        <v>419</v>
      </c>
    </row>
    <row r="154" spans="1:1" x14ac:dyDescent="0.25">
      <c r="A154" t="s">
        <v>420</v>
      </c>
    </row>
    <row r="155" spans="1:1" x14ac:dyDescent="0.25">
      <c r="A155" t="s">
        <v>421</v>
      </c>
    </row>
    <row r="156" spans="1:1" x14ac:dyDescent="0.25">
      <c r="A156" t="s">
        <v>422</v>
      </c>
    </row>
    <row r="157" spans="1:1" x14ac:dyDescent="0.25">
      <c r="A157" t="s">
        <v>423</v>
      </c>
    </row>
    <row r="158" spans="1:1" x14ac:dyDescent="0.25">
      <c r="A158" t="s">
        <v>424</v>
      </c>
    </row>
    <row r="159" spans="1:1" x14ac:dyDescent="0.25">
      <c r="A159" t="s">
        <v>425</v>
      </c>
    </row>
    <row r="160" spans="1:1" x14ac:dyDescent="0.25">
      <c r="A160" t="s">
        <v>426</v>
      </c>
    </row>
    <row r="161" spans="1:1" x14ac:dyDescent="0.25">
      <c r="A161" t="s">
        <v>427</v>
      </c>
    </row>
    <row r="162" spans="1:1" x14ac:dyDescent="0.25">
      <c r="A162" t="s">
        <v>428</v>
      </c>
    </row>
    <row r="163" spans="1:1" x14ac:dyDescent="0.25">
      <c r="A163" t="s">
        <v>429</v>
      </c>
    </row>
    <row r="164" spans="1:1" x14ac:dyDescent="0.25">
      <c r="A164" t="s">
        <v>430</v>
      </c>
    </row>
    <row r="165" spans="1:1" x14ac:dyDescent="0.25">
      <c r="A165" t="s">
        <v>431</v>
      </c>
    </row>
    <row r="166" spans="1:1" x14ac:dyDescent="0.25">
      <c r="A166" t="s">
        <v>432</v>
      </c>
    </row>
    <row r="167" spans="1:1" x14ac:dyDescent="0.25">
      <c r="A167" t="s">
        <v>433</v>
      </c>
    </row>
    <row r="168" spans="1:1" x14ac:dyDescent="0.25">
      <c r="A168" t="s">
        <v>434</v>
      </c>
    </row>
    <row r="169" spans="1:1" x14ac:dyDescent="0.25">
      <c r="A169" t="s">
        <v>435</v>
      </c>
    </row>
    <row r="170" spans="1:1" x14ac:dyDescent="0.25">
      <c r="A170" t="s">
        <v>436</v>
      </c>
    </row>
    <row r="171" spans="1:1" x14ac:dyDescent="0.25">
      <c r="A171" t="s">
        <v>437</v>
      </c>
    </row>
    <row r="172" spans="1:1" x14ac:dyDescent="0.25">
      <c r="A172" t="s">
        <v>438</v>
      </c>
    </row>
    <row r="173" spans="1:1" x14ac:dyDescent="0.25">
      <c r="A173" t="s">
        <v>440</v>
      </c>
    </row>
    <row r="174" spans="1:1" x14ac:dyDescent="0.25">
      <c r="A174" t="s">
        <v>441</v>
      </c>
    </row>
    <row r="175" spans="1:1" x14ac:dyDescent="0.25">
      <c r="A175" t="s">
        <v>442</v>
      </c>
    </row>
    <row r="176" spans="1:1" x14ac:dyDescent="0.25">
      <c r="A176" t="s">
        <v>443</v>
      </c>
    </row>
    <row r="177" spans="1:1" x14ac:dyDescent="0.25">
      <c r="A177" t="s">
        <v>444</v>
      </c>
    </row>
    <row r="178" spans="1:1" x14ac:dyDescent="0.25">
      <c r="A178" t="s">
        <v>445</v>
      </c>
    </row>
    <row r="179" spans="1:1" x14ac:dyDescent="0.25">
      <c r="A179" t="s">
        <v>446</v>
      </c>
    </row>
    <row r="180" spans="1:1" x14ac:dyDescent="0.25">
      <c r="A180" t="s">
        <v>447</v>
      </c>
    </row>
    <row r="181" spans="1:1" x14ac:dyDescent="0.25">
      <c r="A181" t="s">
        <v>448</v>
      </c>
    </row>
    <row r="182" spans="1:1" x14ac:dyDescent="0.25">
      <c r="A182" t="s">
        <v>449</v>
      </c>
    </row>
    <row r="183" spans="1:1" x14ac:dyDescent="0.25">
      <c r="A183" t="s">
        <v>450</v>
      </c>
    </row>
    <row r="184" spans="1:1" x14ac:dyDescent="0.25">
      <c r="A184" t="s">
        <v>451</v>
      </c>
    </row>
    <row r="185" spans="1:1" x14ac:dyDescent="0.25">
      <c r="A185" t="s">
        <v>452</v>
      </c>
    </row>
    <row r="186" spans="1:1" x14ac:dyDescent="0.25">
      <c r="A186" t="s">
        <v>453</v>
      </c>
    </row>
    <row r="187" spans="1:1" x14ac:dyDescent="0.25">
      <c r="A187" t="s">
        <v>454</v>
      </c>
    </row>
    <row r="188" spans="1:1" x14ac:dyDescent="0.25">
      <c r="A188" t="s">
        <v>455</v>
      </c>
    </row>
    <row r="189" spans="1:1" x14ac:dyDescent="0.25">
      <c r="A189" t="s">
        <v>456</v>
      </c>
    </row>
    <row r="190" spans="1:1" x14ac:dyDescent="0.25">
      <c r="A190" t="s">
        <v>457</v>
      </c>
    </row>
    <row r="191" spans="1:1" x14ac:dyDescent="0.25">
      <c r="A191" t="s">
        <v>458</v>
      </c>
    </row>
    <row r="192" spans="1:1" x14ac:dyDescent="0.25">
      <c r="A192" t="s">
        <v>459</v>
      </c>
    </row>
    <row r="193" spans="1:1" x14ac:dyDescent="0.25">
      <c r="A193" t="s">
        <v>460</v>
      </c>
    </row>
    <row r="194" spans="1:1" x14ac:dyDescent="0.25">
      <c r="A194" t="s">
        <v>461</v>
      </c>
    </row>
    <row r="195" spans="1:1" x14ac:dyDescent="0.25">
      <c r="A195" t="s">
        <v>462</v>
      </c>
    </row>
    <row r="196" spans="1:1" x14ac:dyDescent="0.25">
      <c r="A196" t="s">
        <v>463</v>
      </c>
    </row>
    <row r="197" spans="1:1" x14ac:dyDescent="0.25">
      <c r="A197" t="s">
        <v>464</v>
      </c>
    </row>
    <row r="198" spans="1:1" x14ac:dyDescent="0.25">
      <c r="A198" t="s">
        <v>465</v>
      </c>
    </row>
    <row r="199" spans="1:1" x14ac:dyDescent="0.25">
      <c r="A199" t="s">
        <v>466</v>
      </c>
    </row>
    <row r="200" spans="1:1" x14ac:dyDescent="0.25">
      <c r="A200" t="s">
        <v>467</v>
      </c>
    </row>
    <row r="201" spans="1:1" x14ac:dyDescent="0.25">
      <c r="A201" t="s">
        <v>468</v>
      </c>
    </row>
    <row r="202" spans="1:1" x14ac:dyDescent="0.25">
      <c r="A202" t="s">
        <v>469</v>
      </c>
    </row>
    <row r="203" spans="1:1" x14ac:dyDescent="0.25">
      <c r="A203" t="s">
        <v>470</v>
      </c>
    </row>
    <row r="204" spans="1:1" x14ac:dyDescent="0.25">
      <c r="A204" t="s">
        <v>471</v>
      </c>
    </row>
    <row r="205" spans="1:1" x14ac:dyDescent="0.25">
      <c r="A205" t="s">
        <v>472</v>
      </c>
    </row>
    <row r="206" spans="1:1" x14ac:dyDescent="0.25">
      <c r="A206" t="s">
        <v>473</v>
      </c>
    </row>
    <row r="207" spans="1:1" x14ac:dyDescent="0.25">
      <c r="A207" t="s">
        <v>474</v>
      </c>
    </row>
    <row r="208" spans="1:1" x14ac:dyDescent="0.25">
      <c r="A208" t="s">
        <v>475</v>
      </c>
    </row>
    <row r="209" spans="1:1" x14ac:dyDescent="0.25">
      <c r="A209" t="s">
        <v>476</v>
      </c>
    </row>
    <row r="210" spans="1:1" x14ac:dyDescent="0.25">
      <c r="A210" t="s">
        <v>477</v>
      </c>
    </row>
    <row r="211" spans="1:1" x14ac:dyDescent="0.25">
      <c r="A211" t="s">
        <v>478</v>
      </c>
    </row>
    <row r="212" spans="1:1" x14ac:dyDescent="0.25">
      <c r="A212" t="s">
        <v>479</v>
      </c>
    </row>
    <row r="213" spans="1:1" x14ac:dyDescent="0.25">
      <c r="A213" t="s">
        <v>480</v>
      </c>
    </row>
    <row r="214" spans="1:1" x14ac:dyDescent="0.25">
      <c r="A214" t="s">
        <v>481</v>
      </c>
    </row>
    <row r="215" spans="1:1" x14ac:dyDescent="0.25">
      <c r="A215" t="s">
        <v>482</v>
      </c>
    </row>
    <row r="216" spans="1:1" x14ac:dyDescent="0.25">
      <c r="A216" t="s">
        <v>483</v>
      </c>
    </row>
    <row r="217" spans="1:1" x14ac:dyDescent="0.25">
      <c r="A217" t="s">
        <v>484</v>
      </c>
    </row>
    <row r="218" spans="1:1" x14ac:dyDescent="0.25">
      <c r="A218" t="s">
        <v>485</v>
      </c>
    </row>
    <row r="219" spans="1:1" x14ac:dyDescent="0.25">
      <c r="A219" t="s">
        <v>486</v>
      </c>
    </row>
    <row r="220" spans="1:1" x14ac:dyDescent="0.25">
      <c r="A220" t="s">
        <v>487</v>
      </c>
    </row>
    <row r="221" spans="1:1" x14ac:dyDescent="0.25">
      <c r="A221" t="s">
        <v>488</v>
      </c>
    </row>
    <row r="222" spans="1:1" x14ac:dyDescent="0.25">
      <c r="A222" t="s">
        <v>489</v>
      </c>
    </row>
    <row r="223" spans="1:1" x14ac:dyDescent="0.25">
      <c r="A223" t="s">
        <v>490</v>
      </c>
    </row>
    <row r="224" spans="1:1" x14ac:dyDescent="0.25">
      <c r="A224" t="s">
        <v>491</v>
      </c>
    </row>
    <row r="225" spans="1:1" x14ac:dyDescent="0.25">
      <c r="A225" t="s">
        <v>492</v>
      </c>
    </row>
    <row r="226" spans="1:1" x14ac:dyDescent="0.25">
      <c r="A226" t="s">
        <v>493</v>
      </c>
    </row>
    <row r="227" spans="1:1" x14ac:dyDescent="0.25">
      <c r="A227" t="s">
        <v>494</v>
      </c>
    </row>
    <row r="228" spans="1:1" x14ac:dyDescent="0.25">
      <c r="A228" t="s">
        <v>495</v>
      </c>
    </row>
    <row r="229" spans="1:1" x14ac:dyDescent="0.25">
      <c r="A229" t="s">
        <v>496</v>
      </c>
    </row>
    <row r="230" spans="1:1" x14ac:dyDescent="0.25">
      <c r="A230" t="s">
        <v>497</v>
      </c>
    </row>
    <row r="231" spans="1:1" x14ac:dyDescent="0.25">
      <c r="A231" t="s">
        <v>498</v>
      </c>
    </row>
    <row r="232" spans="1:1" x14ac:dyDescent="0.25">
      <c r="A232" t="s">
        <v>499</v>
      </c>
    </row>
    <row r="233" spans="1:1" x14ac:dyDescent="0.25">
      <c r="A233" t="s">
        <v>500</v>
      </c>
    </row>
    <row r="234" spans="1:1" x14ac:dyDescent="0.25">
      <c r="A234" t="s">
        <v>501</v>
      </c>
    </row>
    <row r="235" spans="1:1" x14ac:dyDescent="0.25">
      <c r="A235" t="s">
        <v>502</v>
      </c>
    </row>
    <row r="236" spans="1:1" x14ac:dyDescent="0.25">
      <c r="A236" t="s">
        <v>503</v>
      </c>
    </row>
    <row r="237" spans="1:1" x14ac:dyDescent="0.25">
      <c r="A237" t="s">
        <v>504</v>
      </c>
    </row>
    <row r="238" spans="1:1" x14ac:dyDescent="0.25">
      <c r="A238" t="s">
        <v>505</v>
      </c>
    </row>
    <row r="239" spans="1:1" x14ac:dyDescent="0.25">
      <c r="A239" t="s">
        <v>506</v>
      </c>
    </row>
    <row r="240" spans="1:1" x14ac:dyDescent="0.25">
      <c r="A240" t="s">
        <v>507</v>
      </c>
    </row>
    <row r="241" spans="1:1" x14ac:dyDescent="0.25">
      <c r="A241" t="s">
        <v>508</v>
      </c>
    </row>
    <row r="242" spans="1:1" x14ac:dyDescent="0.25">
      <c r="A242" t="s">
        <v>509</v>
      </c>
    </row>
    <row r="243" spans="1:1" x14ac:dyDescent="0.25">
      <c r="A243" t="s">
        <v>510</v>
      </c>
    </row>
    <row r="244" spans="1:1" x14ac:dyDescent="0.25">
      <c r="A244" t="s">
        <v>511</v>
      </c>
    </row>
    <row r="245" spans="1:1" x14ac:dyDescent="0.25">
      <c r="A245" t="s">
        <v>512</v>
      </c>
    </row>
    <row r="246" spans="1:1" x14ac:dyDescent="0.25">
      <c r="A246" t="s">
        <v>513</v>
      </c>
    </row>
    <row r="247" spans="1:1" x14ac:dyDescent="0.25">
      <c r="A247" t="s">
        <v>514</v>
      </c>
    </row>
    <row r="248" spans="1:1" x14ac:dyDescent="0.25">
      <c r="A248" t="s">
        <v>515</v>
      </c>
    </row>
    <row r="249" spans="1:1" x14ac:dyDescent="0.25">
      <c r="A249" t="s">
        <v>516</v>
      </c>
    </row>
    <row r="250" spans="1:1" x14ac:dyDescent="0.25">
      <c r="A250" t="s">
        <v>517</v>
      </c>
    </row>
    <row r="251" spans="1:1" x14ac:dyDescent="0.25">
      <c r="A251" t="s">
        <v>518</v>
      </c>
    </row>
    <row r="252" spans="1:1" x14ac:dyDescent="0.25">
      <c r="A252" t="s">
        <v>519</v>
      </c>
    </row>
    <row r="253" spans="1:1" x14ac:dyDescent="0.25">
      <c r="A253" t="s">
        <v>520</v>
      </c>
    </row>
    <row r="254" spans="1:1" x14ac:dyDescent="0.25">
      <c r="A254" t="s">
        <v>521</v>
      </c>
    </row>
  </sheetData>
  <autoFilter ref="A1:A254" xr:uid="{00000000-0009-0000-0000-000002000000}"/>
  <dataConsolidate/>
  <customSheetViews>
    <customSheetView guid="{B1221BD8-8E00-46E8-8D60-4A56740AF862}" showAutoFilter="1" state="hidden" topLeftCell="A98">
      <selection activeCell="B37" sqref="B37"/>
      <pageMargins left="0.7" right="0.7" top="0.75" bottom="0.75" header="0.3" footer="0.3"/>
      <autoFilter ref="A1:A254" xr:uid="{E2950190-E1AE-401F-90B3-1C3B7B3F215F}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69"/>
  <sheetViews>
    <sheetView topLeftCell="A40" workbookViewId="0">
      <selection activeCell="B57" sqref="B57"/>
    </sheetView>
  </sheetViews>
  <sheetFormatPr defaultRowHeight="15.75" x14ac:dyDescent="0.25"/>
  <cols>
    <col min="1" max="1" width="44.85546875" style="20" bestFit="1" customWidth="1"/>
  </cols>
  <sheetData>
    <row r="1" spans="1:1" x14ac:dyDescent="0.25">
      <c r="A1" s="4"/>
    </row>
    <row r="2" spans="1:1" x14ac:dyDescent="0.25">
      <c r="A2" s="5" t="s">
        <v>524</v>
      </c>
    </row>
    <row r="3" spans="1:1" x14ac:dyDescent="0.25">
      <c r="A3" s="6" t="s">
        <v>525</v>
      </c>
    </row>
    <row r="4" spans="1:1" x14ac:dyDescent="0.25">
      <c r="A4" s="7" t="s">
        <v>526</v>
      </c>
    </row>
    <row r="5" spans="1:1" x14ac:dyDescent="0.25">
      <c r="A5" s="8" t="s">
        <v>527</v>
      </c>
    </row>
    <row r="6" spans="1:1" x14ac:dyDescent="0.25">
      <c r="A6" s="8" t="s">
        <v>528</v>
      </c>
    </row>
    <row r="7" spans="1:1" x14ac:dyDescent="0.25">
      <c r="A7" s="8" t="s">
        <v>529</v>
      </c>
    </row>
    <row r="8" spans="1:1" x14ac:dyDescent="0.25">
      <c r="A8" s="8" t="s">
        <v>530</v>
      </c>
    </row>
    <row r="9" spans="1:1" x14ac:dyDescent="0.25">
      <c r="A9" s="8" t="s">
        <v>531</v>
      </c>
    </row>
    <row r="10" spans="1:1" x14ac:dyDescent="0.25">
      <c r="A10" s="8" t="s">
        <v>532</v>
      </c>
    </row>
    <row r="11" spans="1:1" x14ac:dyDescent="0.25">
      <c r="A11" s="8" t="s">
        <v>533</v>
      </c>
    </row>
    <row r="12" spans="1:1" x14ac:dyDescent="0.25">
      <c r="A12" s="8" t="s">
        <v>534</v>
      </c>
    </row>
    <row r="13" spans="1:1" x14ac:dyDescent="0.25">
      <c r="A13" s="8" t="s">
        <v>535</v>
      </c>
    </row>
    <row r="14" spans="1:1" x14ac:dyDescent="0.25">
      <c r="A14" s="8" t="s">
        <v>536</v>
      </c>
    </row>
    <row r="15" spans="1:1" x14ac:dyDescent="0.25">
      <c r="A15" s="8" t="s">
        <v>537</v>
      </c>
    </row>
    <row r="16" spans="1:1" x14ac:dyDescent="0.25">
      <c r="A16" s="8" t="s">
        <v>538</v>
      </c>
    </row>
    <row r="17" spans="1:1" x14ac:dyDescent="0.25">
      <c r="A17" s="8" t="s">
        <v>539</v>
      </c>
    </row>
    <row r="18" spans="1:1" x14ac:dyDescent="0.25">
      <c r="A18" s="8" t="s">
        <v>540</v>
      </c>
    </row>
    <row r="19" spans="1:1" x14ac:dyDescent="0.25">
      <c r="A19" s="8" t="s">
        <v>541</v>
      </c>
    </row>
    <row r="20" spans="1:1" x14ac:dyDescent="0.25">
      <c r="A20" s="8" t="s">
        <v>542</v>
      </c>
    </row>
    <row r="21" spans="1:1" x14ac:dyDescent="0.25">
      <c r="A21" s="8" t="s">
        <v>543</v>
      </c>
    </row>
    <row r="22" spans="1:1" x14ac:dyDescent="0.25">
      <c r="A22" s="8" t="s">
        <v>544</v>
      </c>
    </row>
    <row r="23" spans="1:1" x14ac:dyDescent="0.25">
      <c r="A23" s="8" t="s">
        <v>545</v>
      </c>
    </row>
    <row r="24" spans="1:1" x14ac:dyDescent="0.25">
      <c r="A24" s="8" t="s">
        <v>546</v>
      </c>
    </row>
    <row r="25" spans="1:1" x14ac:dyDescent="0.25">
      <c r="A25" s="8" t="s">
        <v>547</v>
      </c>
    </row>
    <row r="26" spans="1:1" x14ac:dyDescent="0.25">
      <c r="A26" s="9" t="s">
        <v>548</v>
      </c>
    </row>
    <row r="27" spans="1:1" x14ac:dyDescent="0.25">
      <c r="A27" s="9" t="s">
        <v>549</v>
      </c>
    </row>
    <row r="28" spans="1:1" x14ac:dyDescent="0.25">
      <c r="A28" s="10" t="s">
        <v>550</v>
      </c>
    </row>
    <row r="29" spans="1:1" x14ac:dyDescent="0.25">
      <c r="A29" s="10" t="s">
        <v>551</v>
      </c>
    </row>
    <row r="30" spans="1:1" x14ac:dyDescent="0.25">
      <c r="A30" s="10" t="s">
        <v>552</v>
      </c>
    </row>
    <row r="31" spans="1:1" x14ac:dyDescent="0.25">
      <c r="A31" s="10" t="s">
        <v>553</v>
      </c>
    </row>
    <row r="32" spans="1:1" x14ac:dyDescent="0.25">
      <c r="A32" s="11" t="s">
        <v>554</v>
      </c>
    </row>
    <row r="33" spans="1:1" x14ac:dyDescent="0.25">
      <c r="A33" s="12" t="s">
        <v>555</v>
      </c>
    </row>
    <row r="34" spans="1:1" x14ac:dyDescent="0.25">
      <c r="A34" s="13" t="s">
        <v>556</v>
      </c>
    </row>
    <row r="35" spans="1:1" x14ac:dyDescent="0.25">
      <c r="A35" s="14" t="s">
        <v>557</v>
      </c>
    </row>
    <row r="36" spans="1:1" x14ac:dyDescent="0.25">
      <c r="A36" s="13" t="s">
        <v>558</v>
      </c>
    </row>
    <row r="37" spans="1:1" x14ac:dyDescent="0.25">
      <c r="A37" s="13" t="s">
        <v>559</v>
      </c>
    </row>
    <row r="38" spans="1:1" x14ac:dyDescent="0.25">
      <c r="A38" s="13" t="s">
        <v>560</v>
      </c>
    </row>
    <row r="39" spans="1:1" x14ac:dyDescent="0.25">
      <c r="A39" s="13" t="s">
        <v>561</v>
      </c>
    </row>
    <row r="40" spans="1:1" x14ac:dyDescent="0.25">
      <c r="A40" s="13" t="s">
        <v>562</v>
      </c>
    </row>
    <row r="41" spans="1:1" x14ac:dyDescent="0.25">
      <c r="A41" s="15" t="s">
        <v>563</v>
      </c>
    </row>
    <row r="42" spans="1:1" x14ac:dyDescent="0.25">
      <c r="A42" s="15" t="s">
        <v>564</v>
      </c>
    </row>
    <row r="43" spans="1:1" x14ac:dyDescent="0.25">
      <c r="A43" s="15" t="s">
        <v>565</v>
      </c>
    </row>
    <row r="44" spans="1:1" x14ac:dyDescent="0.25">
      <c r="A44" s="13" t="s">
        <v>566</v>
      </c>
    </row>
    <row r="45" spans="1:1" x14ac:dyDescent="0.25">
      <c r="A45" s="13" t="s">
        <v>567</v>
      </c>
    </row>
    <row r="46" spans="1:1" x14ac:dyDescent="0.25">
      <c r="A46" s="13" t="s">
        <v>568</v>
      </c>
    </row>
    <row r="47" spans="1:1" x14ac:dyDescent="0.25">
      <c r="A47" s="13" t="s">
        <v>569</v>
      </c>
    </row>
    <row r="48" spans="1:1" x14ac:dyDescent="0.25">
      <c r="A48" s="12" t="s">
        <v>583</v>
      </c>
    </row>
    <row r="49" spans="1:2" x14ac:dyDescent="0.25">
      <c r="A49" s="16" t="s">
        <v>570</v>
      </c>
      <c r="B49" t="s">
        <v>272</v>
      </c>
    </row>
    <row r="50" spans="1:2" ht="15" x14ac:dyDescent="0.25">
      <c r="A50" s="17" t="s">
        <v>571</v>
      </c>
      <c r="B50" t="s">
        <v>289</v>
      </c>
    </row>
    <row r="51" spans="1:2" x14ac:dyDescent="0.25">
      <c r="A51" s="16" t="s">
        <v>572</v>
      </c>
      <c r="B51" t="s">
        <v>308</v>
      </c>
    </row>
    <row r="52" spans="1:2" x14ac:dyDescent="0.25">
      <c r="A52" s="16" t="s">
        <v>573</v>
      </c>
      <c r="B52" t="s">
        <v>309</v>
      </c>
    </row>
    <row r="53" spans="1:2" x14ac:dyDescent="0.25">
      <c r="A53" s="16" t="s">
        <v>574</v>
      </c>
      <c r="B53" t="s">
        <v>616</v>
      </c>
    </row>
    <row r="54" spans="1:2" x14ac:dyDescent="0.25">
      <c r="A54" s="16" t="s">
        <v>384</v>
      </c>
      <c r="B54" t="s">
        <v>332</v>
      </c>
    </row>
    <row r="55" spans="1:2" x14ac:dyDescent="0.25">
      <c r="A55" s="16" t="s">
        <v>575</v>
      </c>
      <c r="B55" t="s">
        <v>271</v>
      </c>
    </row>
    <row r="56" spans="1:2" x14ac:dyDescent="0.25">
      <c r="A56" s="16" t="s">
        <v>576</v>
      </c>
      <c r="B56" t="s">
        <v>316</v>
      </c>
    </row>
    <row r="57" spans="1:2" x14ac:dyDescent="0.25">
      <c r="A57" s="16" t="s">
        <v>382</v>
      </c>
      <c r="B57" t="s">
        <v>617</v>
      </c>
    </row>
    <row r="58" spans="1:2" x14ac:dyDescent="0.25">
      <c r="A58" s="16" t="s">
        <v>381</v>
      </c>
      <c r="B58" t="s">
        <v>618</v>
      </c>
    </row>
    <row r="59" spans="1:2" x14ac:dyDescent="0.25">
      <c r="A59" s="18" t="s">
        <v>577</v>
      </c>
      <c r="B59" t="s">
        <v>619</v>
      </c>
    </row>
    <row r="60" spans="1:2" x14ac:dyDescent="0.25">
      <c r="A60" s="16" t="s">
        <v>578</v>
      </c>
      <c r="B60" t="s">
        <v>345</v>
      </c>
    </row>
    <row r="61" spans="1:2" x14ac:dyDescent="0.25">
      <c r="A61" s="16" t="s">
        <v>579</v>
      </c>
      <c r="B61" t="s">
        <v>620</v>
      </c>
    </row>
    <row r="62" spans="1:2" x14ac:dyDescent="0.25">
      <c r="A62" s="16" t="s">
        <v>580</v>
      </c>
      <c r="B62" t="s">
        <v>322</v>
      </c>
    </row>
    <row r="63" spans="1:2" x14ac:dyDescent="0.25">
      <c r="A63" s="16" t="s">
        <v>581</v>
      </c>
      <c r="B63" t="s">
        <v>395</v>
      </c>
    </row>
    <row r="64" spans="1:2" ht="16.5" thickBot="1" x14ac:dyDescent="0.3">
      <c r="A64" s="19" t="s">
        <v>582</v>
      </c>
      <c r="B64" t="s">
        <v>357</v>
      </c>
    </row>
    <row r="69" spans="1:1" x14ac:dyDescent="0.25">
      <c r="A69" s="20" t="s">
        <v>141</v>
      </c>
    </row>
  </sheetData>
  <customSheetViews>
    <customSheetView guid="{B1221BD8-8E00-46E8-8D60-4A56740AF862}" state="hidden" topLeftCell="A40">
      <selection activeCell="B49" sqref="B49:B6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41"/>
  <sheetViews>
    <sheetView topLeftCell="A19" workbookViewId="0">
      <selection activeCell="B57" sqref="B57"/>
    </sheetView>
  </sheetViews>
  <sheetFormatPr defaultRowHeight="15" x14ac:dyDescent="0.25"/>
  <cols>
    <col min="1" max="1" width="15.42578125" bestFit="1" customWidth="1"/>
    <col min="2" max="2" width="47.7109375" bestFit="1" customWidth="1"/>
  </cols>
  <sheetData>
    <row r="1" spans="1:3" x14ac:dyDescent="0.25">
      <c r="A1" t="s">
        <v>1071</v>
      </c>
      <c r="B1" t="s">
        <v>2</v>
      </c>
      <c r="C1" t="s">
        <v>808</v>
      </c>
    </row>
    <row r="2" spans="1:3" x14ac:dyDescent="0.25">
      <c r="A2">
        <v>3663</v>
      </c>
      <c r="B2" t="s">
        <v>1047</v>
      </c>
      <c r="C2" t="s">
        <v>814</v>
      </c>
    </row>
    <row r="3" spans="1:3" x14ac:dyDescent="0.25">
      <c r="A3" t="s">
        <v>130</v>
      </c>
      <c r="B3" t="s">
        <v>133</v>
      </c>
      <c r="C3" t="s">
        <v>814</v>
      </c>
    </row>
    <row r="4" spans="1:3" x14ac:dyDescent="0.25">
      <c r="A4" t="s">
        <v>130</v>
      </c>
      <c r="B4" t="s">
        <v>1063</v>
      </c>
      <c r="C4" t="s">
        <v>814</v>
      </c>
    </row>
    <row r="5" spans="1:3" x14ac:dyDescent="0.25">
      <c r="A5" t="s">
        <v>1043</v>
      </c>
      <c r="B5" t="s">
        <v>97</v>
      </c>
      <c r="C5" t="s">
        <v>814</v>
      </c>
    </row>
    <row r="6" spans="1:3" x14ac:dyDescent="0.25">
      <c r="A6" t="s">
        <v>1048</v>
      </c>
      <c r="B6" t="s">
        <v>1049</v>
      </c>
      <c r="C6" t="s">
        <v>814</v>
      </c>
    </row>
    <row r="7" spans="1:3" x14ac:dyDescent="0.25">
      <c r="A7" t="s">
        <v>1060</v>
      </c>
      <c r="B7" t="s">
        <v>135</v>
      </c>
      <c r="C7" t="s">
        <v>814</v>
      </c>
    </row>
    <row r="8" spans="1:3" x14ac:dyDescent="0.25">
      <c r="A8" t="s">
        <v>1060</v>
      </c>
      <c r="B8" t="s">
        <v>839</v>
      </c>
      <c r="C8" t="s">
        <v>814</v>
      </c>
    </row>
    <row r="9" spans="1:3" x14ac:dyDescent="0.25">
      <c r="A9" t="s">
        <v>1032</v>
      </c>
      <c r="B9" t="s">
        <v>1033</v>
      </c>
      <c r="C9" t="s">
        <v>814</v>
      </c>
    </row>
    <row r="10" spans="1:3" x14ac:dyDescent="0.25">
      <c r="A10" t="s">
        <v>1032</v>
      </c>
      <c r="B10" t="s">
        <v>1034</v>
      </c>
      <c r="C10" t="s">
        <v>814</v>
      </c>
    </row>
    <row r="11" spans="1:3" x14ac:dyDescent="0.25">
      <c r="A11" t="s">
        <v>1032</v>
      </c>
      <c r="B11" t="s">
        <v>1035</v>
      </c>
      <c r="C11" t="s">
        <v>814</v>
      </c>
    </row>
    <row r="12" spans="1:3" x14ac:dyDescent="0.25">
      <c r="A12" t="s">
        <v>1032</v>
      </c>
      <c r="B12" t="s">
        <v>1036</v>
      </c>
      <c r="C12" t="s">
        <v>814</v>
      </c>
    </row>
    <row r="13" spans="1:3" x14ac:dyDescent="0.25">
      <c r="A13" t="s">
        <v>1032</v>
      </c>
      <c r="B13" t="s">
        <v>608</v>
      </c>
      <c r="C13" t="s">
        <v>814</v>
      </c>
    </row>
    <row r="14" spans="1:3" x14ac:dyDescent="0.25">
      <c r="A14" t="s">
        <v>1032</v>
      </c>
      <c r="B14" t="s">
        <v>1039</v>
      </c>
      <c r="C14" t="s">
        <v>814</v>
      </c>
    </row>
    <row r="15" spans="1:3" x14ac:dyDescent="0.25">
      <c r="A15" t="s">
        <v>1032</v>
      </c>
      <c r="B15" t="s">
        <v>1040</v>
      </c>
      <c r="C15" t="s">
        <v>814</v>
      </c>
    </row>
    <row r="16" spans="1:3" x14ac:dyDescent="0.25">
      <c r="A16" t="s">
        <v>1032</v>
      </c>
      <c r="B16" t="s">
        <v>1041</v>
      </c>
      <c r="C16" t="s">
        <v>814</v>
      </c>
    </row>
    <row r="17" spans="1:3" x14ac:dyDescent="0.25">
      <c r="A17" t="s">
        <v>1032</v>
      </c>
      <c r="B17" t="s">
        <v>1042</v>
      </c>
      <c r="C17" t="s">
        <v>814</v>
      </c>
    </row>
    <row r="18" spans="1:3" x14ac:dyDescent="0.25">
      <c r="A18" t="s">
        <v>1032</v>
      </c>
      <c r="B18" t="s">
        <v>1046</v>
      </c>
      <c r="C18" t="s">
        <v>814</v>
      </c>
    </row>
    <row r="19" spans="1:3" x14ac:dyDescent="0.25">
      <c r="A19" t="s">
        <v>1032</v>
      </c>
      <c r="B19" t="s">
        <v>1050</v>
      </c>
      <c r="C19" t="s">
        <v>814</v>
      </c>
    </row>
    <row r="20" spans="1:3" x14ac:dyDescent="0.25">
      <c r="A20" t="s">
        <v>1032</v>
      </c>
      <c r="B20" t="s">
        <v>1051</v>
      </c>
      <c r="C20" t="s">
        <v>814</v>
      </c>
    </row>
    <row r="21" spans="1:3" x14ac:dyDescent="0.25">
      <c r="A21" t="s">
        <v>1032</v>
      </c>
      <c r="B21" t="s">
        <v>1052</v>
      </c>
      <c r="C21" t="s">
        <v>814</v>
      </c>
    </row>
    <row r="22" spans="1:3" x14ac:dyDescent="0.25">
      <c r="A22" t="s">
        <v>1044</v>
      </c>
      <c r="B22" t="s">
        <v>1045</v>
      </c>
      <c r="C22" t="s">
        <v>814</v>
      </c>
    </row>
    <row r="23" spans="1:3" x14ac:dyDescent="0.25">
      <c r="A23" t="s">
        <v>1037</v>
      </c>
      <c r="B23" t="s">
        <v>1038</v>
      </c>
      <c r="C23" t="s">
        <v>814</v>
      </c>
    </row>
    <row r="24" spans="1:3" x14ac:dyDescent="0.25">
      <c r="A24" t="s">
        <v>1026</v>
      </c>
      <c r="B24" t="s">
        <v>1027</v>
      </c>
      <c r="C24" t="s">
        <v>814</v>
      </c>
    </row>
    <row r="25" spans="1:3" x14ac:dyDescent="0.25">
      <c r="A25" t="s">
        <v>1026</v>
      </c>
      <c r="B25" t="s">
        <v>1028</v>
      </c>
      <c r="C25" t="s">
        <v>814</v>
      </c>
    </row>
    <row r="26" spans="1:3" x14ac:dyDescent="0.25">
      <c r="A26" t="s">
        <v>1026</v>
      </c>
      <c r="B26" t="s">
        <v>1029</v>
      </c>
      <c r="C26" t="s">
        <v>814</v>
      </c>
    </row>
    <row r="27" spans="1:3" x14ac:dyDescent="0.25">
      <c r="A27" t="s">
        <v>1026</v>
      </c>
      <c r="B27" t="s">
        <v>1030</v>
      </c>
      <c r="C27" t="s">
        <v>814</v>
      </c>
    </row>
    <row r="28" spans="1:3" x14ac:dyDescent="0.25">
      <c r="A28" t="s">
        <v>1026</v>
      </c>
      <c r="B28" t="s">
        <v>1031</v>
      </c>
      <c r="C28" t="s">
        <v>814</v>
      </c>
    </row>
    <row r="29" spans="1:3" x14ac:dyDescent="0.25">
      <c r="A29" t="s">
        <v>1061</v>
      </c>
      <c r="B29" t="s">
        <v>134</v>
      </c>
      <c r="C29" t="s">
        <v>814</v>
      </c>
    </row>
    <row r="30" spans="1:3" x14ac:dyDescent="0.25">
      <c r="A30" t="s">
        <v>1062</v>
      </c>
      <c r="B30" t="s">
        <v>132</v>
      </c>
      <c r="C30" t="s">
        <v>814</v>
      </c>
    </row>
    <row r="31" spans="1:3" x14ac:dyDescent="0.25">
      <c r="A31" t="s">
        <v>1064</v>
      </c>
      <c r="B31" t="s">
        <v>1065</v>
      </c>
      <c r="C31" t="s">
        <v>814</v>
      </c>
    </row>
    <row r="32" spans="1:3" x14ac:dyDescent="0.25">
      <c r="A32" t="s">
        <v>1064</v>
      </c>
      <c r="B32" t="s">
        <v>1066</v>
      </c>
      <c r="C32" t="s">
        <v>814</v>
      </c>
    </row>
    <row r="33" spans="1:3" x14ac:dyDescent="0.25">
      <c r="A33" t="s">
        <v>1067</v>
      </c>
      <c r="B33" t="s">
        <v>1068</v>
      </c>
      <c r="C33" t="s">
        <v>814</v>
      </c>
    </row>
    <row r="34" spans="1:3" x14ac:dyDescent="0.25">
      <c r="A34" t="s">
        <v>1067</v>
      </c>
      <c r="B34" t="s">
        <v>1069</v>
      </c>
      <c r="C34" t="s">
        <v>814</v>
      </c>
    </row>
    <row r="35" spans="1:3" x14ac:dyDescent="0.25">
      <c r="A35" t="s">
        <v>1067</v>
      </c>
      <c r="B35" t="s">
        <v>1070</v>
      </c>
      <c r="C35" t="s">
        <v>814</v>
      </c>
    </row>
    <row r="36" spans="1:3" x14ac:dyDescent="0.25">
      <c r="A36" t="s">
        <v>1053</v>
      </c>
      <c r="B36" t="s">
        <v>1054</v>
      </c>
      <c r="C36" t="s">
        <v>814</v>
      </c>
    </row>
    <row r="37" spans="1:3" x14ac:dyDescent="0.25">
      <c r="A37" t="s">
        <v>1053</v>
      </c>
      <c r="B37" t="s">
        <v>1055</v>
      </c>
      <c r="C37" t="s">
        <v>814</v>
      </c>
    </row>
    <row r="38" spans="1:3" x14ac:dyDescent="0.25">
      <c r="A38" t="s">
        <v>1053</v>
      </c>
      <c r="B38" t="s">
        <v>1056</v>
      </c>
      <c r="C38" t="s">
        <v>814</v>
      </c>
    </row>
    <row r="39" spans="1:3" x14ac:dyDescent="0.25">
      <c r="A39" t="s">
        <v>1053</v>
      </c>
      <c r="B39" t="s">
        <v>1057</v>
      </c>
      <c r="C39" t="s">
        <v>814</v>
      </c>
    </row>
    <row r="40" spans="1:3" x14ac:dyDescent="0.25">
      <c r="A40" t="s">
        <v>1053</v>
      </c>
      <c r="B40" t="s">
        <v>1058</v>
      </c>
      <c r="C40" t="s">
        <v>814</v>
      </c>
    </row>
    <row r="41" spans="1:3" x14ac:dyDescent="0.25">
      <c r="A41" t="s">
        <v>1053</v>
      </c>
      <c r="B41" t="s">
        <v>1059</v>
      </c>
      <c r="C41" t="s">
        <v>814</v>
      </c>
    </row>
  </sheetData>
  <sortState xmlns:xlrd2="http://schemas.microsoft.com/office/spreadsheetml/2017/richdata2" ref="A2:C44">
    <sortCondition ref="A2:A44"/>
  </sortState>
  <customSheetViews>
    <customSheetView guid="{B1221BD8-8E00-46E8-8D60-4A56740AF862}" topLeftCell="A19">
      <selection activeCell="B57" sqref="B57"/>
      <pageMargins left="0.7" right="0.7" top="0.75" bottom="0.75" header="0.3" footer="0.3"/>
      <pageSetup paperSize="9" orientation="portrait" r:id="rId1"/>
    </customSheetView>
  </customSheetView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Z734"/>
  <sheetViews>
    <sheetView tabSelected="1" zoomScale="89" zoomScaleNormal="89" workbookViewId="0">
      <pane ySplit="2" topLeftCell="A714" activePane="bottomLeft" state="frozen"/>
      <selection activeCell="E1" sqref="E1"/>
      <selection pane="bottomLeft" activeCell="B733" sqref="B733"/>
    </sheetView>
  </sheetViews>
  <sheetFormatPr defaultColWidth="9.140625" defaultRowHeight="15" x14ac:dyDescent="0.25"/>
  <cols>
    <col min="1" max="1" width="4.42578125" style="56" bestFit="1" customWidth="1"/>
    <col min="2" max="2" width="18.140625" style="61" bestFit="1" customWidth="1"/>
    <col min="3" max="3" width="16.7109375" style="56" bestFit="1" customWidth="1"/>
    <col min="4" max="4" width="71.42578125" style="56" bestFit="1" customWidth="1"/>
    <col min="5" max="5" width="15.7109375" style="56" bestFit="1" customWidth="1"/>
    <col min="6" max="6" width="23.85546875" style="56" bestFit="1" customWidth="1"/>
    <col min="7" max="7" width="13.42578125" style="56" bestFit="1" customWidth="1"/>
    <col min="8" max="8" width="12" style="56" bestFit="1" customWidth="1"/>
    <col min="9" max="9" width="11" style="56" bestFit="1" customWidth="1"/>
    <col min="10" max="10" width="13.42578125" style="56" bestFit="1" customWidth="1"/>
    <col min="11" max="11" width="49.28515625" style="56" bestFit="1" customWidth="1"/>
    <col min="12" max="12" width="7.7109375" style="58" bestFit="1" customWidth="1"/>
    <col min="13" max="13" width="9.7109375" style="59" customWidth="1"/>
    <col min="14" max="14" width="7.5703125" style="60" customWidth="1"/>
    <col min="15" max="15" width="10.28515625" style="56" customWidth="1"/>
    <col min="16" max="16" width="60.28515625" style="61" bestFit="1" customWidth="1"/>
    <col min="17" max="22" width="8.42578125" style="60" customWidth="1"/>
    <col min="23" max="23" width="14.5703125" style="60" customWidth="1"/>
    <col min="24" max="24" width="35.140625" style="60" customWidth="1"/>
    <col min="25" max="26" width="14.5703125" style="60" customWidth="1"/>
    <col min="27" max="16384" width="9.140625" style="56"/>
  </cols>
  <sheetData>
    <row r="1" spans="1:26" ht="28.5" x14ac:dyDescent="0.45">
      <c r="B1" s="56"/>
      <c r="K1" s="57" t="s">
        <v>1006</v>
      </c>
    </row>
    <row r="2" spans="1:26" s="67" customFormat="1" ht="75" x14ac:dyDescent="0.25">
      <c r="A2" s="50" t="s">
        <v>0</v>
      </c>
      <c r="B2" s="62" t="s">
        <v>3</v>
      </c>
      <c r="C2" s="63" t="s">
        <v>884</v>
      </c>
      <c r="D2" s="63" t="s">
        <v>818</v>
      </c>
      <c r="E2" s="63" t="s">
        <v>1</v>
      </c>
      <c r="F2" s="63" t="s">
        <v>143</v>
      </c>
      <c r="G2" s="63" t="s">
        <v>887</v>
      </c>
      <c r="H2" s="63" t="s">
        <v>937</v>
      </c>
      <c r="I2" s="63" t="s">
        <v>938</v>
      </c>
      <c r="J2" s="63" t="s">
        <v>142</v>
      </c>
      <c r="K2" s="63" t="s">
        <v>2</v>
      </c>
      <c r="L2" s="64" t="s">
        <v>798</v>
      </c>
      <c r="M2" s="64" t="s">
        <v>978</v>
      </c>
      <c r="N2" s="50" t="s">
        <v>808</v>
      </c>
      <c r="O2" s="65" t="s">
        <v>816</v>
      </c>
      <c r="P2" s="66" t="s">
        <v>1320</v>
      </c>
      <c r="Q2" s="62" t="s">
        <v>1316</v>
      </c>
      <c r="R2" s="62" t="s">
        <v>1317</v>
      </c>
      <c r="S2" s="62" t="s">
        <v>1318</v>
      </c>
      <c r="T2" s="62" t="s">
        <v>1319</v>
      </c>
      <c r="U2" s="62" t="s">
        <v>1315</v>
      </c>
      <c r="V2" s="62" t="s">
        <v>1336</v>
      </c>
      <c r="W2" s="62" t="s">
        <v>1434</v>
      </c>
      <c r="X2" s="62" t="s">
        <v>1478</v>
      </c>
      <c r="Y2" s="62" t="s">
        <v>1479</v>
      </c>
      <c r="Z2" s="62" t="s">
        <v>1958</v>
      </c>
    </row>
    <row r="3" spans="1:26" ht="15" customHeight="1" x14ac:dyDescent="0.25">
      <c r="A3" s="68">
        <v>4</v>
      </c>
      <c r="B3" s="69" t="s">
        <v>182</v>
      </c>
      <c r="C3" s="68" t="s">
        <v>981</v>
      </c>
      <c r="D3" s="68" t="s">
        <v>825</v>
      </c>
      <c r="E3" s="68" t="s">
        <v>885</v>
      </c>
      <c r="F3" s="68" t="s">
        <v>4</v>
      </c>
      <c r="G3" s="68" t="s">
        <v>6</v>
      </c>
      <c r="H3" s="68" t="s">
        <v>888</v>
      </c>
      <c r="I3" s="68">
        <v>1003</v>
      </c>
      <c r="J3" s="68" t="s">
        <v>713</v>
      </c>
      <c r="K3" s="68" t="s">
        <v>5</v>
      </c>
      <c r="L3" s="70">
        <v>120</v>
      </c>
      <c r="M3" s="71" t="s">
        <v>979</v>
      </c>
      <c r="N3" s="72" t="s">
        <v>814</v>
      </c>
      <c r="O3" s="68">
        <v>320</v>
      </c>
      <c r="P3" s="69" t="str">
        <f t="shared" ref="P3:P34" si="0">K3&amp;" - "&amp; C3</f>
        <v>Chicken Tikka Samosa XL (Jumbo) 120G - GFF038R</v>
      </c>
      <c r="Q3" s="72">
        <v>30</v>
      </c>
      <c r="R3" s="72">
        <f>($Q3/5)*4</f>
        <v>24</v>
      </c>
      <c r="S3" s="72">
        <f>($Q3/5)*3</f>
        <v>18</v>
      </c>
      <c r="T3" s="72">
        <f>($Q3/5)*2</f>
        <v>12</v>
      </c>
      <c r="U3" s="72">
        <f>($Q3/5)*1</f>
        <v>6</v>
      </c>
      <c r="V3" s="72">
        <v>3</v>
      </c>
      <c r="W3" s="72" t="s">
        <v>1435</v>
      </c>
      <c r="X3" s="72" t="s">
        <v>1499</v>
      </c>
      <c r="Y3" s="72">
        <v>3</v>
      </c>
      <c r="Z3" s="72"/>
    </row>
    <row r="4" spans="1:26" ht="15" customHeight="1" x14ac:dyDescent="0.25">
      <c r="A4" s="68">
        <v>5</v>
      </c>
      <c r="B4" s="69" t="s">
        <v>182</v>
      </c>
      <c r="C4" s="68" t="s">
        <v>894</v>
      </c>
      <c r="D4" s="68" t="s">
        <v>825</v>
      </c>
      <c r="E4" s="68" t="s">
        <v>885</v>
      </c>
      <c r="F4" s="68" t="s">
        <v>4</v>
      </c>
      <c r="G4" s="68" t="s">
        <v>6</v>
      </c>
      <c r="H4" s="68" t="s">
        <v>888</v>
      </c>
      <c r="I4" s="68">
        <v>1004</v>
      </c>
      <c r="J4" s="68" t="s">
        <v>714</v>
      </c>
      <c r="K4" s="68" t="s">
        <v>7</v>
      </c>
      <c r="L4" s="70">
        <v>100</v>
      </c>
      <c r="M4" s="71" t="s">
        <v>979</v>
      </c>
      <c r="N4" s="72" t="s">
        <v>814</v>
      </c>
      <c r="O4" s="68">
        <v>3100</v>
      </c>
      <c r="P4" s="69" t="str">
        <f t="shared" si="0"/>
        <v>Chicken Tikka Samosa Large 100G - GFF004R</v>
      </c>
      <c r="Q4" s="72">
        <v>25</v>
      </c>
      <c r="R4" s="72">
        <f>($Q4/5)*4</f>
        <v>20</v>
      </c>
      <c r="S4" s="72">
        <f>($Q4/5)*3</f>
        <v>15</v>
      </c>
      <c r="T4" s="72">
        <f>($Q4/5)*2</f>
        <v>10</v>
      </c>
      <c r="U4" s="72">
        <f>($Q4/5)*1</f>
        <v>5</v>
      </c>
      <c r="V4" s="72">
        <v>3</v>
      </c>
      <c r="W4" s="72" t="s">
        <v>1435</v>
      </c>
      <c r="X4" s="72" t="s">
        <v>1499</v>
      </c>
      <c r="Y4" s="72">
        <v>3</v>
      </c>
      <c r="Z4" s="72"/>
    </row>
    <row r="5" spans="1:26" ht="15" customHeight="1" x14ac:dyDescent="0.25">
      <c r="A5" s="68">
        <v>6</v>
      </c>
      <c r="B5" s="69" t="s">
        <v>182</v>
      </c>
      <c r="C5" s="68" t="s">
        <v>894</v>
      </c>
      <c r="D5" s="68" t="s">
        <v>825</v>
      </c>
      <c r="E5" s="68" t="s">
        <v>885</v>
      </c>
      <c r="F5" s="68" t="s">
        <v>4</v>
      </c>
      <c r="G5" s="68" t="s">
        <v>6</v>
      </c>
      <c r="H5" s="68" t="s">
        <v>888</v>
      </c>
      <c r="I5" s="68">
        <v>1005</v>
      </c>
      <c r="J5" s="68" t="s">
        <v>715</v>
      </c>
      <c r="K5" s="68" t="s">
        <v>8</v>
      </c>
      <c r="L5" s="70">
        <v>100</v>
      </c>
      <c r="M5" s="71" t="s">
        <v>979</v>
      </c>
      <c r="N5" s="72" t="s">
        <v>809</v>
      </c>
      <c r="O5" s="68">
        <v>600</v>
      </c>
      <c r="P5" s="69" t="str">
        <f t="shared" si="0"/>
        <v>Chicken Tikka Samosa Large 100G Seeded - GFF004R</v>
      </c>
      <c r="Q5" s="72">
        <v>15.5</v>
      </c>
      <c r="R5" s="72">
        <f t="shared" ref="R5:R25" si="1">($Q5/5)*4</f>
        <v>12.4</v>
      </c>
      <c r="S5" s="72">
        <f t="shared" ref="S5:S25" si="2">($Q5/5)*3</f>
        <v>9.3000000000000007</v>
      </c>
      <c r="T5" s="72">
        <f t="shared" ref="T5:T25" si="3">($Q5/5)*2</f>
        <v>6.2</v>
      </c>
      <c r="U5" s="72">
        <f t="shared" ref="U5:U25" si="4">($Q5/5)*1</f>
        <v>3.1</v>
      </c>
      <c r="V5" s="72">
        <v>4</v>
      </c>
      <c r="W5" s="72" t="s">
        <v>1435</v>
      </c>
      <c r="X5" s="72" t="s">
        <v>1499</v>
      </c>
      <c r="Y5" s="72">
        <v>3</v>
      </c>
      <c r="Z5" s="72"/>
    </row>
    <row r="6" spans="1:26" ht="15" customHeight="1" x14ac:dyDescent="0.25">
      <c r="A6" s="68">
        <v>7</v>
      </c>
      <c r="B6" s="69" t="s">
        <v>182</v>
      </c>
      <c r="C6" s="68" t="s">
        <v>894</v>
      </c>
      <c r="D6" s="68" t="s">
        <v>825</v>
      </c>
      <c r="E6" s="68" t="s">
        <v>885</v>
      </c>
      <c r="F6" s="68" t="s">
        <v>4</v>
      </c>
      <c r="G6" s="68" t="s">
        <v>6</v>
      </c>
      <c r="H6" s="68" t="s">
        <v>888</v>
      </c>
      <c r="I6" s="68">
        <v>1006</v>
      </c>
      <c r="J6" s="68" t="s">
        <v>716</v>
      </c>
      <c r="K6" s="68" t="s">
        <v>1190</v>
      </c>
      <c r="L6" s="70">
        <v>75</v>
      </c>
      <c r="M6" s="71" t="s">
        <v>979</v>
      </c>
      <c r="N6" s="72" t="s">
        <v>814</v>
      </c>
      <c r="O6" s="68">
        <v>4700</v>
      </c>
      <c r="P6" s="69" t="str">
        <f t="shared" si="0"/>
        <v>Chicken Tikka Samosa Large 75G - GFF004R</v>
      </c>
      <c r="Q6" s="72">
        <v>32</v>
      </c>
      <c r="R6" s="72">
        <f t="shared" si="1"/>
        <v>25.6</v>
      </c>
      <c r="S6" s="72">
        <f t="shared" si="2"/>
        <v>19.200000000000003</v>
      </c>
      <c r="T6" s="72">
        <f t="shared" si="3"/>
        <v>12.8</v>
      </c>
      <c r="U6" s="72">
        <f t="shared" si="4"/>
        <v>6.4</v>
      </c>
      <c r="V6" s="72">
        <v>4</v>
      </c>
      <c r="W6" s="72" t="s">
        <v>1435</v>
      </c>
      <c r="X6" s="72" t="s">
        <v>1499</v>
      </c>
      <c r="Y6" s="72">
        <v>3</v>
      </c>
      <c r="Z6" s="72"/>
    </row>
    <row r="7" spans="1:26" ht="15" customHeight="1" x14ac:dyDescent="0.25">
      <c r="A7" s="68">
        <v>8</v>
      </c>
      <c r="B7" s="69" t="s">
        <v>182</v>
      </c>
      <c r="C7" s="68" t="s">
        <v>894</v>
      </c>
      <c r="D7" s="68" t="s">
        <v>825</v>
      </c>
      <c r="E7" s="68" t="s">
        <v>885</v>
      </c>
      <c r="F7" s="68" t="s">
        <v>4</v>
      </c>
      <c r="G7" s="68" t="s">
        <v>6</v>
      </c>
      <c r="H7" s="68" t="s">
        <v>888</v>
      </c>
      <c r="I7" s="68">
        <v>1007</v>
      </c>
      <c r="J7" s="68" t="s">
        <v>717</v>
      </c>
      <c r="K7" s="68" t="s">
        <v>10</v>
      </c>
      <c r="L7" s="70">
        <v>40</v>
      </c>
      <c r="M7" s="71" t="s">
        <v>979</v>
      </c>
      <c r="N7" s="72" t="s">
        <v>814</v>
      </c>
      <c r="O7" s="68">
        <v>9250</v>
      </c>
      <c r="P7" s="69" t="str">
        <f t="shared" si="0"/>
        <v>Chicken Tikka Samosa Cocktail 40G - GFF004R</v>
      </c>
      <c r="Q7" s="72">
        <v>40</v>
      </c>
      <c r="R7" s="72">
        <f t="shared" si="1"/>
        <v>32</v>
      </c>
      <c r="S7" s="72">
        <f t="shared" si="2"/>
        <v>24</v>
      </c>
      <c r="T7" s="72">
        <f t="shared" si="3"/>
        <v>16</v>
      </c>
      <c r="U7" s="72">
        <f t="shared" si="4"/>
        <v>8</v>
      </c>
      <c r="V7" s="72">
        <v>8</v>
      </c>
      <c r="W7" s="72" t="s">
        <v>1435</v>
      </c>
      <c r="X7" s="72" t="s">
        <v>1499</v>
      </c>
      <c r="Y7" s="72">
        <v>3</v>
      </c>
      <c r="Z7" s="72"/>
    </row>
    <row r="8" spans="1:26" ht="15" customHeight="1" x14ac:dyDescent="0.25">
      <c r="A8" s="68">
        <v>9</v>
      </c>
      <c r="B8" s="69" t="s">
        <v>182</v>
      </c>
      <c r="C8" s="68" t="s">
        <v>894</v>
      </c>
      <c r="D8" s="68" t="s">
        <v>825</v>
      </c>
      <c r="E8" s="68" t="s">
        <v>885</v>
      </c>
      <c r="F8" s="68" t="s">
        <v>4</v>
      </c>
      <c r="G8" s="68" t="s">
        <v>6</v>
      </c>
      <c r="H8" s="68" t="s">
        <v>888</v>
      </c>
      <c r="I8" s="68">
        <v>1008</v>
      </c>
      <c r="J8" s="68" t="s">
        <v>718</v>
      </c>
      <c r="K8" s="68" t="s">
        <v>11</v>
      </c>
      <c r="L8" s="70">
        <v>25</v>
      </c>
      <c r="M8" s="71" t="s">
        <v>979</v>
      </c>
      <c r="N8" s="72" t="s">
        <v>814</v>
      </c>
      <c r="O8" s="68">
        <v>16500</v>
      </c>
      <c r="P8" s="69" t="str">
        <f t="shared" si="0"/>
        <v>Chicken Tikka Samosa Cocktail 25G - GFF004R</v>
      </c>
      <c r="Q8" s="72">
        <v>42.5</v>
      </c>
      <c r="R8" s="72">
        <f t="shared" si="1"/>
        <v>34</v>
      </c>
      <c r="S8" s="72">
        <f t="shared" si="2"/>
        <v>25.5</v>
      </c>
      <c r="T8" s="72">
        <f t="shared" si="3"/>
        <v>17</v>
      </c>
      <c r="U8" s="72">
        <f t="shared" si="4"/>
        <v>8.5</v>
      </c>
      <c r="V8" s="72">
        <v>8</v>
      </c>
      <c r="W8" s="72" t="s">
        <v>1435</v>
      </c>
      <c r="X8" s="72" t="s">
        <v>1499</v>
      </c>
      <c r="Y8" s="72">
        <v>3</v>
      </c>
      <c r="Z8" s="72"/>
    </row>
    <row r="9" spans="1:26" ht="15" customHeight="1" x14ac:dyDescent="0.25">
      <c r="A9" s="68">
        <v>10</v>
      </c>
      <c r="B9" s="69" t="s">
        <v>182</v>
      </c>
      <c r="C9" s="68" t="s">
        <v>893</v>
      </c>
      <c r="D9" s="68" t="s">
        <v>826</v>
      </c>
      <c r="E9" s="68" t="s">
        <v>885</v>
      </c>
      <c r="F9" s="68" t="s">
        <v>4</v>
      </c>
      <c r="G9" s="68" t="s">
        <v>6</v>
      </c>
      <c r="H9" s="68" t="s">
        <v>888</v>
      </c>
      <c r="I9" s="68">
        <v>1009</v>
      </c>
      <c r="J9" s="68" t="s">
        <v>719</v>
      </c>
      <c r="K9" s="68" t="s">
        <v>12</v>
      </c>
      <c r="L9" s="70">
        <v>120</v>
      </c>
      <c r="M9" s="71" t="s">
        <v>979</v>
      </c>
      <c r="N9" s="72" t="s">
        <v>809</v>
      </c>
      <c r="O9" s="68">
        <v>225</v>
      </c>
      <c r="P9" s="69" t="str">
        <f t="shared" si="0"/>
        <v>Jerk Chicken Samosa Large 120G - GFF106R</v>
      </c>
      <c r="Q9" s="72">
        <v>10</v>
      </c>
      <c r="R9" s="72">
        <f t="shared" si="1"/>
        <v>8</v>
      </c>
      <c r="S9" s="72">
        <f t="shared" si="2"/>
        <v>6</v>
      </c>
      <c r="T9" s="72">
        <f t="shared" si="3"/>
        <v>4</v>
      </c>
      <c r="U9" s="72">
        <f t="shared" si="4"/>
        <v>2</v>
      </c>
      <c r="V9" s="72">
        <v>3</v>
      </c>
      <c r="W9" s="72" t="s">
        <v>1435</v>
      </c>
      <c r="X9" s="72" t="s">
        <v>982</v>
      </c>
      <c r="Y9" s="72" t="s">
        <v>982</v>
      </c>
      <c r="Z9" s="72"/>
    </row>
    <row r="10" spans="1:26" ht="15" customHeight="1" x14ac:dyDescent="0.25">
      <c r="A10" s="68">
        <v>11</v>
      </c>
      <c r="B10" s="69" t="s">
        <v>182</v>
      </c>
      <c r="C10" s="68" t="s">
        <v>890</v>
      </c>
      <c r="D10" s="68" t="s">
        <v>819</v>
      </c>
      <c r="E10" s="68" t="s">
        <v>885</v>
      </c>
      <c r="F10" s="68" t="s">
        <v>13</v>
      </c>
      <c r="G10" s="68" t="s">
        <v>6</v>
      </c>
      <c r="H10" s="68" t="s">
        <v>888</v>
      </c>
      <c r="I10" s="68">
        <v>1010</v>
      </c>
      <c r="J10" s="68" t="s">
        <v>720</v>
      </c>
      <c r="K10" s="68" t="s">
        <v>14</v>
      </c>
      <c r="L10" s="70">
        <v>100</v>
      </c>
      <c r="M10" s="71" t="s">
        <v>980</v>
      </c>
      <c r="N10" s="72" t="s">
        <v>814</v>
      </c>
      <c r="O10" s="68">
        <v>2320</v>
      </c>
      <c r="P10" s="69" t="str">
        <f t="shared" si="0"/>
        <v>Vegetable Samosa Large 100G - GFF003R</v>
      </c>
      <c r="Q10" s="72">
        <v>27</v>
      </c>
      <c r="R10" s="72">
        <f>($Q10/5)*4</f>
        <v>21.6</v>
      </c>
      <c r="S10" s="72">
        <f>($Q10/5)*3</f>
        <v>16.200000000000003</v>
      </c>
      <c r="T10" s="72">
        <f>($Q10/5)*2</f>
        <v>10.8</v>
      </c>
      <c r="U10" s="72">
        <f>($Q10/5)*1</f>
        <v>5.4</v>
      </c>
      <c r="V10" s="72">
        <v>4</v>
      </c>
      <c r="W10" s="72" t="s">
        <v>1435</v>
      </c>
      <c r="X10" s="72" t="s">
        <v>1501</v>
      </c>
      <c r="Y10" s="72">
        <v>3</v>
      </c>
      <c r="Z10" s="72"/>
    </row>
    <row r="11" spans="1:26" ht="15" customHeight="1" x14ac:dyDescent="0.25">
      <c r="A11" s="68">
        <v>12</v>
      </c>
      <c r="B11" s="69" t="s">
        <v>182</v>
      </c>
      <c r="C11" s="68" t="s">
        <v>890</v>
      </c>
      <c r="D11" s="68" t="s">
        <v>819</v>
      </c>
      <c r="E11" s="68" t="s">
        <v>885</v>
      </c>
      <c r="F11" s="68" t="s">
        <v>13</v>
      </c>
      <c r="G11" s="68" t="s">
        <v>6</v>
      </c>
      <c r="H11" s="68" t="s">
        <v>888</v>
      </c>
      <c r="I11" s="68">
        <v>1011</v>
      </c>
      <c r="J11" s="68" t="s">
        <v>721</v>
      </c>
      <c r="K11" s="68" t="s">
        <v>15</v>
      </c>
      <c r="L11" s="70">
        <v>100</v>
      </c>
      <c r="M11" s="71" t="s">
        <v>980</v>
      </c>
      <c r="N11" s="72" t="s">
        <v>809</v>
      </c>
      <c r="O11" s="68">
        <v>580</v>
      </c>
      <c r="P11" s="69" t="str">
        <f t="shared" si="0"/>
        <v>Vegetable Samosa Large 100G Seeded - GFF003R</v>
      </c>
      <c r="Q11" s="72">
        <v>20</v>
      </c>
      <c r="R11" s="72">
        <f t="shared" si="1"/>
        <v>16</v>
      </c>
      <c r="S11" s="72">
        <f t="shared" si="2"/>
        <v>12</v>
      </c>
      <c r="T11" s="72">
        <f t="shared" si="3"/>
        <v>8</v>
      </c>
      <c r="U11" s="72">
        <f t="shared" si="4"/>
        <v>4</v>
      </c>
      <c r="V11" s="72">
        <v>4</v>
      </c>
      <c r="W11" s="72" t="s">
        <v>1435</v>
      </c>
      <c r="X11" s="72" t="s">
        <v>1501</v>
      </c>
      <c r="Y11" s="72">
        <v>3</v>
      </c>
      <c r="Z11" s="72"/>
    </row>
    <row r="12" spans="1:26" ht="15" customHeight="1" x14ac:dyDescent="0.25">
      <c r="A12" s="68">
        <v>13</v>
      </c>
      <c r="B12" s="69" t="s">
        <v>182</v>
      </c>
      <c r="C12" s="68" t="s">
        <v>890</v>
      </c>
      <c r="D12" s="68" t="s">
        <v>819</v>
      </c>
      <c r="E12" s="68" t="s">
        <v>885</v>
      </c>
      <c r="F12" s="68" t="s">
        <v>13</v>
      </c>
      <c r="G12" s="68" t="s">
        <v>6</v>
      </c>
      <c r="H12" s="68" t="s">
        <v>888</v>
      </c>
      <c r="I12" s="68">
        <v>1012</v>
      </c>
      <c r="J12" s="68" t="s">
        <v>626</v>
      </c>
      <c r="K12" s="68" t="s">
        <v>18</v>
      </c>
      <c r="L12" s="70">
        <v>25</v>
      </c>
      <c r="M12" s="71" t="s">
        <v>980</v>
      </c>
      <c r="N12" s="72" t="s">
        <v>814</v>
      </c>
      <c r="O12" s="68">
        <v>12400</v>
      </c>
      <c r="P12" s="69" t="str">
        <f t="shared" si="0"/>
        <v>Vegetable Samosa Cocktail 25G - GFF003R</v>
      </c>
      <c r="Q12" s="72">
        <v>35</v>
      </c>
      <c r="R12" s="72">
        <f t="shared" si="1"/>
        <v>28</v>
      </c>
      <c r="S12" s="72">
        <f t="shared" si="2"/>
        <v>21</v>
      </c>
      <c r="T12" s="72">
        <f t="shared" si="3"/>
        <v>14</v>
      </c>
      <c r="U12" s="72">
        <f t="shared" si="4"/>
        <v>7</v>
      </c>
      <c r="V12" s="72">
        <v>8</v>
      </c>
      <c r="W12" s="72" t="s">
        <v>1435</v>
      </c>
      <c r="X12" s="72" t="s">
        <v>1501</v>
      </c>
      <c r="Y12" s="72">
        <v>3</v>
      </c>
      <c r="Z12" s="72"/>
    </row>
    <row r="13" spans="1:26" ht="15" customHeight="1" x14ac:dyDescent="0.25">
      <c r="A13" s="68">
        <v>14</v>
      </c>
      <c r="B13" s="69" t="s">
        <v>182</v>
      </c>
      <c r="C13" s="68" t="s">
        <v>890</v>
      </c>
      <c r="D13" s="68" t="s">
        <v>819</v>
      </c>
      <c r="E13" s="68" t="s">
        <v>885</v>
      </c>
      <c r="F13" s="68" t="s">
        <v>13</v>
      </c>
      <c r="G13" s="68" t="s">
        <v>6</v>
      </c>
      <c r="H13" s="68" t="s">
        <v>939</v>
      </c>
      <c r="I13" s="68">
        <v>1013</v>
      </c>
      <c r="J13" s="68" t="s">
        <v>722</v>
      </c>
      <c r="K13" s="68" t="s">
        <v>19</v>
      </c>
      <c r="L13" s="70">
        <v>25</v>
      </c>
      <c r="M13" s="71" t="s">
        <v>980</v>
      </c>
      <c r="N13" s="72" t="s">
        <v>814</v>
      </c>
      <c r="O13" s="68">
        <v>12400</v>
      </c>
      <c r="P13" s="69" t="str">
        <f t="shared" si="0"/>
        <v>Vegetable Samosa Cocktail 25G Seeded - GFF003R</v>
      </c>
      <c r="Q13" s="72">
        <v>35</v>
      </c>
      <c r="R13" s="72">
        <f t="shared" si="1"/>
        <v>28</v>
      </c>
      <c r="S13" s="72">
        <f t="shared" si="2"/>
        <v>21</v>
      </c>
      <c r="T13" s="72">
        <f t="shared" si="3"/>
        <v>14</v>
      </c>
      <c r="U13" s="72">
        <f t="shared" si="4"/>
        <v>7</v>
      </c>
      <c r="V13" s="72">
        <v>8</v>
      </c>
      <c r="W13" s="72" t="s">
        <v>1435</v>
      </c>
      <c r="X13" s="72" t="s">
        <v>1501</v>
      </c>
      <c r="Y13" s="72">
        <v>3</v>
      </c>
      <c r="Z13" s="72"/>
    </row>
    <row r="14" spans="1:26" ht="15" customHeight="1" x14ac:dyDescent="0.25">
      <c r="A14" s="68">
        <v>16</v>
      </c>
      <c r="B14" s="69" t="s">
        <v>182</v>
      </c>
      <c r="C14" s="68" t="s">
        <v>890</v>
      </c>
      <c r="D14" s="68" t="s">
        <v>819</v>
      </c>
      <c r="E14" s="68" t="s">
        <v>885</v>
      </c>
      <c r="F14" s="68" t="s">
        <v>13</v>
      </c>
      <c r="G14" s="68" t="s">
        <v>6</v>
      </c>
      <c r="H14" s="68" t="s">
        <v>888</v>
      </c>
      <c r="I14" s="68">
        <v>1015</v>
      </c>
      <c r="J14" s="68" t="s">
        <v>724</v>
      </c>
      <c r="K14" s="68" t="s">
        <v>21</v>
      </c>
      <c r="L14" s="70">
        <v>40</v>
      </c>
      <c r="M14" s="71" t="s">
        <v>980</v>
      </c>
      <c r="N14" s="72" t="s">
        <v>814</v>
      </c>
      <c r="O14" s="68">
        <v>6600</v>
      </c>
      <c r="P14" s="69" t="str">
        <f t="shared" si="0"/>
        <v>Vegetable Samosa Cocktail 40G - GFF003R</v>
      </c>
      <c r="Q14" s="72">
        <v>35</v>
      </c>
      <c r="R14" s="72">
        <f t="shared" si="1"/>
        <v>28</v>
      </c>
      <c r="S14" s="72">
        <f t="shared" si="2"/>
        <v>21</v>
      </c>
      <c r="T14" s="72">
        <f t="shared" si="3"/>
        <v>14</v>
      </c>
      <c r="U14" s="72">
        <f t="shared" si="4"/>
        <v>7</v>
      </c>
      <c r="V14" s="72">
        <v>8</v>
      </c>
      <c r="W14" s="72" t="s">
        <v>1435</v>
      </c>
      <c r="X14" s="72" t="s">
        <v>1501</v>
      </c>
      <c r="Y14" s="72">
        <v>3</v>
      </c>
      <c r="Z14" s="72"/>
    </row>
    <row r="15" spans="1:26" ht="15" customHeight="1" x14ac:dyDescent="0.25">
      <c r="A15" s="68">
        <v>17</v>
      </c>
      <c r="B15" s="69" t="s">
        <v>182</v>
      </c>
      <c r="C15" s="68" t="s">
        <v>891</v>
      </c>
      <c r="D15" s="68" t="s">
        <v>819</v>
      </c>
      <c r="E15" s="68" t="s">
        <v>885</v>
      </c>
      <c r="F15" s="68" t="s">
        <v>13</v>
      </c>
      <c r="G15" s="68" t="s">
        <v>6</v>
      </c>
      <c r="H15" s="68" t="s">
        <v>888</v>
      </c>
      <c r="I15" s="68">
        <v>1016</v>
      </c>
      <c r="J15" s="68" t="s">
        <v>725</v>
      </c>
      <c r="K15" s="68" t="s">
        <v>22</v>
      </c>
      <c r="L15" s="70">
        <v>140</v>
      </c>
      <c r="M15" s="71" t="s">
        <v>980</v>
      </c>
      <c r="N15" s="72" t="s">
        <v>814</v>
      </c>
      <c r="O15" s="68">
        <v>225</v>
      </c>
      <c r="P15" s="69" t="str">
        <f t="shared" si="0"/>
        <v>Vegetable Samosa XL (Jumbo) 140G - GFF039R</v>
      </c>
      <c r="Q15" s="72">
        <v>27</v>
      </c>
      <c r="R15" s="72">
        <f t="shared" si="1"/>
        <v>21.6</v>
      </c>
      <c r="S15" s="72">
        <f t="shared" si="2"/>
        <v>16.200000000000003</v>
      </c>
      <c r="T15" s="72">
        <f t="shared" si="3"/>
        <v>10.8</v>
      </c>
      <c r="U15" s="72">
        <f t="shared" si="4"/>
        <v>5.4</v>
      </c>
      <c r="V15" s="72">
        <v>3</v>
      </c>
      <c r="W15" s="72" t="s">
        <v>1435</v>
      </c>
      <c r="X15" s="72" t="s">
        <v>1501</v>
      </c>
      <c r="Y15" s="72">
        <v>3</v>
      </c>
      <c r="Z15" s="72"/>
    </row>
    <row r="16" spans="1:26" ht="15" customHeight="1" x14ac:dyDescent="0.25">
      <c r="A16" s="68">
        <v>18</v>
      </c>
      <c r="B16" s="69" t="s">
        <v>182</v>
      </c>
      <c r="C16" s="68" t="s">
        <v>896</v>
      </c>
      <c r="D16" s="68" t="s">
        <v>821</v>
      </c>
      <c r="E16" s="68" t="s">
        <v>885</v>
      </c>
      <c r="F16" s="68" t="s">
        <v>23</v>
      </c>
      <c r="G16" s="68" t="s">
        <v>6</v>
      </c>
      <c r="H16" s="68" t="s">
        <v>888</v>
      </c>
      <c r="I16" s="68">
        <v>1017</v>
      </c>
      <c r="J16" s="68" t="s">
        <v>726</v>
      </c>
      <c r="K16" s="68" t="s">
        <v>24</v>
      </c>
      <c r="L16" s="70">
        <v>100</v>
      </c>
      <c r="M16" s="71" t="s">
        <v>979</v>
      </c>
      <c r="N16" s="72" t="s">
        <v>814</v>
      </c>
      <c r="O16" s="68">
        <v>2600</v>
      </c>
      <c r="P16" s="69" t="str">
        <f t="shared" si="0"/>
        <v>Lamb Samosa Large 100G - GFF005R</v>
      </c>
      <c r="Q16" s="72">
        <v>27</v>
      </c>
      <c r="R16" s="72">
        <f t="shared" si="1"/>
        <v>21.6</v>
      </c>
      <c r="S16" s="72">
        <f t="shared" si="2"/>
        <v>16.200000000000003</v>
      </c>
      <c r="T16" s="72">
        <f t="shared" si="3"/>
        <v>10.8</v>
      </c>
      <c r="U16" s="72">
        <f t="shared" si="4"/>
        <v>5.4</v>
      </c>
      <c r="V16" s="72">
        <v>4</v>
      </c>
      <c r="W16" s="72" t="s">
        <v>1435</v>
      </c>
      <c r="X16" s="72" t="s">
        <v>1502</v>
      </c>
      <c r="Y16" s="72">
        <v>3</v>
      </c>
      <c r="Z16" s="72"/>
    </row>
    <row r="17" spans="1:26" ht="15" customHeight="1" x14ac:dyDescent="0.25">
      <c r="A17" s="68">
        <v>19</v>
      </c>
      <c r="B17" s="69" t="s">
        <v>182</v>
      </c>
      <c r="C17" s="68" t="s">
        <v>896</v>
      </c>
      <c r="D17" s="68" t="s">
        <v>821</v>
      </c>
      <c r="E17" s="68" t="s">
        <v>885</v>
      </c>
      <c r="F17" s="68" t="s">
        <v>23</v>
      </c>
      <c r="G17" s="68" t="s">
        <v>6</v>
      </c>
      <c r="H17" s="68" t="s">
        <v>888</v>
      </c>
      <c r="I17" s="68">
        <v>1018</v>
      </c>
      <c r="J17" s="68" t="s">
        <v>727</v>
      </c>
      <c r="K17" s="68" t="s">
        <v>25</v>
      </c>
      <c r="L17" s="70">
        <v>25</v>
      </c>
      <c r="M17" s="71" t="s">
        <v>979</v>
      </c>
      <c r="N17" s="72" t="s">
        <v>814</v>
      </c>
      <c r="O17" s="68">
        <v>13500</v>
      </c>
      <c r="P17" s="69" t="str">
        <f t="shared" si="0"/>
        <v>Lamb Samosa Cocktail 25G - GFF005R</v>
      </c>
      <c r="Q17" s="72">
        <v>37.5</v>
      </c>
      <c r="R17" s="72">
        <f t="shared" si="1"/>
        <v>30</v>
      </c>
      <c r="S17" s="72">
        <f t="shared" si="2"/>
        <v>22.5</v>
      </c>
      <c r="T17" s="72">
        <f t="shared" si="3"/>
        <v>15</v>
      </c>
      <c r="U17" s="72">
        <f t="shared" si="4"/>
        <v>7.5</v>
      </c>
      <c r="V17" s="72">
        <v>8</v>
      </c>
      <c r="W17" s="72" t="s">
        <v>1435</v>
      </c>
      <c r="X17" s="72" t="s">
        <v>1502</v>
      </c>
      <c r="Y17" s="72">
        <v>3</v>
      </c>
      <c r="Z17" s="72"/>
    </row>
    <row r="18" spans="1:26" ht="15" customHeight="1" x14ac:dyDescent="0.25">
      <c r="A18" s="68">
        <v>20</v>
      </c>
      <c r="B18" s="69" t="s">
        <v>182</v>
      </c>
      <c r="C18" s="68" t="s">
        <v>896</v>
      </c>
      <c r="D18" s="68" t="s">
        <v>821</v>
      </c>
      <c r="E18" s="68" t="s">
        <v>885</v>
      </c>
      <c r="F18" s="68" t="s">
        <v>23</v>
      </c>
      <c r="G18" s="68" t="s">
        <v>6</v>
      </c>
      <c r="H18" s="68" t="s">
        <v>888</v>
      </c>
      <c r="I18" s="68">
        <v>1019</v>
      </c>
      <c r="J18" s="68" t="s">
        <v>728</v>
      </c>
      <c r="K18" s="68" t="s">
        <v>26</v>
      </c>
      <c r="L18" s="70">
        <v>40</v>
      </c>
      <c r="M18" s="71" t="s">
        <v>979</v>
      </c>
      <c r="N18" s="72" t="s">
        <v>814</v>
      </c>
      <c r="O18" s="68">
        <v>6400</v>
      </c>
      <c r="P18" s="69" t="str">
        <f t="shared" si="0"/>
        <v>Lamb Samosa Cocktail 40G - GFF005R</v>
      </c>
      <c r="Q18" s="72">
        <v>35</v>
      </c>
      <c r="R18" s="72">
        <f t="shared" si="1"/>
        <v>28</v>
      </c>
      <c r="S18" s="72">
        <f t="shared" si="2"/>
        <v>21</v>
      </c>
      <c r="T18" s="72">
        <f t="shared" si="3"/>
        <v>14</v>
      </c>
      <c r="U18" s="72">
        <f t="shared" si="4"/>
        <v>7</v>
      </c>
      <c r="V18" s="72">
        <v>8</v>
      </c>
      <c r="W18" s="72" t="s">
        <v>1435</v>
      </c>
      <c r="X18" s="72" t="s">
        <v>1502</v>
      </c>
      <c r="Y18" s="72">
        <v>3</v>
      </c>
      <c r="Z18" s="72"/>
    </row>
    <row r="19" spans="1:26" ht="15" customHeight="1" x14ac:dyDescent="0.25">
      <c r="A19" s="68">
        <v>21</v>
      </c>
      <c r="B19" s="69" t="s">
        <v>182</v>
      </c>
      <c r="C19" s="68" t="s">
        <v>896</v>
      </c>
      <c r="D19" s="68" t="s">
        <v>821</v>
      </c>
      <c r="E19" s="68" t="s">
        <v>885</v>
      </c>
      <c r="F19" s="68" t="s">
        <v>23</v>
      </c>
      <c r="G19" s="68" t="s">
        <v>6</v>
      </c>
      <c r="H19" s="68" t="s">
        <v>888</v>
      </c>
      <c r="I19" s="68">
        <v>1020</v>
      </c>
      <c r="J19" s="68" t="s">
        <v>729</v>
      </c>
      <c r="K19" s="68" t="s">
        <v>27</v>
      </c>
      <c r="L19" s="70">
        <v>120</v>
      </c>
      <c r="M19" s="71" t="s">
        <v>979</v>
      </c>
      <c r="N19" s="72" t="s">
        <v>814</v>
      </c>
      <c r="O19" s="68">
        <v>2600</v>
      </c>
      <c r="P19" s="69" t="str">
        <f t="shared" si="0"/>
        <v>Lamb Samosa  XL (Jumbo) 120G - GFF005R</v>
      </c>
      <c r="Q19" s="72">
        <v>27</v>
      </c>
      <c r="R19" s="72">
        <f t="shared" si="1"/>
        <v>21.6</v>
      </c>
      <c r="S19" s="72">
        <f t="shared" si="2"/>
        <v>16.200000000000003</v>
      </c>
      <c r="T19" s="72">
        <f t="shared" si="3"/>
        <v>10.8</v>
      </c>
      <c r="U19" s="72">
        <f t="shared" si="4"/>
        <v>5.4</v>
      </c>
      <c r="V19" s="72">
        <v>3</v>
      </c>
      <c r="W19" s="72" t="s">
        <v>1435</v>
      </c>
      <c r="X19" s="72" t="s">
        <v>1502</v>
      </c>
      <c r="Y19" s="72">
        <v>3</v>
      </c>
      <c r="Z19" s="72"/>
    </row>
    <row r="20" spans="1:26" ht="15" customHeight="1" x14ac:dyDescent="0.25">
      <c r="A20" s="68">
        <v>22</v>
      </c>
      <c r="B20" s="69" t="s">
        <v>182</v>
      </c>
      <c r="C20" s="68" t="s">
        <v>896</v>
      </c>
      <c r="D20" s="68" t="s">
        <v>821</v>
      </c>
      <c r="E20" s="68" t="s">
        <v>885</v>
      </c>
      <c r="F20" s="68" t="s">
        <v>23</v>
      </c>
      <c r="G20" s="68" t="s">
        <v>6</v>
      </c>
      <c r="H20" s="68" t="s">
        <v>888</v>
      </c>
      <c r="I20" s="68">
        <v>1021</v>
      </c>
      <c r="J20" s="68" t="s">
        <v>730</v>
      </c>
      <c r="K20" s="68" t="s">
        <v>28</v>
      </c>
      <c r="L20" s="70">
        <v>75</v>
      </c>
      <c r="M20" s="71" t="s">
        <v>979</v>
      </c>
      <c r="N20" s="72" t="s">
        <v>814</v>
      </c>
      <c r="O20" s="68">
        <v>4000</v>
      </c>
      <c r="P20" s="69" t="str">
        <f t="shared" si="0"/>
        <v>Lamb Samosa Large 75G - GFF005R</v>
      </c>
      <c r="Q20" s="72">
        <v>27</v>
      </c>
      <c r="R20" s="72">
        <f t="shared" si="1"/>
        <v>21.6</v>
      </c>
      <c r="S20" s="72">
        <f t="shared" si="2"/>
        <v>16.200000000000003</v>
      </c>
      <c r="T20" s="72">
        <f t="shared" si="3"/>
        <v>10.8</v>
      </c>
      <c r="U20" s="72">
        <f t="shared" si="4"/>
        <v>5.4</v>
      </c>
      <c r="V20" s="72">
        <v>4</v>
      </c>
      <c r="W20" s="72" t="s">
        <v>1435</v>
      </c>
      <c r="X20" s="72" t="s">
        <v>1502</v>
      </c>
      <c r="Y20" s="72">
        <v>3</v>
      </c>
      <c r="Z20" s="72"/>
    </row>
    <row r="21" spans="1:26" ht="15" customHeight="1" x14ac:dyDescent="0.25">
      <c r="A21" s="68">
        <v>24</v>
      </c>
      <c r="B21" s="69" t="s">
        <v>182</v>
      </c>
      <c r="C21" s="68" t="s">
        <v>1337</v>
      </c>
      <c r="D21" s="68" t="s">
        <v>822</v>
      </c>
      <c r="E21" s="68" t="s">
        <v>885</v>
      </c>
      <c r="F21" s="68" t="s">
        <v>30</v>
      </c>
      <c r="G21" s="68" t="s">
        <v>6</v>
      </c>
      <c r="H21" s="68" t="s">
        <v>888</v>
      </c>
      <c r="I21" s="68">
        <v>1023</v>
      </c>
      <c r="J21" s="68" t="s">
        <v>732</v>
      </c>
      <c r="K21" s="68" t="s">
        <v>31</v>
      </c>
      <c r="L21" s="70">
        <v>50</v>
      </c>
      <c r="M21" s="71" t="s">
        <v>979</v>
      </c>
      <c r="N21" s="72" t="s">
        <v>814</v>
      </c>
      <c r="O21" s="68">
        <v>800</v>
      </c>
      <c r="P21" s="69" t="str">
        <f t="shared" si="0"/>
        <v>Chicken Spring Roll Medium 50G - GFF007R</v>
      </c>
      <c r="Q21" s="72">
        <v>30</v>
      </c>
      <c r="R21" s="72">
        <f t="shared" si="1"/>
        <v>24</v>
      </c>
      <c r="S21" s="72">
        <f t="shared" si="2"/>
        <v>18</v>
      </c>
      <c r="T21" s="72">
        <f t="shared" si="3"/>
        <v>12</v>
      </c>
      <c r="U21" s="72">
        <f t="shared" si="4"/>
        <v>6</v>
      </c>
      <c r="V21" s="72">
        <v>20</v>
      </c>
      <c r="W21" s="72" t="s">
        <v>1435</v>
      </c>
      <c r="X21" s="72" t="s">
        <v>2895</v>
      </c>
      <c r="Y21" s="72">
        <v>2</v>
      </c>
      <c r="Z21" s="72"/>
    </row>
    <row r="22" spans="1:26" ht="15" customHeight="1" x14ac:dyDescent="0.25">
      <c r="A22" s="68">
        <v>26</v>
      </c>
      <c r="B22" s="69" t="s">
        <v>182</v>
      </c>
      <c r="C22" s="68" t="s">
        <v>892</v>
      </c>
      <c r="D22" s="68" t="s">
        <v>820</v>
      </c>
      <c r="E22" s="68" t="s">
        <v>885</v>
      </c>
      <c r="F22" s="68" t="s">
        <v>32</v>
      </c>
      <c r="G22" s="68" t="s">
        <v>6</v>
      </c>
      <c r="H22" s="68" t="s">
        <v>888</v>
      </c>
      <c r="I22" s="68">
        <v>1025</v>
      </c>
      <c r="J22" s="68" t="s">
        <v>733</v>
      </c>
      <c r="K22" s="68" t="s">
        <v>35</v>
      </c>
      <c r="L22" s="70">
        <v>85</v>
      </c>
      <c r="M22" s="71" t="s">
        <v>980</v>
      </c>
      <c r="N22" s="72" t="s">
        <v>809</v>
      </c>
      <c r="O22" s="68">
        <v>500</v>
      </c>
      <c r="P22" s="69" t="str">
        <f t="shared" si="0"/>
        <v>Vegetable Spring Roll Large 85G - GFF006R</v>
      </c>
      <c r="Q22" s="72">
        <v>24.2</v>
      </c>
      <c r="R22" s="72">
        <f t="shared" si="1"/>
        <v>19.36</v>
      </c>
      <c r="S22" s="72">
        <f t="shared" si="2"/>
        <v>14.52</v>
      </c>
      <c r="T22" s="72">
        <f t="shared" si="3"/>
        <v>9.68</v>
      </c>
      <c r="U22" s="72">
        <f t="shared" si="4"/>
        <v>4.84</v>
      </c>
      <c r="V22" s="72">
        <v>20</v>
      </c>
      <c r="W22" s="72" t="s">
        <v>1435</v>
      </c>
      <c r="X22" s="72" t="s">
        <v>1499</v>
      </c>
      <c r="Y22" s="72">
        <v>3</v>
      </c>
      <c r="Z22" s="72" t="s">
        <v>2268</v>
      </c>
    </row>
    <row r="23" spans="1:26" ht="15" customHeight="1" x14ac:dyDescent="0.25">
      <c r="A23" s="68">
        <v>27</v>
      </c>
      <c r="B23" s="69" t="s">
        <v>182</v>
      </c>
      <c r="C23" s="68" t="s">
        <v>892</v>
      </c>
      <c r="D23" s="68" t="s">
        <v>820</v>
      </c>
      <c r="E23" s="68" t="s">
        <v>885</v>
      </c>
      <c r="F23" s="68" t="s">
        <v>32</v>
      </c>
      <c r="G23" s="68" t="s">
        <v>6</v>
      </c>
      <c r="H23" s="68" t="s">
        <v>888</v>
      </c>
      <c r="I23" s="68">
        <v>1026</v>
      </c>
      <c r="J23" s="68" t="s">
        <v>734</v>
      </c>
      <c r="K23" s="68" t="s">
        <v>36</v>
      </c>
      <c r="L23" s="70">
        <v>50</v>
      </c>
      <c r="M23" s="71" t="s">
        <v>980</v>
      </c>
      <c r="N23" s="72" t="s">
        <v>809</v>
      </c>
      <c r="O23" s="68">
        <v>900</v>
      </c>
      <c r="P23" s="69" t="str">
        <f t="shared" si="0"/>
        <v>Vegetable Spring Roll Medium 50G - GFF006R</v>
      </c>
      <c r="Q23" s="72">
        <v>35</v>
      </c>
      <c r="R23" s="72">
        <f t="shared" si="1"/>
        <v>28</v>
      </c>
      <c r="S23" s="72">
        <f t="shared" si="2"/>
        <v>21</v>
      </c>
      <c r="T23" s="72">
        <f t="shared" si="3"/>
        <v>14</v>
      </c>
      <c r="U23" s="72">
        <f t="shared" si="4"/>
        <v>7</v>
      </c>
      <c r="V23" s="72">
        <v>20</v>
      </c>
      <c r="W23" s="72" t="s">
        <v>1435</v>
      </c>
      <c r="X23" s="72" t="s">
        <v>1499</v>
      </c>
      <c r="Y23" s="72">
        <v>3</v>
      </c>
      <c r="Z23" s="72" t="s">
        <v>2268</v>
      </c>
    </row>
    <row r="24" spans="1:26" ht="15" customHeight="1" x14ac:dyDescent="0.25">
      <c r="A24" s="68">
        <v>28</v>
      </c>
      <c r="B24" s="69" t="s">
        <v>182</v>
      </c>
      <c r="C24" s="68" t="s">
        <v>898</v>
      </c>
      <c r="D24" s="68" t="s">
        <v>823</v>
      </c>
      <c r="E24" s="68" t="s">
        <v>885</v>
      </c>
      <c r="F24" s="68" t="s">
        <v>37</v>
      </c>
      <c r="G24" s="68" t="s">
        <v>6</v>
      </c>
      <c r="H24" s="68" t="s">
        <v>888</v>
      </c>
      <c r="I24" s="68">
        <v>1027</v>
      </c>
      <c r="J24" s="68" t="s">
        <v>735</v>
      </c>
      <c r="K24" s="68" t="s">
        <v>936</v>
      </c>
      <c r="L24" s="70">
        <v>50</v>
      </c>
      <c r="M24" s="71" t="s">
        <v>979</v>
      </c>
      <c r="N24" s="72" t="s">
        <v>809</v>
      </c>
      <c r="O24" s="68">
        <v>750</v>
      </c>
      <c r="P24" s="69" t="str">
        <f t="shared" si="0"/>
        <v>Duck Spring Roll Medium 50G - GFF008R</v>
      </c>
      <c r="Q24" s="72">
        <v>30</v>
      </c>
      <c r="R24" s="72">
        <f t="shared" si="1"/>
        <v>24</v>
      </c>
      <c r="S24" s="72">
        <f t="shared" si="2"/>
        <v>18</v>
      </c>
      <c r="T24" s="72">
        <f t="shared" si="3"/>
        <v>12</v>
      </c>
      <c r="U24" s="72">
        <f t="shared" si="4"/>
        <v>6</v>
      </c>
      <c r="V24" s="72">
        <v>20</v>
      </c>
      <c r="W24" s="72" t="s">
        <v>1435</v>
      </c>
      <c r="X24" s="72" t="s">
        <v>1503</v>
      </c>
      <c r="Y24" s="72">
        <v>3</v>
      </c>
      <c r="Z24" s="72" t="s">
        <v>3062</v>
      </c>
    </row>
    <row r="25" spans="1:26" ht="15" customHeight="1" x14ac:dyDescent="0.25">
      <c r="A25" s="68">
        <v>29</v>
      </c>
      <c r="B25" s="69" t="s">
        <v>182</v>
      </c>
      <c r="C25" s="68" t="s">
        <v>900</v>
      </c>
      <c r="D25" s="68" t="s">
        <v>824</v>
      </c>
      <c r="E25" s="68" t="s">
        <v>885</v>
      </c>
      <c r="F25" s="68" t="s">
        <v>40</v>
      </c>
      <c r="G25" s="68" t="s">
        <v>6</v>
      </c>
      <c r="H25" s="68" t="s">
        <v>888</v>
      </c>
      <c r="I25" s="68">
        <v>1028</v>
      </c>
      <c r="J25" s="68" t="s">
        <v>736</v>
      </c>
      <c r="K25" s="68" t="s">
        <v>41</v>
      </c>
      <c r="L25" s="70">
        <v>100</v>
      </c>
      <c r="M25" s="71" t="s">
        <v>980</v>
      </c>
      <c r="N25" s="72" t="s">
        <v>809</v>
      </c>
      <c r="O25" s="68">
        <v>525</v>
      </c>
      <c r="P25" s="69" t="str">
        <f t="shared" si="0"/>
        <v>Onion Bhaji Large 100G - GFF009-1R</v>
      </c>
      <c r="Q25" s="72">
        <v>21</v>
      </c>
      <c r="R25" s="72">
        <f t="shared" si="1"/>
        <v>16.8</v>
      </c>
      <c r="S25" s="72">
        <f t="shared" si="2"/>
        <v>12.600000000000001</v>
      </c>
      <c r="T25" s="72">
        <f t="shared" si="3"/>
        <v>8.4</v>
      </c>
      <c r="U25" s="72">
        <f t="shared" si="4"/>
        <v>4.2</v>
      </c>
      <c r="V25" s="72">
        <v>0</v>
      </c>
      <c r="W25" s="72" t="s">
        <v>1435</v>
      </c>
      <c r="X25" s="72" t="s">
        <v>1501</v>
      </c>
      <c r="Y25" s="72">
        <v>3</v>
      </c>
      <c r="Z25" s="72"/>
    </row>
    <row r="26" spans="1:26" ht="15" customHeight="1" x14ac:dyDescent="0.25">
      <c r="A26" s="68">
        <v>30</v>
      </c>
      <c r="B26" s="69" t="s">
        <v>182</v>
      </c>
      <c r="C26" s="73" t="s">
        <v>895</v>
      </c>
      <c r="D26" s="68" t="s">
        <v>839</v>
      </c>
      <c r="E26" s="68" t="s">
        <v>885</v>
      </c>
      <c r="F26" s="68" t="s">
        <v>40</v>
      </c>
      <c r="G26" s="68" t="s">
        <v>6</v>
      </c>
      <c r="H26" s="68" t="s">
        <v>888</v>
      </c>
      <c r="I26" s="68">
        <v>1029</v>
      </c>
      <c r="J26" s="68" t="s">
        <v>656</v>
      </c>
      <c r="K26" s="68" t="s">
        <v>44</v>
      </c>
      <c r="L26" s="70" t="s">
        <v>799</v>
      </c>
      <c r="M26" s="71" t="s">
        <v>980</v>
      </c>
      <c r="N26" s="72" t="s">
        <v>809</v>
      </c>
      <c r="O26" s="73" t="s">
        <v>895</v>
      </c>
      <c r="P26" s="69" t="str">
        <f t="shared" si="0"/>
        <v>Onion Rings KG - tbc</v>
      </c>
      <c r="Q26" s="72"/>
      <c r="R26" s="72"/>
      <c r="S26" s="72"/>
      <c r="T26" s="72"/>
      <c r="U26" s="72"/>
      <c r="V26" s="72">
        <v>0</v>
      </c>
      <c r="W26" s="72" t="s">
        <v>1436</v>
      </c>
      <c r="X26" s="72" t="s">
        <v>982</v>
      </c>
      <c r="Y26" s="72" t="s">
        <v>982</v>
      </c>
      <c r="Z26" s="72"/>
    </row>
    <row r="27" spans="1:26" ht="15" customHeight="1" x14ac:dyDescent="0.25">
      <c r="A27" s="68">
        <v>31</v>
      </c>
      <c r="B27" s="69" t="s">
        <v>182</v>
      </c>
      <c r="C27" s="73" t="s">
        <v>895</v>
      </c>
      <c r="D27" s="68" t="s">
        <v>837</v>
      </c>
      <c r="E27" s="68" t="s">
        <v>885</v>
      </c>
      <c r="F27" s="68" t="s">
        <v>40</v>
      </c>
      <c r="G27" s="68" t="s">
        <v>6</v>
      </c>
      <c r="H27" s="68" t="s">
        <v>888</v>
      </c>
      <c r="I27" s="68">
        <v>1030</v>
      </c>
      <c r="J27" s="68" t="s">
        <v>737</v>
      </c>
      <c r="K27" s="68" t="s">
        <v>45</v>
      </c>
      <c r="L27" s="70" t="s">
        <v>799</v>
      </c>
      <c r="M27" s="71" t="s">
        <v>980</v>
      </c>
      <c r="N27" s="72" t="s">
        <v>809</v>
      </c>
      <c r="O27" s="73" t="s">
        <v>895</v>
      </c>
      <c r="P27" s="69" t="str">
        <f t="shared" si="0"/>
        <v>Shredded Onion Bhaji KG - tbc</v>
      </c>
      <c r="Q27" s="72">
        <v>60</v>
      </c>
      <c r="R27" s="72">
        <v>48</v>
      </c>
      <c r="S27" s="72">
        <v>36</v>
      </c>
      <c r="T27" s="72">
        <v>24</v>
      </c>
      <c r="U27" s="72">
        <v>12</v>
      </c>
      <c r="V27" s="72">
        <v>0</v>
      </c>
      <c r="W27" s="72" t="s">
        <v>1436</v>
      </c>
      <c r="X27" s="72" t="s">
        <v>1501</v>
      </c>
      <c r="Y27" s="72">
        <v>3</v>
      </c>
      <c r="Z27" s="72"/>
    </row>
    <row r="28" spans="1:26" ht="15" customHeight="1" x14ac:dyDescent="0.25">
      <c r="A28" s="68">
        <v>32</v>
      </c>
      <c r="B28" s="69" t="s">
        <v>182</v>
      </c>
      <c r="C28" s="68" t="s">
        <v>901</v>
      </c>
      <c r="D28" s="68" t="s">
        <v>827</v>
      </c>
      <c r="E28" s="68" t="s">
        <v>885</v>
      </c>
      <c r="F28" s="68" t="s">
        <v>40</v>
      </c>
      <c r="G28" s="68" t="s">
        <v>6</v>
      </c>
      <c r="H28" s="68" t="s">
        <v>888</v>
      </c>
      <c r="I28" s="68">
        <v>1031</v>
      </c>
      <c r="J28" s="68" t="s">
        <v>738</v>
      </c>
      <c r="K28" s="68" t="s">
        <v>46</v>
      </c>
      <c r="L28" s="70">
        <v>30</v>
      </c>
      <c r="M28" s="71" t="s">
        <v>980</v>
      </c>
      <c r="N28" s="72" t="s">
        <v>809</v>
      </c>
      <c r="O28" s="68">
        <v>520</v>
      </c>
      <c r="P28" s="69" t="str">
        <f t="shared" si="0"/>
        <v>Spinach Bhaji Cocktail 30G - GFF010-1R</v>
      </c>
      <c r="Q28" s="72">
        <v>64.63</v>
      </c>
      <c r="R28" s="72">
        <v>51.7</v>
      </c>
      <c r="S28" s="72">
        <v>38.5</v>
      </c>
      <c r="T28" s="72">
        <v>30.8</v>
      </c>
      <c r="U28" s="72">
        <v>15.4</v>
      </c>
      <c r="V28" s="72">
        <v>0</v>
      </c>
      <c r="W28" s="72" t="s">
        <v>1435</v>
      </c>
      <c r="X28" s="72" t="s">
        <v>1501</v>
      </c>
      <c r="Y28" s="72">
        <v>3</v>
      </c>
      <c r="Z28" s="72" t="s">
        <v>2289</v>
      </c>
    </row>
    <row r="29" spans="1:26" ht="15" customHeight="1" x14ac:dyDescent="0.25">
      <c r="A29" s="68">
        <v>33</v>
      </c>
      <c r="B29" s="69" t="s">
        <v>182</v>
      </c>
      <c r="C29" s="68" t="s">
        <v>901</v>
      </c>
      <c r="D29" s="68" t="s">
        <v>827</v>
      </c>
      <c r="E29" s="68" t="s">
        <v>885</v>
      </c>
      <c r="F29" s="68" t="s">
        <v>40</v>
      </c>
      <c r="G29" s="68" t="s">
        <v>6</v>
      </c>
      <c r="H29" s="68" t="s">
        <v>888</v>
      </c>
      <c r="I29" s="68">
        <v>1032</v>
      </c>
      <c r="J29" s="68" t="s">
        <v>739</v>
      </c>
      <c r="K29" s="68" t="s">
        <v>47</v>
      </c>
      <c r="L29" s="70">
        <v>100</v>
      </c>
      <c r="M29" s="71" t="s">
        <v>980</v>
      </c>
      <c r="N29" s="72" t="s">
        <v>809</v>
      </c>
      <c r="O29" s="68">
        <v>150</v>
      </c>
      <c r="P29" s="69" t="str">
        <f t="shared" si="0"/>
        <v>Spinach Bhaji Large 100G - GFF010-1R</v>
      </c>
      <c r="Q29" s="72">
        <v>38.5</v>
      </c>
      <c r="R29" s="72">
        <v>30.8</v>
      </c>
      <c r="S29" s="72">
        <v>23.1</v>
      </c>
      <c r="T29" s="72">
        <v>15.4</v>
      </c>
      <c r="U29" s="72">
        <v>7.7</v>
      </c>
      <c r="V29" s="72">
        <v>0</v>
      </c>
      <c r="W29" s="72" t="s">
        <v>1435</v>
      </c>
      <c r="X29" s="72" t="s">
        <v>1501</v>
      </c>
      <c r="Y29" s="72">
        <v>3</v>
      </c>
      <c r="Z29" s="72" t="s">
        <v>2289</v>
      </c>
    </row>
    <row r="30" spans="1:26" ht="15" customHeight="1" x14ac:dyDescent="0.25">
      <c r="A30" s="68">
        <v>34</v>
      </c>
      <c r="B30" s="69" t="s">
        <v>182</v>
      </c>
      <c r="C30" s="68" t="s">
        <v>902</v>
      </c>
      <c r="D30" s="2" t="s">
        <v>1850</v>
      </c>
      <c r="E30" s="68" t="s">
        <v>885</v>
      </c>
      <c r="F30" s="68" t="s">
        <v>40</v>
      </c>
      <c r="G30" s="68" t="s">
        <v>6</v>
      </c>
      <c r="H30" s="68" t="s">
        <v>888</v>
      </c>
      <c r="I30" s="68">
        <v>1033</v>
      </c>
      <c r="J30" s="68" t="s">
        <v>740</v>
      </c>
      <c r="K30" s="2" t="s">
        <v>1847</v>
      </c>
      <c r="L30" s="70">
        <v>20</v>
      </c>
      <c r="M30" s="71" t="s">
        <v>980</v>
      </c>
      <c r="N30" s="72" t="s">
        <v>809</v>
      </c>
      <c r="O30" s="68">
        <v>532</v>
      </c>
      <c r="P30" s="69" t="str">
        <f t="shared" si="0"/>
        <v>Carrot &amp; Coriander Bhaji 20G - GFF032R</v>
      </c>
      <c r="Q30" s="72">
        <v>55</v>
      </c>
      <c r="R30" s="72">
        <v>44</v>
      </c>
      <c r="S30" s="72">
        <v>33</v>
      </c>
      <c r="T30" s="72">
        <v>22</v>
      </c>
      <c r="U30" s="72">
        <v>11</v>
      </c>
      <c r="V30" s="72">
        <v>0</v>
      </c>
      <c r="W30" s="72" t="s">
        <v>1435</v>
      </c>
      <c r="X30" s="1" t="s">
        <v>1501</v>
      </c>
      <c r="Y30" s="1">
        <v>3</v>
      </c>
      <c r="Z30" s="1"/>
    </row>
    <row r="31" spans="1:26" ht="15" customHeight="1" x14ac:dyDescent="0.25">
      <c r="A31" s="68">
        <v>35</v>
      </c>
      <c r="B31" s="69" t="s">
        <v>182</v>
      </c>
      <c r="C31" s="68" t="s">
        <v>903</v>
      </c>
      <c r="D31" s="68" t="s">
        <v>841</v>
      </c>
      <c r="E31" s="68" t="s">
        <v>885</v>
      </c>
      <c r="F31" s="68" t="s">
        <v>40</v>
      </c>
      <c r="G31" s="68" t="s">
        <v>6</v>
      </c>
      <c r="H31" s="68" t="s">
        <v>888</v>
      </c>
      <c r="I31" s="68">
        <v>1034</v>
      </c>
      <c r="J31" s="68" t="s">
        <v>741</v>
      </c>
      <c r="K31" s="68" t="s">
        <v>49</v>
      </c>
      <c r="L31" s="70">
        <v>20</v>
      </c>
      <c r="M31" s="71" t="s">
        <v>980</v>
      </c>
      <c r="N31" s="72" t="s">
        <v>809</v>
      </c>
      <c r="O31" s="68">
        <v>750</v>
      </c>
      <c r="P31" s="69" t="str">
        <f t="shared" si="0"/>
        <v>Potato &amp; Spinach Bhaji 20G - GFF037R</v>
      </c>
      <c r="Q31" s="72">
        <v>55</v>
      </c>
      <c r="R31" s="72">
        <f>($Q31/5)*4</f>
        <v>44</v>
      </c>
      <c r="S31" s="72">
        <f>($Q31/5)*3</f>
        <v>33</v>
      </c>
      <c r="T31" s="72">
        <f>($Q31/5)*2</f>
        <v>22</v>
      </c>
      <c r="U31" s="72">
        <f>($Q31/5)*1</f>
        <v>11</v>
      </c>
      <c r="V31" s="72">
        <v>20</v>
      </c>
      <c r="W31" s="72" t="s">
        <v>1435</v>
      </c>
      <c r="X31" s="72" t="s">
        <v>1501</v>
      </c>
      <c r="Y31" s="72">
        <v>3</v>
      </c>
      <c r="Z31" s="72"/>
    </row>
    <row r="32" spans="1:26" ht="15" customHeight="1" x14ac:dyDescent="0.25">
      <c r="A32" s="68">
        <v>36</v>
      </c>
      <c r="B32" s="69" t="s">
        <v>182</v>
      </c>
      <c r="C32" s="73" t="s">
        <v>1446</v>
      </c>
      <c r="D32" s="68" t="s">
        <v>842</v>
      </c>
      <c r="E32" s="68" t="s">
        <v>885</v>
      </c>
      <c r="F32" s="68" t="s">
        <v>40</v>
      </c>
      <c r="G32" s="68" t="s">
        <v>6</v>
      </c>
      <c r="H32" s="68" t="s">
        <v>888</v>
      </c>
      <c r="I32" s="68">
        <v>1035</v>
      </c>
      <c r="J32" s="68" t="s">
        <v>742</v>
      </c>
      <c r="K32" s="68" t="s">
        <v>50</v>
      </c>
      <c r="L32" s="70">
        <v>20</v>
      </c>
      <c r="M32" s="71" t="s">
        <v>980</v>
      </c>
      <c r="N32" s="72" t="s">
        <v>809</v>
      </c>
      <c r="O32" s="73">
        <v>900</v>
      </c>
      <c r="P32" s="69" t="str">
        <f t="shared" si="0"/>
        <v>Coconut &amp; Coriander Bhaji 20G - GFF172R</v>
      </c>
      <c r="Q32" s="72">
        <v>55</v>
      </c>
      <c r="R32" s="72">
        <v>44</v>
      </c>
      <c r="S32" s="72">
        <v>33</v>
      </c>
      <c r="T32" s="72">
        <v>22</v>
      </c>
      <c r="U32" s="72">
        <v>11</v>
      </c>
      <c r="V32" s="72">
        <v>0</v>
      </c>
      <c r="W32" s="72" t="s">
        <v>1435</v>
      </c>
      <c r="X32" s="72" t="s">
        <v>982</v>
      </c>
      <c r="Y32" s="72" t="s">
        <v>982</v>
      </c>
      <c r="Z32" s="72"/>
    </row>
    <row r="33" spans="1:26" ht="15" customHeight="1" x14ac:dyDescent="0.25">
      <c r="A33" s="68">
        <v>37</v>
      </c>
      <c r="B33" s="69" t="s">
        <v>182</v>
      </c>
      <c r="C33" s="68" t="s">
        <v>899</v>
      </c>
      <c r="D33" s="68" t="s">
        <v>608</v>
      </c>
      <c r="E33" s="68" t="s">
        <v>885</v>
      </c>
      <c r="F33" s="68" t="s">
        <v>51</v>
      </c>
      <c r="G33" s="68" t="s">
        <v>6</v>
      </c>
      <c r="H33" s="68" t="s">
        <v>888</v>
      </c>
      <c r="I33" s="68">
        <v>1036</v>
      </c>
      <c r="J33" s="68" t="s">
        <v>788</v>
      </c>
      <c r="K33" s="68" t="s">
        <v>1338</v>
      </c>
      <c r="L33" s="70" t="s">
        <v>799</v>
      </c>
      <c r="M33" s="71" t="s">
        <v>979</v>
      </c>
      <c r="N33" s="72" t="s">
        <v>809</v>
      </c>
      <c r="O33" s="74">
        <v>30</v>
      </c>
      <c r="P33" s="69" t="str">
        <f t="shared" si="0"/>
        <v>Chicken Pakora Cocktail - GFF014R</v>
      </c>
      <c r="Q33" s="72">
        <v>0</v>
      </c>
      <c r="R33" s="72">
        <f>($Q33/5)*4</f>
        <v>0</v>
      </c>
      <c r="S33" s="72">
        <f>($Q33/5)*3</f>
        <v>0</v>
      </c>
      <c r="T33" s="72">
        <f>($Q33/5)*2</f>
        <v>0</v>
      </c>
      <c r="U33" s="72">
        <f>($Q33/5)*1</f>
        <v>0</v>
      </c>
      <c r="V33" s="72">
        <v>0</v>
      </c>
      <c r="W33" s="72" t="s">
        <v>1435</v>
      </c>
      <c r="X33" s="1" t="s">
        <v>1481</v>
      </c>
      <c r="Y33" s="72">
        <v>3</v>
      </c>
      <c r="Z33" s="72"/>
    </row>
    <row r="34" spans="1:26" ht="15" customHeight="1" x14ac:dyDescent="0.25">
      <c r="A34" s="68">
        <v>38</v>
      </c>
      <c r="B34" s="69" t="s">
        <v>182</v>
      </c>
      <c r="C34" s="68" t="s">
        <v>906</v>
      </c>
      <c r="D34" s="68" t="s">
        <v>831</v>
      </c>
      <c r="E34" s="68" t="s">
        <v>885</v>
      </c>
      <c r="F34" s="68" t="s">
        <v>51</v>
      </c>
      <c r="G34" s="68" t="s">
        <v>6</v>
      </c>
      <c r="H34" s="68" t="s">
        <v>888</v>
      </c>
      <c r="I34" s="68">
        <v>1037</v>
      </c>
      <c r="J34" s="68" t="s">
        <v>743</v>
      </c>
      <c r="K34" s="68" t="s">
        <v>53</v>
      </c>
      <c r="L34" s="70">
        <v>12</v>
      </c>
      <c r="M34" s="71" t="s">
        <v>980</v>
      </c>
      <c r="N34" s="72" t="s">
        <v>809</v>
      </c>
      <c r="O34" s="68">
        <v>1600</v>
      </c>
      <c r="P34" s="69" t="str">
        <f t="shared" si="0"/>
        <v>Vegetable Pakora Bite 12G - GFF013-3R</v>
      </c>
      <c r="Q34" s="72">
        <v>100</v>
      </c>
      <c r="R34" s="72">
        <v>80</v>
      </c>
      <c r="S34" s="72">
        <v>60</v>
      </c>
      <c r="T34" s="72">
        <v>40</v>
      </c>
      <c r="U34" s="72">
        <v>20</v>
      </c>
      <c r="V34" s="72">
        <v>0</v>
      </c>
      <c r="W34" s="72" t="s">
        <v>1435</v>
      </c>
      <c r="X34" s="72" t="s">
        <v>1501</v>
      </c>
      <c r="Y34" s="72">
        <v>3</v>
      </c>
      <c r="Z34" s="72" t="s">
        <v>2848</v>
      </c>
    </row>
    <row r="35" spans="1:26" ht="15" customHeight="1" x14ac:dyDescent="0.25">
      <c r="A35" s="68">
        <v>39</v>
      </c>
      <c r="B35" s="69" t="s">
        <v>182</v>
      </c>
      <c r="C35" s="68" t="s">
        <v>904</v>
      </c>
      <c r="D35" s="68" t="s">
        <v>831</v>
      </c>
      <c r="E35" s="68" t="s">
        <v>885</v>
      </c>
      <c r="F35" s="68" t="s">
        <v>51</v>
      </c>
      <c r="G35" s="68" t="s">
        <v>6</v>
      </c>
      <c r="H35" s="68" t="s">
        <v>888</v>
      </c>
      <c r="I35" s="68">
        <v>1038</v>
      </c>
      <c r="J35" s="68" t="s">
        <v>1154</v>
      </c>
      <c r="K35" s="68" t="s">
        <v>54</v>
      </c>
      <c r="L35" s="70">
        <v>30</v>
      </c>
      <c r="M35" s="71" t="s">
        <v>980</v>
      </c>
      <c r="N35" s="72" t="s">
        <v>809</v>
      </c>
      <c r="O35" s="68">
        <v>1412</v>
      </c>
      <c r="P35" s="69" t="str">
        <f t="shared" ref="P35:P71" si="5">K35&amp;" - "&amp; C35</f>
        <v>Vegetable Pakora Cocktail 30G - GFF013-2R</v>
      </c>
      <c r="Q35" s="72">
        <v>60</v>
      </c>
      <c r="R35" s="72">
        <f t="shared" ref="R35:R36" si="6">($Q35/5)*4</f>
        <v>48</v>
      </c>
      <c r="S35" s="72">
        <f t="shared" ref="S35:S36" si="7">($Q35/5)*3</f>
        <v>36</v>
      </c>
      <c r="T35" s="72">
        <f t="shared" ref="T35:T36" si="8">($Q35/5)*2</f>
        <v>24</v>
      </c>
      <c r="U35" s="72">
        <f t="shared" ref="U35:U36" si="9">($Q35/5)*1</f>
        <v>12</v>
      </c>
      <c r="V35" s="72">
        <v>0</v>
      </c>
      <c r="W35" s="72" t="s">
        <v>1435</v>
      </c>
      <c r="X35" s="72" t="s">
        <v>1501</v>
      </c>
      <c r="Y35" s="72">
        <v>3</v>
      </c>
      <c r="Z35" s="72" t="s">
        <v>2860</v>
      </c>
    </row>
    <row r="36" spans="1:26" ht="15" customHeight="1" x14ac:dyDescent="0.25">
      <c r="A36" s="68">
        <v>40</v>
      </c>
      <c r="B36" s="69" t="s">
        <v>182</v>
      </c>
      <c r="C36" s="68" t="s">
        <v>905</v>
      </c>
      <c r="D36" s="68" t="s">
        <v>831</v>
      </c>
      <c r="E36" s="68" t="s">
        <v>885</v>
      </c>
      <c r="F36" s="68" t="s">
        <v>51</v>
      </c>
      <c r="G36" s="68" t="s">
        <v>6</v>
      </c>
      <c r="H36" s="68" t="s">
        <v>888</v>
      </c>
      <c r="I36" s="68">
        <v>1039</v>
      </c>
      <c r="J36" s="68" t="s">
        <v>1155</v>
      </c>
      <c r="K36" s="68" t="s">
        <v>55</v>
      </c>
      <c r="L36" s="70">
        <v>100</v>
      </c>
      <c r="M36" s="71" t="s">
        <v>980</v>
      </c>
      <c r="N36" s="72" t="s">
        <v>809</v>
      </c>
      <c r="O36" s="68">
        <v>200</v>
      </c>
      <c r="P36" s="69" t="str">
        <f t="shared" si="5"/>
        <v>Vegetable Pakora Large 100G - GFF013-1R</v>
      </c>
      <c r="Q36" s="72">
        <v>45</v>
      </c>
      <c r="R36" s="72">
        <f t="shared" si="6"/>
        <v>36</v>
      </c>
      <c r="S36" s="72">
        <f t="shared" si="7"/>
        <v>27</v>
      </c>
      <c r="T36" s="72">
        <f t="shared" si="8"/>
        <v>18</v>
      </c>
      <c r="U36" s="72">
        <f t="shared" si="9"/>
        <v>9</v>
      </c>
      <c r="V36" s="72">
        <v>0</v>
      </c>
      <c r="W36" s="72" t="s">
        <v>1435</v>
      </c>
      <c r="X36" s="72" t="s">
        <v>1501</v>
      </c>
      <c r="Y36" s="72">
        <v>3</v>
      </c>
      <c r="Z36" s="72" t="s">
        <v>2860</v>
      </c>
    </row>
    <row r="37" spans="1:26" ht="15" customHeight="1" x14ac:dyDescent="0.25">
      <c r="A37" s="68">
        <v>42</v>
      </c>
      <c r="B37" s="69" t="s">
        <v>182</v>
      </c>
      <c r="C37" s="68" t="s">
        <v>908</v>
      </c>
      <c r="D37" s="68" t="s">
        <v>843</v>
      </c>
      <c r="E37" s="68" t="s">
        <v>885</v>
      </c>
      <c r="F37" s="68" t="s">
        <v>57</v>
      </c>
      <c r="G37" s="68" t="s">
        <v>6</v>
      </c>
      <c r="H37" s="68" t="s">
        <v>888</v>
      </c>
      <c r="I37" s="68">
        <v>1041</v>
      </c>
      <c r="J37" s="68" t="s">
        <v>668</v>
      </c>
      <c r="K37" s="68" t="s">
        <v>58</v>
      </c>
      <c r="L37" s="70">
        <v>120</v>
      </c>
      <c r="M37" s="71" t="s">
        <v>979</v>
      </c>
      <c r="N37" s="72" t="s">
        <v>809</v>
      </c>
      <c r="O37" s="68">
        <v>225</v>
      </c>
      <c r="P37" s="69" t="str">
        <f t="shared" si="5"/>
        <v>Lamb Medditerranean Rolls 120G - GFF045R</v>
      </c>
      <c r="Q37" s="72">
        <v>4</v>
      </c>
      <c r="R37" s="72">
        <v>3.2</v>
      </c>
      <c r="S37" s="72">
        <v>2.4</v>
      </c>
      <c r="T37" s="72">
        <v>1.6</v>
      </c>
      <c r="U37" s="72">
        <v>0.8</v>
      </c>
      <c r="V37" s="72">
        <v>0</v>
      </c>
      <c r="W37" s="72" t="s">
        <v>1435</v>
      </c>
      <c r="X37" s="72" t="s">
        <v>982</v>
      </c>
      <c r="Y37" s="72" t="s">
        <v>982</v>
      </c>
      <c r="Z37" s="72"/>
    </row>
    <row r="38" spans="1:26" ht="15" customHeight="1" x14ac:dyDescent="0.25">
      <c r="A38" s="68">
        <v>43</v>
      </c>
      <c r="B38" s="69" t="s">
        <v>182</v>
      </c>
      <c r="C38" s="68" t="s">
        <v>909</v>
      </c>
      <c r="D38" s="68" t="s">
        <v>844</v>
      </c>
      <c r="E38" s="68" t="s">
        <v>885</v>
      </c>
      <c r="F38" s="68" t="s">
        <v>57</v>
      </c>
      <c r="G38" s="68" t="s">
        <v>6</v>
      </c>
      <c r="H38" s="68" t="s">
        <v>888</v>
      </c>
      <c r="I38" s="68">
        <v>1042</v>
      </c>
      <c r="J38" s="68" t="s">
        <v>669</v>
      </c>
      <c r="K38" s="68" t="s">
        <v>59</v>
      </c>
      <c r="L38" s="70">
        <v>120</v>
      </c>
      <c r="M38" s="71" t="s">
        <v>979</v>
      </c>
      <c r="N38" s="72" t="s">
        <v>809</v>
      </c>
      <c r="O38" s="68">
        <v>225</v>
      </c>
      <c r="P38" s="69" t="str">
        <f t="shared" si="5"/>
        <v>Chicken Medditerranean Rolls 120G - GFF044R</v>
      </c>
      <c r="Q38" s="72">
        <v>4</v>
      </c>
      <c r="R38" s="72">
        <v>3.2</v>
      </c>
      <c r="S38" s="72">
        <v>2.4</v>
      </c>
      <c r="T38" s="72">
        <v>1.6</v>
      </c>
      <c r="U38" s="72">
        <v>0.8</v>
      </c>
      <c r="V38" s="72">
        <v>20</v>
      </c>
      <c r="W38" s="72" t="s">
        <v>1435</v>
      </c>
      <c r="X38" s="72" t="s">
        <v>982</v>
      </c>
      <c r="Y38" s="72" t="s">
        <v>982</v>
      </c>
      <c r="Z38" s="72"/>
    </row>
    <row r="39" spans="1:26" ht="15" customHeight="1" x14ac:dyDescent="0.25">
      <c r="A39" s="68">
        <v>135</v>
      </c>
      <c r="B39" s="69" t="s">
        <v>182</v>
      </c>
      <c r="C39" s="73" t="s">
        <v>1310</v>
      </c>
      <c r="D39" s="68" t="s">
        <v>822</v>
      </c>
      <c r="E39" s="68" t="s">
        <v>885</v>
      </c>
      <c r="F39" s="68" t="s">
        <v>30</v>
      </c>
      <c r="G39" s="68" t="s">
        <v>6</v>
      </c>
      <c r="H39" s="68" t="s">
        <v>888</v>
      </c>
      <c r="I39" s="68">
        <v>1134</v>
      </c>
      <c r="J39" s="68" t="s">
        <v>791</v>
      </c>
      <c r="K39" s="68" t="s">
        <v>795</v>
      </c>
      <c r="L39" s="70">
        <v>50</v>
      </c>
      <c r="M39" s="71" t="s">
        <v>979</v>
      </c>
      <c r="N39" s="72" t="s">
        <v>809</v>
      </c>
      <c r="O39" s="68">
        <v>675</v>
      </c>
      <c r="P39" s="69" t="str">
        <f t="shared" si="5"/>
        <v>Chicken Spring Roll Medium 50G- R1 - GFF113R</v>
      </c>
      <c r="Q39" s="72">
        <v>35</v>
      </c>
      <c r="R39" s="72">
        <v>28</v>
      </c>
      <c r="S39" s="72">
        <v>21</v>
      </c>
      <c r="T39" s="72">
        <v>14</v>
      </c>
      <c r="U39" s="72">
        <v>7</v>
      </c>
      <c r="V39" s="72">
        <v>20</v>
      </c>
      <c r="W39" s="72" t="s">
        <v>1435</v>
      </c>
      <c r="X39" s="72" t="s">
        <v>1499</v>
      </c>
      <c r="Y39" s="72">
        <v>3</v>
      </c>
      <c r="Z39" s="72" t="s">
        <v>2866</v>
      </c>
    </row>
    <row r="40" spans="1:26" ht="15" customHeight="1" x14ac:dyDescent="0.25">
      <c r="A40" s="68">
        <v>136</v>
      </c>
      <c r="B40" s="69" t="s">
        <v>182</v>
      </c>
      <c r="C40" s="73" t="s">
        <v>1311</v>
      </c>
      <c r="D40" s="68" t="s">
        <v>820</v>
      </c>
      <c r="E40" s="68" t="s">
        <v>885</v>
      </c>
      <c r="F40" s="68" t="s">
        <v>32</v>
      </c>
      <c r="G40" s="68" t="s">
        <v>6</v>
      </c>
      <c r="H40" s="68" t="s">
        <v>888</v>
      </c>
      <c r="I40" s="68">
        <v>1135</v>
      </c>
      <c r="J40" s="68" t="s">
        <v>794</v>
      </c>
      <c r="K40" s="68" t="s">
        <v>796</v>
      </c>
      <c r="L40" s="70">
        <v>50</v>
      </c>
      <c r="M40" s="71" t="s">
        <v>980</v>
      </c>
      <c r="N40" s="72" t="s">
        <v>814</v>
      </c>
      <c r="O40" s="68">
        <v>3700</v>
      </c>
      <c r="P40" s="69" t="str">
        <f t="shared" si="5"/>
        <v>Vegetable Spring Roll Medium 50G- R1 - GFF114R</v>
      </c>
      <c r="Q40" s="72">
        <v>30</v>
      </c>
      <c r="R40" s="72">
        <f t="shared" ref="R40:R44" si="10">($Q40/5)*4</f>
        <v>24</v>
      </c>
      <c r="S40" s="72">
        <f t="shared" ref="S40:S44" si="11">($Q40/5)*3</f>
        <v>18</v>
      </c>
      <c r="T40" s="72">
        <f t="shared" ref="T40:T44" si="12">($Q40/5)*2</f>
        <v>12</v>
      </c>
      <c r="U40" s="72">
        <f t="shared" ref="U40:U44" si="13">($Q40/5)*1</f>
        <v>6</v>
      </c>
      <c r="V40" s="72">
        <v>20</v>
      </c>
      <c r="W40" s="72" t="s">
        <v>1435</v>
      </c>
      <c r="X40" s="72" t="s">
        <v>1499</v>
      </c>
      <c r="Y40" s="72">
        <v>3</v>
      </c>
      <c r="Z40" s="72"/>
    </row>
    <row r="41" spans="1:26" ht="15" customHeight="1" x14ac:dyDescent="0.25">
      <c r="A41" s="68">
        <v>137</v>
      </c>
      <c r="B41" s="69" t="s">
        <v>182</v>
      </c>
      <c r="C41" s="73" t="s">
        <v>1312</v>
      </c>
      <c r="D41" s="68" t="s">
        <v>820</v>
      </c>
      <c r="E41" s="68" t="s">
        <v>885</v>
      </c>
      <c r="F41" s="68" t="s">
        <v>32</v>
      </c>
      <c r="G41" s="68" t="s">
        <v>6</v>
      </c>
      <c r="H41" s="68" t="s">
        <v>888</v>
      </c>
      <c r="I41" s="68">
        <v>1136</v>
      </c>
      <c r="J41" s="68" t="s">
        <v>801</v>
      </c>
      <c r="K41" s="68" t="s">
        <v>802</v>
      </c>
      <c r="L41" s="70">
        <v>25</v>
      </c>
      <c r="M41" s="71" t="s">
        <v>980</v>
      </c>
      <c r="N41" s="72" t="s">
        <v>809</v>
      </c>
      <c r="O41" s="73">
        <v>1800</v>
      </c>
      <c r="P41" s="69" t="str">
        <f t="shared" si="5"/>
        <v>Vegetable Spring Roll 25G- R1 - GFF111R</v>
      </c>
      <c r="Q41" s="72">
        <v>24</v>
      </c>
      <c r="R41" s="72">
        <f t="shared" si="10"/>
        <v>19.2</v>
      </c>
      <c r="S41" s="72">
        <f t="shared" si="11"/>
        <v>14.399999999999999</v>
      </c>
      <c r="T41" s="72">
        <f t="shared" si="12"/>
        <v>9.6</v>
      </c>
      <c r="U41" s="72">
        <f t="shared" si="13"/>
        <v>4.8</v>
      </c>
      <c r="V41" s="72">
        <v>2</v>
      </c>
      <c r="W41" s="72" t="s">
        <v>1435</v>
      </c>
      <c r="X41" s="72" t="s">
        <v>1499</v>
      </c>
      <c r="Y41" s="72">
        <v>3</v>
      </c>
      <c r="Z41" s="72"/>
    </row>
    <row r="42" spans="1:26" ht="15" customHeight="1" x14ac:dyDescent="0.25">
      <c r="A42" s="68">
        <v>138</v>
      </c>
      <c r="B42" s="69" t="s">
        <v>182</v>
      </c>
      <c r="C42" s="73" t="s">
        <v>1314</v>
      </c>
      <c r="D42" s="68" t="s">
        <v>822</v>
      </c>
      <c r="E42" s="68" t="s">
        <v>885</v>
      </c>
      <c r="F42" s="68" t="s">
        <v>30</v>
      </c>
      <c r="G42" s="68" t="s">
        <v>6</v>
      </c>
      <c r="H42" s="68" t="s">
        <v>888</v>
      </c>
      <c r="I42" s="68">
        <v>1137</v>
      </c>
      <c r="J42" s="68" t="s">
        <v>806</v>
      </c>
      <c r="K42" s="68" t="s">
        <v>807</v>
      </c>
      <c r="L42" s="70">
        <v>25</v>
      </c>
      <c r="M42" s="71" t="s">
        <v>979</v>
      </c>
      <c r="N42" s="72" t="s">
        <v>809</v>
      </c>
      <c r="O42" s="73">
        <v>1235</v>
      </c>
      <c r="P42" s="69" t="str">
        <f t="shared" si="5"/>
        <v>Chicken Spring Roll Cocktail 25G- R1 - GFF112R</v>
      </c>
      <c r="Q42" s="72">
        <v>20</v>
      </c>
      <c r="R42" s="72">
        <f t="shared" si="10"/>
        <v>16</v>
      </c>
      <c r="S42" s="72">
        <f t="shared" si="11"/>
        <v>12</v>
      </c>
      <c r="T42" s="72">
        <f t="shared" si="12"/>
        <v>8</v>
      </c>
      <c r="U42" s="72">
        <f t="shared" si="13"/>
        <v>4</v>
      </c>
      <c r="V42" s="72">
        <v>2</v>
      </c>
      <c r="W42" s="72" t="s">
        <v>1435</v>
      </c>
      <c r="X42" s="72" t="s">
        <v>1499</v>
      </c>
      <c r="Y42" s="72">
        <v>3</v>
      </c>
      <c r="Z42" s="72"/>
    </row>
    <row r="43" spans="1:26" ht="15" customHeight="1" x14ac:dyDescent="0.25">
      <c r="A43" s="68">
        <v>139</v>
      </c>
      <c r="B43" s="69" t="s">
        <v>182</v>
      </c>
      <c r="C43" s="73" t="s">
        <v>1313</v>
      </c>
      <c r="D43" s="68" t="s">
        <v>825</v>
      </c>
      <c r="E43" s="68" t="s">
        <v>885</v>
      </c>
      <c r="F43" s="68" t="s">
        <v>4</v>
      </c>
      <c r="G43" s="68" t="s">
        <v>6</v>
      </c>
      <c r="H43" s="68" t="s">
        <v>888</v>
      </c>
      <c r="I43" s="68">
        <v>1138</v>
      </c>
      <c r="J43" s="68" t="s">
        <v>812</v>
      </c>
      <c r="K43" s="68" t="s">
        <v>811</v>
      </c>
      <c r="L43" s="70">
        <v>25</v>
      </c>
      <c r="M43" s="71" t="s">
        <v>979</v>
      </c>
      <c r="N43" s="72" t="s">
        <v>809</v>
      </c>
      <c r="O43" s="68">
        <v>3200</v>
      </c>
      <c r="P43" s="69" t="str">
        <f t="shared" si="5"/>
        <v>Chicken Tikka Samosa Cocktail 25G R-1 - GFF110R</v>
      </c>
      <c r="Q43" s="72">
        <v>26</v>
      </c>
      <c r="R43" s="72">
        <f t="shared" si="10"/>
        <v>20.8</v>
      </c>
      <c r="S43" s="72">
        <f t="shared" si="11"/>
        <v>15.600000000000001</v>
      </c>
      <c r="T43" s="72">
        <f t="shared" si="12"/>
        <v>10.4</v>
      </c>
      <c r="U43" s="72">
        <f t="shared" si="13"/>
        <v>5.2</v>
      </c>
      <c r="V43" s="72">
        <v>8</v>
      </c>
      <c r="W43" s="72" t="s">
        <v>1435</v>
      </c>
      <c r="X43" s="72" t="s">
        <v>1499</v>
      </c>
      <c r="Y43" s="72">
        <v>3</v>
      </c>
      <c r="Z43" s="72"/>
    </row>
    <row r="44" spans="1:26" x14ac:dyDescent="0.25">
      <c r="A44" s="68">
        <v>140</v>
      </c>
      <c r="B44" s="69" t="s">
        <v>182</v>
      </c>
      <c r="C44" s="68" t="s">
        <v>900</v>
      </c>
      <c r="D44" s="68" t="s">
        <v>824</v>
      </c>
      <c r="E44" s="68" t="s">
        <v>885</v>
      </c>
      <c r="F44" s="68" t="s">
        <v>40</v>
      </c>
      <c r="G44" s="68" t="s">
        <v>6</v>
      </c>
      <c r="H44" s="68" t="s">
        <v>888</v>
      </c>
      <c r="I44" s="68">
        <v>1139</v>
      </c>
      <c r="J44" s="68" t="s">
        <v>779</v>
      </c>
      <c r="K44" s="68" t="s">
        <v>43</v>
      </c>
      <c r="L44" s="70">
        <v>30</v>
      </c>
      <c r="M44" s="71" t="s">
        <v>980</v>
      </c>
      <c r="N44" s="72" t="s">
        <v>809</v>
      </c>
      <c r="O44" s="68">
        <v>1587</v>
      </c>
      <c r="P44" s="69" t="str">
        <f t="shared" si="5"/>
        <v>Onion Bhaji Cocktail 30G - GFF009-1R</v>
      </c>
      <c r="Q44" s="72">
        <v>60</v>
      </c>
      <c r="R44" s="72">
        <f t="shared" si="10"/>
        <v>48</v>
      </c>
      <c r="S44" s="72">
        <f t="shared" si="11"/>
        <v>36</v>
      </c>
      <c r="T44" s="72">
        <f t="shared" si="12"/>
        <v>24</v>
      </c>
      <c r="U44" s="72">
        <f t="shared" si="13"/>
        <v>12</v>
      </c>
      <c r="V44" s="72">
        <v>0</v>
      </c>
      <c r="W44" s="72" t="s">
        <v>1435</v>
      </c>
      <c r="X44" s="72" t="s">
        <v>1501</v>
      </c>
      <c r="Y44" s="72">
        <v>3</v>
      </c>
      <c r="Z44" s="72" t="s">
        <v>2860</v>
      </c>
    </row>
    <row r="45" spans="1:26" ht="15" customHeight="1" x14ac:dyDescent="0.25">
      <c r="A45" s="72">
        <v>45</v>
      </c>
      <c r="B45" s="69" t="s">
        <v>182</v>
      </c>
      <c r="C45" s="68" t="s">
        <v>911</v>
      </c>
      <c r="D45" s="68" t="s">
        <v>63</v>
      </c>
      <c r="E45" s="72" t="s">
        <v>886</v>
      </c>
      <c r="F45" s="68" t="s">
        <v>62</v>
      </c>
      <c r="G45" s="68" t="s">
        <v>6</v>
      </c>
      <c r="H45" s="68" t="s">
        <v>888</v>
      </c>
      <c r="I45" s="68">
        <v>1044</v>
      </c>
      <c r="J45" s="68" t="str">
        <f>VLOOKUP(A45,('ALL CONTENTS'!$A$3:$M$153),13,FALSE)</f>
        <v>GZRM001</v>
      </c>
      <c r="K45" s="68" t="s">
        <v>63</v>
      </c>
      <c r="L45" s="70"/>
      <c r="M45" s="71" t="s">
        <v>980</v>
      </c>
      <c r="N45" s="72" t="s">
        <v>809</v>
      </c>
      <c r="O45" s="68">
        <v>28</v>
      </c>
      <c r="P45" s="69" t="str">
        <f t="shared" si="5"/>
        <v>Pilau Rice - GFF091R</v>
      </c>
      <c r="Q45" s="72"/>
      <c r="R45" s="72"/>
      <c r="S45" s="72"/>
      <c r="T45" s="72"/>
      <c r="U45" s="72"/>
      <c r="V45" s="72">
        <v>0</v>
      </c>
      <c r="W45" s="72" t="s">
        <v>1435</v>
      </c>
      <c r="X45" s="72" t="s">
        <v>982</v>
      </c>
      <c r="Y45" s="72" t="s">
        <v>982</v>
      </c>
      <c r="Z45" s="72"/>
    </row>
    <row r="46" spans="1:26" ht="15" customHeight="1" x14ac:dyDescent="0.25">
      <c r="A46" s="72">
        <v>46</v>
      </c>
      <c r="B46" s="69" t="s">
        <v>182</v>
      </c>
      <c r="C46" s="68" t="s">
        <v>912</v>
      </c>
      <c r="D46" s="68" t="s">
        <v>64</v>
      </c>
      <c r="E46" s="72" t="s">
        <v>886</v>
      </c>
      <c r="F46" s="68" t="s">
        <v>62</v>
      </c>
      <c r="G46" s="68" t="s">
        <v>6</v>
      </c>
      <c r="H46" s="68" t="s">
        <v>888</v>
      </c>
      <c r="I46" s="68">
        <v>1045</v>
      </c>
      <c r="J46" s="68" t="str">
        <f>VLOOKUP(A46,('ALL CONTENTS'!$A$3:$M$153),13,FALSE)</f>
        <v>GZRM002</v>
      </c>
      <c r="K46" s="68" t="s">
        <v>64</v>
      </c>
      <c r="L46" s="70"/>
      <c r="M46" s="71" t="s">
        <v>979</v>
      </c>
      <c r="N46" s="72" t="s">
        <v>809</v>
      </c>
      <c r="O46" s="68">
        <v>60</v>
      </c>
      <c r="P46" s="69" t="str">
        <f t="shared" si="5"/>
        <v>Tikka Masala Sauce - GFF092R</v>
      </c>
      <c r="Q46" s="72"/>
      <c r="R46" s="72"/>
      <c r="S46" s="72"/>
      <c r="T46" s="72"/>
      <c r="U46" s="72"/>
      <c r="V46" s="72">
        <v>0</v>
      </c>
      <c r="W46" s="72" t="s">
        <v>1435</v>
      </c>
      <c r="X46" s="72" t="s">
        <v>982</v>
      </c>
      <c r="Y46" s="72" t="s">
        <v>982</v>
      </c>
      <c r="Z46" s="72"/>
    </row>
    <row r="47" spans="1:26" ht="15" customHeight="1" x14ac:dyDescent="0.25">
      <c r="A47" s="72">
        <v>47</v>
      </c>
      <c r="B47" s="69" t="s">
        <v>182</v>
      </c>
      <c r="C47" s="68" t="s">
        <v>913</v>
      </c>
      <c r="D47" s="68" t="s">
        <v>65</v>
      </c>
      <c r="E47" s="72" t="s">
        <v>886</v>
      </c>
      <c r="F47" s="68" t="s">
        <v>62</v>
      </c>
      <c r="G47" s="68" t="s">
        <v>6</v>
      </c>
      <c r="H47" s="68" t="s">
        <v>888</v>
      </c>
      <c r="I47" s="68">
        <v>1046</v>
      </c>
      <c r="J47" s="68" t="str">
        <f>VLOOKUP(A47,('ALL CONTENTS'!$A$3:$M$153),13,FALSE)</f>
        <v>GZRM003</v>
      </c>
      <c r="K47" s="68" t="s">
        <v>65</v>
      </c>
      <c r="L47" s="70"/>
      <c r="M47" s="71" t="s">
        <v>979</v>
      </c>
      <c r="N47" s="72" t="s">
        <v>809</v>
      </c>
      <c r="O47" s="68">
        <v>60</v>
      </c>
      <c r="P47" s="69" t="str">
        <f t="shared" si="5"/>
        <v>Korma Sauce - GFF093R</v>
      </c>
      <c r="Q47" s="72"/>
      <c r="R47" s="72"/>
      <c r="S47" s="72"/>
      <c r="T47" s="72"/>
      <c r="U47" s="72"/>
      <c r="V47" s="72">
        <v>0</v>
      </c>
      <c r="W47" s="72" t="s">
        <v>1435</v>
      </c>
      <c r="X47" s="72" t="s">
        <v>982</v>
      </c>
      <c r="Y47" s="72" t="s">
        <v>982</v>
      </c>
      <c r="Z47" s="72"/>
    </row>
    <row r="48" spans="1:26" ht="15" customHeight="1" x14ac:dyDescent="0.25">
      <c r="A48" s="72">
        <v>48</v>
      </c>
      <c r="B48" s="69" t="s">
        <v>182</v>
      </c>
      <c r="C48" s="68" t="s">
        <v>914</v>
      </c>
      <c r="D48" s="68" t="s">
        <v>66</v>
      </c>
      <c r="E48" s="72" t="s">
        <v>886</v>
      </c>
      <c r="F48" s="68" t="s">
        <v>62</v>
      </c>
      <c r="G48" s="68" t="s">
        <v>6</v>
      </c>
      <c r="H48" s="68" t="s">
        <v>888</v>
      </c>
      <c r="I48" s="68">
        <v>1047</v>
      </c>
      <c r="J48" s="68" t="str">
        <f>VLOOKUP(A48,('ALL CONTENTS'!$A$3:$M$153),13,FALSE)</f>
        <v>GZRM004</v>
      </c>
      <c r="K48" s="68" t="s">
        <v>66</v>
      </c>
      <c r="L48" s="70"/>
      <c r="M48" s="71" t="s">
        <v>979</v>
      </c>
      <c r="N48" s="72" t="s">
        <v>809</v>
      </c>
      <c r="O48" s="68">
        <v>60</v>
      </c>
      <c r="P48" s="69" t="str">
        <f t="shared" si="5"/>
        <v>Jalfrezi Sauce - GFF095R</v>
      </c>
      <c r="Q48" s="72"/>
      <c r="R48" s="72"/>
      <c r="S48" s="72"/>
      <c r="T48" s="72"/>
      <c r="U48" s="72"/>
      <c r="V48" s="72">
        <v>0</v>
      </c>
      <c r="W48" s="72" t="s">
        <v>1435</v>
      </c>
      <c r="X48" s="72" t="s">
        <v>982</v>
      </c>
      <c r="Y48" s="72" t="s">
        <v>982</v>
      </c>
      <c r="Z48" s="72"/>
    </row>
    <row r="49" spans="1:26" ht="15" customHeight="1" x14ac:dyDescent="0.25">
      <c r="A49" s="72">
        <v>49</v>
      </c>
      <c r="B49" s="69" t="s">
        <v>182</v>
      </c>
      <c r="C49" s="68" t="s">
        <v>915</v>
      </c>
      <c r="D49" s="68" t="s">
        <v>67</v>
      </c>
      <c r="E49" s="72" t="s">
        <v>886</v>
      </c>
      <c r="F49" s="68" t="s">
        <v>62</v>
      </c>
      <c r="G49" s="68" t="s">
        <v>6</v>
      </c>
      <c r="H49" s="68" t="s">
        <v>888</v>
      </c>
      <c r="I49" s="68">
        <v>1048</v>
      </c>
      <c r="J49" s="68" t="str">
        <f>VLOOKUP(A49,('ALL CONTENTS'!$A$3:$M$153),13,FALSE)</f>
        <v>GZRM005</v>
      </c>
      <c r="K49" s="68" t="s">
        <v>67</v>
      </c>
      <c r="L49" s="70"/>
      <c r="M49" s="71" t="s">
        <v>979</v>
      </c>
      <c r="N49" s="72" t="s">
        <v>809</v>
      </c>
      <c r="O49" s="68">
        <v>60</v>
      </c>
      <c r="P49" s="69" t="str">
        <f t="shared" si="5"/>
        <v>Roganjosh Sauce - GFF094R</v>
      </c>
      <c r="Q49" s="72"/>
      <c r="R49" s="72"/>
      <c r="S49" s="72"/>
      <c r="T49" s="72"/>
      <c r="U49" s="72"/>
      <c r="V49" s="72">
        <v>0</v>
      </c>
      <c r="W49" s="72" t="s">
        <v>1435</v>
      </c>
      <c r="X49" s="72" t="s">
        <v>982</v>
      </c>
      <c r="Y49" s="72" t="s">
        <v>982</v>
      </c>
      <c r="Z49" s="72"/>
    </row>
    <row r="50" spans="1:26" ht="15" customHeight="1" x14ac:dyDescent="0.25">
      <c r="A50" s="72">
        <v>50</v>
      </c>
      <c r="B50" s="69" t="s">
        <v>182</v>
      </c>
      <c r="C50" s="68" t="s">
        <v>916</v>
      </c>
      <c r="D50" s="68" t="s">
        <v>68</v>
      </c>
      <c r="E50" s="72" t="s">
        <v>886</v>
      </c>
      <c r="F50" s="68" t="s">
        <v>62</v>
      </c>
      <c r="G50" s="68" t="s">
        <v>6</v>
      </c>
      <c r="H50" s="68" t="s">
        <v>888</v>
      </c>
      <c r="I50" s="68">
        <v>1049</v>
      </c>
      <c r="J50" s="68" t="str">
        <f>VLOOKUP(A50,('ALL CONTENTS'!$A$3:$M$153),13,FALSE)</f>
        <v>GZRM006</v>
      </c>
      <c r="K50" s="68" t="s">
        <v>68</v>
      </c>
      <c r="L50" s="70"/>
      <c r="M50" s="71" t="s">
        <v>979</v>
      </c>
      <c r="N50" s="72" t="s">
        <v>809</v>
      </c>
      <c r="O50" s="68">
        <v>60</v>
      </c>
      <c r="P50" s="69" t="str">
        <f t="shared" si="5"/>
        <v>Balti Sauce - GFF051R</v>
      </c>
      <c r="Q50" s="72"/>
      <c r="R50" s="72"/>
      <c r="S50" s="72"/>
      <c r="T50" s="72"/>
      <c r="U50" s="72"/>
      <c r="V50" s="72">
        <v>0</v>
      </c>
      <c r="W50" s="72" t="s">
        <v>1435</v>
      </c>
      <c r="X50" s="72" t="s">
        <v>1480</v>
      </c>
      <c r="Y50" s="72">
        <v>2</v>
      </c>
      <c r="Z50" s="72"/>
    </row>
    <row r="51" spans="1:26" ht="15" customHeight="1" x14ac:dyDescent="0.25">
      <c r="A51" s="72">
        <v>51</v>
      </c>
      <c r="B51" s="69" t="s">
        <v>182</v>
      </c>
      <c r="C51" s="68" t="s">
        <v>917</v>
      </c>
      <c r="D51" s="68" t="s">
        <v>69</v>
      </c>
      <c r="E51" s="72" t="s">
        <v>886</v>
      </c>
      <c r="F51" s="68" t="s">
        <v>62</v>
      </c>
      <c r="G51" s="68" t="s">
        <v>6</v>
      </c>
      <c r="H51" s="68" t="s">
        <v>888</v>
      </c>
      <c r="I51" s="68">
        <v>1050</v>
      </c>
      <c r="J51" s="68" t="str">
        <f>VLOOKUP(A51,('ALL CONTENTS'!$A$3:$M$153),13,FALSE)</f>
        <v>GZRM007</v>
      </c>
      <c r="K51" s="68" t="s">
        <v>69</v>
      </c>
      <c r="L51" s="70"/>
      <c r="M51" s="71" t="s">
        <v>979</v>
      </c>
      <c r="N51" s="72" t="s">
        <v>809</v>
      </c>
      <c r="O51" s="68">
        <v>60</v>
      </c>
      <c r="P51" s="69" t="str">
        <f t="shared" si="5"/>
        <v>Dopiazza Sauce - GFF073R</v>
      </c>
      <c r="Q51" s="72"/>
      <c r="R51" s="72"/>
      <c r="S51" s="72"/>
      <c r="T51" s="72"/>
      <c r="U51" s="72"/>
      <c r="V51" s="72">
        <v>0</v>
      </c>
      <c r="W51" s="72" t="s">
        <v>1435</v>
      </c>
      <c r="X51" s="72" t="s">
        <v>982</v>
      </c>
      <c r="Y51" s="72" t="s">
        <v>982</v>
      </c>
      <c r="Z51" s="72"/>
    </row>
    <row r="52" spans="1:26" ht="15" customHeight="1" x14ac:dyDescent="0.25">
      <c r="A52" s="72">
        <v>52</v>
      </c>
      <c r="B52" s="69" t="s">
        <v>182</v>
      </c>
      <c r="C52" s="68" t="s">
        <v>918</v>
      </c>
      <c r="D52" s="68" t="s">
        <v>70</v>
      </c>
      <c r="E52" s="72" t="s">
        <v>886</v>
      </c>
      <c r="F52" s="68" t="s">
        <v>62</v>
      </c>
      <c r="G52" s="68" t="s">
        <v>6</v>
      </c>
      <c r="H52" s="68" t="s">
        <v>888</v>
      </c>
      <c r="I52" s="68">
        <v>1051</v>
      </c>
      <c r="J52" s="68" t="str">
        <f>VLOOKUP(A52,('ALL CONTENTS'!$A$3:$M$153),13,FALSE)</f>
        <v>GZRM008</v>
      </c>
      <c r="K52" s="68" t="s">
        <v>70</v>
      </c>
      <c r="L52" s="70"/>
      <c r="M52" s="71" t="s">
        <v>979</v>
      </c>
      <c r="N52" s="72" t="s">
        <v>809</v>
      </c>
      <c r="O52" s="68">
        <v>47</v>
      </c>
      <c r="P52" s="69" t="str">
        <f t="shared" si="5"/>
        <v>Madras Sauce - GFF101R</v>
      </c>
      <c r="Q52" s="72"/>
      <c r="R52" s="72"/>
      <c r="S52" s="72"/>
      <c r="T52" s="72"/>
      <c r="U52" s="72"/>
      <c r="V52" s="72">
        <v>0</v>
      </c>
      <c r="W52" s="72" t="s">
        <v>1435</v>
      </c>
      <c r="X52" s="72" t="s">
        <v>982</v>
      </c>
      <c r="Y52" s="72" t="s">
        <v>982</v>
      </c>
      <c r="Z52" s="72"/>
    </row>
    <row r="53" spans="1:26" ht="15" customHeight="1" x14ac:dyDescent="0.25">
      <c r="A53" s="72">
        <v>53</v>
      </c>
      <c r="B53" s="69" t="s">
        <v>182</v>
      </c>
      <c r="C53" s="68" t="s">
        <v>919</v>
      </c>
      <c r="D53" s="68" t="s">
        <v>71</v>
      </c>
      <c r="E53" s="72" t="s">
        <v>886</v>
      </c>
      <c r="F53" s="68" t="s">
        <v>62</v>
      </c>
      <c r="G53" s="68" t="s">
        <v>6</v>
      </c>
      <c r="H53" s="68" t="s">
        <v>888</v>
      </c>
      <c r="I53" s="68">
        <v>1052</v>
      </c>
      <c r="J53" s="68" t="str">
        <f>VLOOKUP(A53,('ALL CONTENTS'!$A$3:$M$153),13,FALSE)</f>
        <v>GZRM009</v>
      </c>
      <c r="K53" s="68" t="s">
        <v>71</v>
      </c>
      <c r="L53" s="70"/>
      <c r="M53" s="71" t="s">
        <v>980</v>
      </c>
      <c r="N53" s="72" t="s">
        <v>809</v>
      </c>
      <c r="O53" s="68">
        <v>45</v>
      </c>
      <c r="P53" s="69" t="str">
        <f t="shared" si="5"/>
        <v>Bombay Potato - GFF100R</v>
      </c>
      <c r="Q53" s="72"/>
      <c r="R53" s="72"/>
      <c r="S53" s="72"/>
      <c r="T53" s="72"/>
      <c r="U53" s="72"/>
      <c r="V53" s="72">
        <v>0</v>
      </c>
      <c r="W53" s="72" t="s">
        <v>1435</v>
      </c>
      <c r="X53" s="72" t="s">
        <v>982</v>
      </c>
      <c r="Y53" s="72" t="s">
        <v>982</v>
      </c>
      <c r="Z53" s="72"/>
    </row>
    <row r="54" spans="1:26" ht="15" customHeight="1" x14ac:dyDescent="0.25">
      <c r="A54" s="72">
        <v>54</v>
      </c>
      <c r="B54" s="69" t="s">
        <v>182</v>
      </c>
      <c r="C54" s="68" t="s">
        <v>920</v>
      </c>
      <c r="D54" s="68" t="s">
        <v>72</v>
      </c>
      <c r="E54" s="72" t="s">
        <v>886</v>
      </c>
      <c r="F54" s="68" t="s">
        <v>62</v>
      </c>
      <c r="G54" s="68" t="s">
        <v>6</v>
      </c>
      <c r="H54" s="68" t="s">
        <v>888</v>
      </c>
      <c r="I54" s="68">
        <v>1053</v>
      </c>
      <c r="J54" s="68" t="str">
        <f>VLOOKUP(A54,('ALL CONTENTS'!$A$3:$M$153),13,FALSE)</f>
        <v>GZRM010</v>
      </c>
      <c r="K54" s="68" t="s">
        <v>72</v>
      </c>
      <c r="L54" s="70"/>
      <c r="M54" s="71" t="s">
        <v>980</v>
      </c>
      <c r="N54" s="72" t="s">
        <v>809</v>
      </c>
      <c r="O54" s="68">
        <v>15</v>
      </c>
      <c r="P54" s="69" t="str">
        <f t="shared" si="5"/>
        <v>Vegetable Curry - GFF108R</v>
      </c>
      <c r="Q54" s="72"/>
      <c r="R54" s="72"/>
      <c r="S54" s="72"/>
      <c r="T54" s="72"/>
      <c r="U54" s="72"/>
      <c r="V54" s="72">
        <v>0</v>
      </c>
      <c r="W54" s="72" t="s">
        <v>1435</v>
      </c>
      <c r="X54" s="72" t="s">
        <v>1481</v>
      </c>
      <c r="Y54" s="72">
        <v>3</v>
      </c>
      <c r="Z54" s="72"/>
    </row>
    <row r="55" spans="1:26" ht="15" customHeight="1" x14ac:dyDescent="0.25">
      <c r="A55" s="72">
        <v>55</v>
      </c>
      <c r="B55" s="69" t="s">
        <v>182</v>
      </c>
      <c r="C55" s="68" t="s">
        <v>921</v>
      </c>
      <c r="D55" s="68" t="s">
        <v>74</v>
      </c>
      <c r="E55" s="72" t="s">
        <v>886</v>
      </c>
      <c r="F55" s="68" t="s">
        <v>73</v>
      </c>
      <c r="G55" s="68" t="s">
        <v>6</v>
      </c>
      <c r="H55" s="68" t="s">
        <v>888</v>
      </c>
      <c r="I55" s="68">
        <v>1054</v>
      </c>
      <c r="J55" s="68" t="str">
        <f>VLOOKUP(A55,('ALL CONTENTS'!$A$3:$M$153),13,FALSE)</f>
        <v>GZRM011</v>
      </c>
      <c r="K55" s="68" t="s">
        <v>74</v>
      </c>
      <c r="L55" s="70"/>
      <c r="M55" s="71" t="s">
        <v>980</v>
      </c>
      <c r="N55" s="72" t="s">
        <v>809</v>
      </c>
      <c r="O55" s="68">
        <v>60</v>
      </c>
      <c r="P55" s="69" t="str">
        <f t="shared" si="5"/>
        <v>Vegetable Fried Rice - GFF090R</v>
      </c>
      <c r="Q55" s="72"/>
      <c r="R55" s="72"/>
      <c r="S55" s="72"/>
      <c r="T55" s="72"/>
      <c r="U55" s="72"/>
      <c r="V55" s="72">
        <v>0</v>
      </c>
      <c r="W55" s="72" t="s">
        <v>1435</v>
      </c>
      <c r="X55" s="72" t="s">
        <v>1482</v>
      </c>
      <c r="Y55" s="72">
        <v>1</v>
      </c>
      <c r="Z55" s="72" t="s">
        <v>2228</v>
      </c>
    </row>
    <row r="56" spans="1:26" ht="15" customHeight="1" x14ac:dyDescent="0.25">
      <c r="A56" s="72">
        <v>57</v>
      </c>
      <c r="B56" s="69" t="s">
        <v>182</v>
      </c>
      <c r="C56" s="68" t="s">
        <v>923</v>
      </c>
      <c r="D56" s="68" t="s">
        <v>76</v>
      </c>
      <c r="E56" s="72" t="s">
        <v>886</v>
      </c>
      <c r="F56" s="68" t="s">
        <v>73</v>
      </c>
      <c r="G56" s="68" t="s">
        <v>6</v>
      </c>
      <c r="H56" s="68" t="s">
        <v>888</v>
      </c>
      <c r="I56" s="68">
        <v>1056</v>
      </c>
      <c r="J56" s="68" t="str">
        <f>VLOOKUP(A56,('ALL CONTENTS'!$A$3:$M$153),13,FALSE)</f>
        <v>GZRM013</v>
      </c>
      <c r="K56" s="68" t="s">
        <v>76</v>
      </c>
      <c r="L56" s="70"/>
      <c r="M56" s="71" t="s">
        <v>979</v>
      </c>
      <c r="N56" s="72" t="s">
        <v>809</v>
      </c>
      <c r="O56" s="68">
        <v>34</v>
      </c>
      <c r="P56" s="69" t="str">
        <f t="shared" si="5"/>
        <v>Chowmein Sauce - GFF063R</v>
      </c>
      <c r="Q56" s="72"/>
      <c r="R56" s="72"/>
      <c r="S56" s="72"/>
      <c r="T56" s="72"/>
      <c r="U56" s="72"/>
      <c r="V56" s="72">
        <v>0</v>
      </c>
      <c r="W56" s="72" t="s">
        <v>1435</v>
      </c>
      <c r="X56" s="72" t="s">
        <v>982</v>
      </c>
      <c r="Y56" s="72" t="s">
        <v>982</v>
      </c>
      <c r="Z56" s="72"/>
    </row>
    <row r="57" spans="1:26" ht="15" customHeight="1" x14ac:dyDescent="0.25">
      <c r="A57" s="72">
        <v>58</v>
      </c>
      <c r="B57" s="69" t="s">
        <v>182</v>
      </c>
      <c r="C57" s="68" t="s">
        <v>924</v>
      </c>
      <c r="D57" s="68" t="s">
        <v>77</v>
      </c>
      <c r="E57" s="72" t="s">
        <v>886</v>
      </c>
      <c r="F57" s="68" t="s">
        <v>73</v>
      </c>
      <c r="G57" s="68" t="s">
        <v>6</v>
      </c>
      <c r="H57" s="68" t="s">
        <v>888</v>
      </c>
      <c r="I57" s="68">
        <v>1057</v>
      </c>
      <c r="J57" s="68" t="str">
        <f>VLOOKUP(A57,('ALL CONTENTS'!$A$3:$M$153),13,FALSE)</f>
        <v>GZRM014</v>
      </c>
      <c r="K57" s="68" t="s">
        <v>77</v>
      </c>
      <c r="L57" s="70"/>
      <c r="M57" s="71" t="s">
        <v>980</v>
      </c>
      <c r="N57" s="72" t="s">
        <v>809</v>
      </c>
      <c r="O57" s="68">
        <v>34</v>
      </c>
      <c r="P57" s="69" t="str">
        <f t="shared" si="5"/>
        <v>Stir Fried Vegetables  - GFF066R</v>
      </c>
      <c r="Q57" s="72"/>
      <c r="R57" s="72"/>
      <c r="S57" s="72"/>
      <c r="T57" s="72"/>
      <c r="U57" s="72"/>
      <c r="V57" s="72">
        <v>0</v>
      </c>
      <c r="W57" s="72" t="s">
        <v>1435</v>
      </c>
      <c r="X57" s="72" t="s">
        <v>982</v>
      </c>
      <c r="Y57" s="72" t="s">
        <v>982</v>
      </c>
      <c r="Z57" s="72"/>
    </row>
    <row r="58" spans="1:26" ht="15" customHeight="1" x14ac:dyDescent="0.25">
      <c r="A58" s="72">
        <v>59</v>
      </c>
      <c r="B58" s="69" t="s">
        <v>182</v>
      </c>
      <c r="C58" s="68" t="s">
        <v>926</v>
      </c>
      <c r="D58" s="68" t="s">
        <v>78</v>
      </c>
      <c r="E58" s="72" t="s">
        <v>886</v>
      </c>
      <c r="F58" s="68" t="s">
        <v>73</v>
      </c>
      <c r="G58" s="68" t="s">
        <v>6</v>
      </c>
      <c r="H58" s="68" t="s">
        <v>888</v>
      </c>
      <c r="I58" s="68">
        <v>1058</v>
      </c>
      <c r="J58" s="68" t="str">
        <f>VLOOKUP(A58,('ALL CONTENTS'!$A$3:$M$153),13,FALSE)</f>
        <v>GZRM015</v>
      </c>
      <c r="K58" s="68" t="s">
        <v>78</v>
      </c>
      <c r="L58" s="70"/>
      <c r="M58" s="71" t="s">
        <v>979</v>
      </c>
      <c r="N58" s="72" t="s">
        <v>809</v>
      </c>
      <c r="O58" s="68">
        <v>37</v>
      </c>
      <c r="P58" s="69" t="str">
        <f t="shared" si="5"/>
        <v>Sweet &amp; Sour Sauce - GFF068R</v>
      </c>
      <c r="Q58" s="72"/>
      <c r="R58" s="72"/>
      <c r="S58" s="72"/>
      <c r="T58" s="72"/>
      <c r="U58" s="72"/>
      <c r="V58" s="72">
        <v>0</v>
      </c>
      <c r="W58" s="72" t="s">
        <v>1435</v>
      </c>
      <c r="X58" s="72" t="s">
        <v>982</v>
      </c>
      <c r="Y58" s="72" t="s">
        <v>982</v>
      </c>
      <c r="Z58" s="72"/>
    </row>
    <row r="59" spans="1:26" ht="15" customHeight="1" x14ac:dyDescent="0.25">
      <c r="A59" s="72">
        <v>60</v>
      </c>
      <c r="B59" s="69" t="s">
        <v>182</v>
      </c>
      <c r="C59" s="68" t="s">
        <v>927</v>
      </c>
      <c r="D59" s="68" t="s">
        <v>79</v>
      </c>
      <c r="E59" s="72" t="s">
        <v>886</v>
      </c>
      <c r="F59" s="68" t="s">
        <v>73</v>
      </c>
      <c r="G59" s="68" t="s">
        <v>6</v>
      </c>
      <c r="H59" s="68" t="s">
        <v>888</v>
      </c>
      <c r="I59" s="68">
        <v>1059</v>
      </c>
      <c r="J59" s="68" t="str">
        <f>VLOOKUP(A59,('ALL CONTENTS'!$A$3:$M$153),13,FALSE)</f>
        <v>GZRM016</v>
      </c>
      <c r="K59" s="68" t="s">
        <v>79</v>
      </c>
      <c r="L59" s="70"/>
      <c r="M59" s="71" t="s">
        <v>979</v>
      </c>
      <c r="N59" s="72" t="s">
        <v>809</v>
      </c>
      <c r="O59" s="68">
        <v>42</v>
      </c>
      <c r="P59" s="69" t="str">
        <f t="shared" si="5"/>
        <v>Black Bean Sauce - GFF069R</v>
      </c>
      <c r="Q59" s="72"/>
      <c r="R59" s="72"/>
      <c r="S59" s="72"/>
      <c r="T59" s="72"/>
      <c r="U59" s="72"/>
      <c r="V59" s="72">
        <v>0</v>
      </c>
      <c r="W59" s="72" t="s">
        <v>1435</v>
      </c>
      <c r="X59" s="72" t="s">
        <v>982</v>
      </c>
      <c r="Y59" s="72" t="s">
        <v>982</v>
      </c>
      <c r="Z59" s="72"/>
    </row>
    <row r="60" spans="1:26" ht="15" customHeight="1" x14ac:dyDescent="0.25">
      <c r="A60" s="72">
        <v>61</v>
      </c>
      <c r="B60" s="69" t="s">
        <v>182</v>
      </c>
      <c r="C60" s="68" t="s">
        <v>928</v>
      </c>
      <c r="D60" s="68" t="s">
        <v>80</v>
      </c>
      <c r="E60" s="72" t="s">
        <v>886</v>
      </c>
      <c r="F60" s="68" t="s">
        <v>73</v>
      </c>
      <c r="G60" s="68" t="s">
        <v>6</v>
      </c>
      <c r="H60" s="68" t="s">
        <v>888</v>
      </c>
      <c r="I60" s="68">
        <v>1060</v>
      </c>
      <c r="J60" s="68" t="str">
        <f>VLOOKUP(A60,('ALL CONTENTS'!$A$3:$M$153),13,FALSE)</f>
        <v>GZRM017</v>
      </c>
      <c r="K60" s="68" t="s">
        <v>80</v>
      </c>
      <c r="L60" s="70"/>
      <c r="M60" s="71" t="s">
        <v>979</v>
      </c>
      <c r="N60" s="72" t="s">
        <v>809</v>
      </c>
      <c r="O60" s="68">
        <v>47</v>
      </c>
      <c r="P60" s="69" t="str">
        <f t="shared" si="5"/>
        <v>Savoury Sauce - GFF070R</v>
      </c>
      <c r="Q60" s="72"/>
      <c r="R60" s="72"/>
      <c r="S60" s="72"/>
      <c r="T60" s="72"/>
      <c r="U60" s="72"/>
      <c r="V60" s="72">
        <v>0</v>
      </c>
      <c r="W60" s="72" t="s">
        <v>1435</v>
      </c>
      <c r="X60" s="72" t="s">
        <v>982</v>
      </c>
      <c r="Y60" s="72" t="s">
        <v>982</v>
      </c>
      <c r="Z60" s="72"/>
    </row>
    <row r="61" spans="1:26" ht="15" customHeight="1" x14ac:dyDescent="0.25">
      <c r="A61" s="72">
        <v>62</v>
      </c>
      <c r="B61" s="69" t="s">
        <v>182</v>
      </c>
      <c r="C61" s="68" t="s">
        <v>929</v>
      </c>
      <c r="D61" s="68" t="s">
        <v>81</v>
      </c>
      <c r="E61" s="72" t="s">
        <v>886</v>
      </c>
      <c r="F61" s="68" t="s">
        <v>73</v>
      </c>
      <c r="G61" s="68" t="s">
        <v>6</v>
      </c>
      <c r="H61" s="68" t="s">
        <v>888</v>
      </c>
      <c r="I61" s="68">
        <v>1061</v>
      </c>
      <c r="J61" s="68" t="str">
        <f>VLOOKUP(A61,('ALL CONTENTS'!$A$3:$M$153),13,FALSE)</f>
        <v>GZRM018</v>
      </c>
      <c r="K61" s="68" t="s">
        <v>81</v>
      </c>
      <c r="L61" s="70"/>
      <c r="M61" s="71" t="s">
        <v>979</v>
      </c>
      <c r="N61" s="72" t="s">
        <v>809</v>
      </c>
      <c r="O61" s="68">
        <v>47</v>
      </c>
      <c r="P61" s="69" t="str">
        <f t="shared" si="5"/>
        <v>Red Thai Curry Sauce - GFF071R</v>
      </c>
      <c r="Q61" s="72"/>
      <c r="R61" s="72"/>
      <c r="S61" s="72"/>
      <c r="T61" s="72"/>
      <c r="U61" s="72"/>
      <c r="V61" s="72">
        <v>0</v>
      </c>
      <c r="W61" s="72" t="s">
        <v>1435</v>
      </c>
      <c r="X61" s="72" t="s">
        <v>1483</v>
      </c>
      <c r="Y61" s="72">
        <v>1</v>
      </c>
      <c r="Z61" s="72"/>
    </row>
    <row r="62" spans="1:26" ht="15" customHeight="1" x14ac:dyDescent="0.25">
      <c r="A62" s="72">
        <v>63</v>
      </c>
      <c r="B62" s="69" t="s">
        <v>182</v>
      </c>
      <c r="C62" s="68" t="s">
        <v>930</v>
      </c>
      <c r="D62" s="68" t="s">
        <v>82</v>
      </c>
      <c r="E62" s="72" t="s">
        <v>886</v>
      </c>
      <c r="F62" s="68" t="s">
        <v>73</v>
      </c>
      <c r="G62" s="68" t="s">
        <v>6</v>
      </c>
      <c r="H62" s="68" t="s">
        <v>888</v>
      </c>
      <c r="I62" s="68">
        <v>1062</v>
      </c>
      <c r="J62" s="68" t="str">
        <f>VLOOKUP(A62,('ALL CONTENTS'!$A$3:$M$153),13,FALSE)</f>
        <v>GZRM019</v>
      </c>
      <c r="K62" s="68" t="s">
        <v>82</v>
      </c>
      <c r="L62" s="70"/>
      <c r="M62" s="71" t="s">
        <v>980</v>
      </c>
      <c r="N62" s="72" t="s">
        <v>809</v>
      </c>
      <c r="O62" s="68">
        <v>47</v>
      </c>
      <c r="P62" s="69" t="str">
        <f t="shared" si="5"/>
        <v>Jasmine Rice - GFF072R</v>
      </c>
      <c r="Q62" s="72"/>
      <c r="R62" s="72"/>
      <c r="S62" s="72"/>
      <c r="T62" s="72"/>
      <c r="U62" s="72"/>
      <c r="V62" s="72">
        <v>0</v>
      </c>
      <c r="W62" s="72" t="s">
        <v>1435</v>
      </c>
      <c r="X62" s="72" t="s">
        <v>982</v>
      </c>
      <c r="Y62" s="72" t="s">
        <v>982</v>
      </c>
      <c r="Z62" s="72"/>
    </row>
    <row r="63" spans="1:26" ht="15" customHeight="1" x14ac:dyDescent="0.25">
      <c r="A63" s="72">
        <v>64</v>
      </c>
      <c r="B63" s="69" t="s">
        <v>182</v>
      </c>
      <c r="C63" s="73" t="s">
        <v>895</v>
      </c>
      <c r="D63" s="68" t="s">
        <v>315</v>
      </c>
      <c r="E63" s="72" t="s">
        <v>886</v>
      </c>
      <c r="F63" s="68" t="s">
        <v>73</v>
      </c>
      <c r="G63" s="68" t="s">
        <v>6</v>
      </c>
      <c r="H63" s="68" t="s">
        <v>888</v>
      </c>
      <c r="I63" s="68">
        <v>1063</v>
      </c>
      <c r="J63" s="68" t="str">
        <f>VLOOKUP(A63,('ALL CONTENTS'!$A$3:$M$153),13,FALSE)</f>
        <v>GZRM020</v>
      </c>
      <c r="K63" s="68" t="s">
        <v>315</v>
      </c>
      <c r="L63" s="70">
        <v>105</v>
      </c>
      <c r="M63" s="71" t="s">
        <v>979</v>
      </c>
      <c r="N63" s="72" t="s">
        <v>809</v>
      </c>
      <c r="O63" s="73" t="s">
        <v>895</v>
      </c>
      <c r="P63" s="69" t="str">
        <f t="shared" si="5"/>
        <v>Shredded Duck - tbc</v>
      </c>
      <c r="Q63" s="72"/>
      <c r="R63" s="72"/>
      <c r="S63" s="72"/>
      <c r="T63" s="72"/>
      <c r="U63" s="72"/>
      <c r="V63" s="72">
        <v>0</v>
      </c>
      <c r="W63" s="72" t="s">
        <v>1436</v>
      </c>
      <c r="X63" s="72" t="s">
        <v>982</v>
      </c>
      <c r="Y63" s="72" t="s">
        <v>982</v>
      </c>
      <c r="Z63" s="72"/>
    </row>
    <row r="64" spans="1:26" ht="15" customHeight="1" x14ac:dyDescent="0.25">
      <c r="A64" s="72">
        <v>66</v>
      </c>
      <c r="B64" s="69" t="s">
        <v>182</v>
      </c>
      <c r="C64" s="68" t="s">
        <v>931</v>
      </c>
      <c r="D64" s="68" t="s">
        <v>85</v>
      </c>
      <c r="E64" s="72" t="s">
        <v>886</v>
      </c>
      <c r="F64" s="68" t="s">
        <v>84</v>
      </c>
      <c r="G64" s="68" t="s">
        <v>6</v>
      </c>
      <c r="H64" s="68" t="s">
        <v>888</v>
      </c>
      <c r="I64" s="68">
        <v>1065</v>
      </c>
      <c r="J64" s="68" t="str">
        <f>VLOOKUP(A64,('ALL CONTENTS'!$A$3:$M$153),13,FALSE)</f>
        <v>GZRM022</v>
      </c>
      <c r="K64" s="68" t="s">
        <v>85</v>
      </c>
      <c r="L64" s="70"/>
      <c r="M64" s="71" t="s">
        <v>979</v>
      </c>
      <c r="N64" s="72" t="s">
        <v>809</v>
      </c>
      <c r="O64" s="68">
        <v>60</v>
      </c>
      <c r="P64" s="69" t="str">
        <f t="shared" si="5"/>
        <v>Chicken Fajita - GFF096R</v>
      </c>
      <c r="Q64" s="72"/>
      <c r="R64" s="72"/>
      <c r="S64" s="72"/>
      <c r="T64" s="72"/>
      <c r="U64" s="72"/>
      <c r="V64" s="72">
        <v>0</v>
      </c>
      <c r="W64" s="72" t="s">
        <v>1435</v>
      </c>
      <c r="X64" s="72" t="s">
        <v>1481</v>
      </c>
      <c r="Y64" s="72">
        <v>3</v>
      </c>
      <c r="Z64" s="72"/>
    </row>
    <row r="65" spans="1:26" ht="15" customHeight="1" x14ac:dyDescent="0.25">
      <c r="A65" s="72">
        <v>67</v>
      </c>
      <c r="B65" s="69" t="s">
        <v>182</v>
      </c>
      <c r="C65" s="68" t="s">
        <v>932</v>
      </c>
      <c r="D65" s="68" t="s">
        <v>86</v>
      </c>
      <c r="E65" s="72" t="s">
        <v>886</v>
      </c>
      <c r="F65" s="68" t="s">
        <v>84</v>
      </c>
      <c r="G65" s="68" t="s">
        <v>6</v>
      </c>
      <c r="H65" s="68" t="s">
        <v>888</v>
      </c>
      <c r="I65" s="68">
        <v>1066</v>
      </c>
      <c r="J65" s="68" t="str">
        <f>VLOOKUP(A65,('ALL CONTENTS'!$A$3:$M$153),13,FALSE)</f>
        <v>GZRM023</v>
      </c>
      <c r="K65" s="68" t="s">
        <v>86</v>
      </c>
      <c r="L65" s="70"/>
      <c r="M65" s="71" t="s">
        <v>979</v>
      </c>
      <c r="N65" s="72" t="s">
        <v>809</v>
      </c>
      <c r="O65" s="68">
        <v>55</v>
      </c>
      <c r="P65" s="69" t="str">
        <f t="shared" si="5"/>
        <v>Enchilada Sauce - GFF098R</v>
      </c>
      <c r="Q65" s="72"/>
      <c r="R65" s="72"/>
      <c r="S65" s="72"/>
      <c r="T65" s="72"/>
      <c r="U65" s="72"/>
      <c r="V65" s="72">
        <v>0</v>
      </c>
      <c r="W65" s="72" t="s">
        <v>1435</v>
      </c>
      <c r="X65" s="72" t="s">
        <v>1484</v>
      </c>
      <c r="Y65" s="72">
        <v>2</v>
      </c>
      <c r="Z65" s="72"/>
    </row>
    <row r="66" spans="1:26" ht="15" customHeight="1" x14ac:dyDescent="0.25">
      <c r="A66" s="72">
        <v>68</v>
      </c>
      <c r="B66" s="69" t="s">
        <v>182</v>
      </c>
      <c r="C66" s="68" t="s">
        <v>933</v>
      </c>
      <c r="D66" s="68" t="s">
        <v>87</v>
      </c>
      <c r="E66" s="72" t="s">
        <v>886</v>
      </c>
      <c r="F66" s="68" t="s">
        <v>84</v>
      </c>
      <c r="G66" s="68" t="s">
        <v>6</v>
      </c>
      <c r="H66" s="68" t="s">
        <v>888</v>
      </c>
      <c r="I66" s="68">
        <v>1067</v>
      </c>
      <c r="J66" s="68" t="str">
        <f>VLOOKUP(A66,('ALL CONTENTS'!$A$3:$M$153),13,FALSE)</f>
        <v>GZRM024</v>
      </c>
      <c r="K66" s="68" t="s">
        <v>87</v>
      </c>
      <c r="L66" s="70"/>
      <c r="M66" s="71" t="s">
        <v>979</v>
      </c>
      <c r="N66" s="72" t="s">
        <v>809</v>
      </c>
      <c r="O66" s="68">
        <v>55</v>
      </c>
      <c r="P66" s="69" t="str">
        <f t="shared" si="5"/>
        <v>Chicken Enchilada - GFF099R</v>
      </c>
      <c r="Q66" s="72"/>
      <c r="R66" s="72"/>
      <c r="S66" s="72"/>
      <c r="T66" s="72"/>
      <c r="U66" s="72"/>
      <c r="V66" s="72">
        <v>0</v>
      </c>
      <c r="W66" s="72" t="s">
        <v>1435</v>
      </c>
      <c r="X66" s="72" t="s">
        <v>1481</v>
      </c>
      <c r="Y66" s="72">
        <v>3</v>
      </c>
      <c r="Z66" s="72"/>
    </row>
    <row r="67" spans="1:26" ht="15" customHeight="1" x14ac:dyDescent="0.25">
      <c r="A67" s="72">
        <v>69</v>
      </c>
      <c r="B67" s="69" t="s">
        <v>182</v>
      </c>
      <c r="C67" s="68" t="s">
        <v>934</v>
      </c>
      <c r="D67" s="68" t="s">
        <v>89</v>
      </c>
      <c r="E67" s="72" t="s">
        <v>886</v>
      </c>
      <c r="F67" s="68" t="s">
        <v>88</v>
      </c>
      <c r="G67" s="68" t="s">
        <v>6</v>
      </c>
      <c r="H67" s="68" t="s">
        <v>888</v>
      </c>
      <c r="I67" s="68">
        <v>1068</v>
      </c>
      <c r="J67" s="68" t="str">
        <f>VLOOKUP(A67,('ALL CONTENTS'!$A$3:$M$153),13,FALSE)</f>
        <v>GZRM025</v>
      </c>
      <c r="K67" s="68" t="s">
        <v>89</v>
      </c>
      <c r="L67" s="70"/>
      <c r="M67" s="71" t="s">
        <v>980</v>
      </c>
      <c r="N67" s="72" t="s">
        <v>809</v>
      </c>
      <c r="O67" s="68">
        <v>60</v>
      </c>
      <c r="P67" s="69" t="str">
        <f t="shared" si="5"/>
        <v>Arrabiata Sauce - GFF097R</v>
      </c>
      <c r="Q67" s="72"/>
      <c r="R67" s="72"/>
      <c r="S67" s="72"/>
      <c r="T67" s="72"/>
      <c r="U67" s="72"/>
      <c r="V67" s="72">
        <v>0</v>
      </c>
      <c r="W67" s="72" t="s">
        <v>1435</v>
      </c>
      <c r="X67" s="72" t="s">
        <v>1481</v>
      </c>
      <c r="Y67" s="72">
        <v>3</v>
      </c>
      <c r="Z67" s="72"/>
    </row>
    <row r="68" spans="1:26" ht="15" customHeight="1" x14ac:dyDescent="0.25">
      <c r="A68" s="72">
        <v>70</v>
      </c>
      <c r="B68" s="69" t="s">
        <v>182</v>
      </c>
      <c r="C68" s="68" t="s">
        <v>935</v>
      </c>
      <c r="D68" s="68" t="s">
        <v>90</v>
      </c>
      <c r="E68" s="72" t="s">
        <v>886</v>
      </c>
      <c r="F68" s="68" t="s">
        <v>88</v>
      </c>
      <c r="G68" s="68" t="s">
        <v>6</v>
      </c>
      <c r="H68" s="68" t="s">
        <v>888</v>
      </c>
      <c r="I68" s="68">
        <v>1069</v>
      </c>
      <c r="J68" s="68" t="str">
        <f>VLOOKUP(A68,('ALL CONTENTS'!$A$3:$M$153),13,FALSE)</f>
        <v>GZRM026</v>
      </c>
      <c r="K68" s="68" t="s">
        <v>90</v>
      </c>
      <c r="L68" s="70"/>
      <c r="M68" s="71" t="s">
        <v>980</v>
      </c>
      <c r="N68" s="72" t="s">
        <v>809</v>
      </c>
      <c r="O68" s="68">
        <v>60</v>
      </c>
      <c r="P68" s="69" t="str">
        <f t="shared" si="5"/>
        <v>Mushroom Sauce - GFF088R</v>
      </c>
      <c r="Q68" s="72"/>
      <c r="R68" s="72"/>
      <c r="S68" s="72"/>
      <c r="T68" s="72"/>
      <c r="U68" s="72"/>
      <c r="V68" s="72">
        <v>0</v>
      </c>
      <c r="W68" s="72" t="s">
        <v>1435</v>
      </c>
      <c r="X68" s="72" t="s">
        <v>1484</v>
      </c>
      <c r="Y68" s="72">
        <v>2</v>
      </c>
      <c r="Z68" s="72"/>
    </row>
    <row r="69" spans="1:26" ht="15" customHeight="1" x14ac:dyDescent="0.25">
      <c r="A69" s="68">
        <v>1</v>
      </c>
      <c r="B69" s="69" t="s">
        <v>182</v>
      </c>
      <c r="C69" s="68" t="s">
        <v>2850</v>
      </c>
      <c r="D69" s="68" t="s">
        <v>16</v>
      </c>
      <c r="E69" s="68" t="s">
        <v>885</v>
      </c>
      <c r="F69" s="68" t="s">
        <v>13</v>
      </c>
      <c r="G69" s="68" t="s">
        <v>2149</v>
      </c>
      <c r="H69" s="68" t="s">
        <v>888</v>
      </c>
      <c r="I69" s="68">
        <v>1000</v>
      </c>
      <c r="J69" s="68" t="s">
        <v>625</v>
      </c>
      <c r="K69" s="68" t="s">
        <v>16</v>
      </c>
      <c r="L69" s="70">
        <v>15</v>
      </c>
      <c r="M69" s="71" t="s">
        <v>980</v>
      </c>
      <c r="N69" s="72" t="s">
        <v>814</v>
      </c>
      <c r="O69" s="68">
        <v>1</v>
      </c>
      <c r="P69" s="69" t="str">
        <f t="shared" si="5"/>
        <v>Vegetable Samosa Bite 15G - GFF1000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 t="s">
        <v>1435</v>
      </c>
      <c r="X69" s="1" t="s">
        <v>1501</v>
      </c>
      <c r="Y69" s="1">
        <v>3</v>
      </c>
      <c r="Z69" s="85">
        <v>44830</v>
      </c>
    </row>
    <row r="70" spans="1:26" ht="15" customHeight="1" x14ac:dyDescent="0.25">
      <c r="A70" s="68">
        <v>2</v>
      </c>
      <c r="B70" s="69" t="s">
        <v>146</v>
      </c>
      <c r="C70" s="68" t="s">
        <v>2158</v>
      </c>
      <c r="D70" s="68" t="s">
        <v>2157</v>
      </c>
      <c r="E70" s="68" t="s">
        <v>885</v>
      </c>
      <c r="F70" s="68" t="s">
        <v>32</v>
      </c>
      <c r="G70" s="68" t="s">
        <v>2149</v>
      </c>
      <c r="H70" s="68" t="s">
        <v>888</v>
      </c>
      <c r="I70" s="68">
        <v>1001</v>
      </c>
      <c r="J70" s="68" t="s">
        <v>628</v>
      </c>
      <c r="K70" s="68" t="s">
        <v>33</v>
      </c>
      <c r="L70" s="70">
        <v>15</v>
      </c>
      <c r="M70" s="71" t="s">
        <v>980</v>
      </c>
      <c r="N70" s="72" t="s">
        <v>814</v>
      </c>
      <c r="O70" s="68">
        <v>1</v>
      </c>
      <c r="P70" s="69" t="str">
        <f t="shared" si="5"/>
        <v>Vegetable Spring Roll 15G - MAN001-17</v>
      </c>
      <c r="Q70" s="72"/>
      <c r="R70" s="72"/>
      <c r="S70" s="72"/>
      <c r="T70" s="72"/>
      <c r="U70" s="72"/>
      <c r="V70" s="72">
        <v>0</v>
      </c>
      <c r="W70" s="72" t="s">
        <v>1435</v>
      </c>
      <c r="X70" s="72" t="s">
        <v>1499</v>
      </c>
      <c r="Y70" s="72">
        <v>3</v>
      </c>
      <c r="Z70" s="72"/>
    </row>
    <row r="71" spans="1:26" ht="15" customHeight="1" x14ac:dyDescent="0.25">
      <c r="A71" s="68">
        <v>3</v>
      </c>
      <c r="B71" s="69" t="s">
        <v>146</v>
      </c>
      <c r="C71" s="68" t="s">
        <v>1007</v>
      </c>
      <c r="D71" s="68" t="s">
        <v>820</v>
      </c>
      <c r="E71" s="68" t="s">
        <v>885</v>
      </c>
      <c r="F71" s="68" t="s">
        <v>32</v>
      </c>
      <c r="G71" s="68" t="s">
        <v>17</v>
      </c>
      <c r="H71" s="68" t="s">
        <v>888</v>
      </c>
      <c r="I71" s="68">
        <v>1002</v>
      </c>
      <c r="J71" s="68" t="s">
        <v>629</v>
      </c>
      <c r="K71" s="68" t="s">
        <v>148</v>
      </c>
      <c r="L71" s="70">
        <v>20</v>
      </c>
      <c r="M71" s="71" t="s">
        <v>980</v>
      </c>
      <c r="N71" s="72" t="s">
        <v>809</v>
      </c>
      <c r="O71" s="68">
        <v>1</v>
      </c>
      <c r="P71" s="69" t="str">
        <f t="shared" si="5"/>
        <v>Vegetable Spring Roll 20G - None</v>
      </c>
      <c r="Q71" s="72"/>
      <c r="R71" s="72"/>
      <c r="S71" s="72"/>
      <c r="T71" s="72"/>
      <c r="U71" s="72"/>
      <c r="V71" s="72">
        <v>0</v>
      </c>
      <c r="W71" s="72" t="s">
        <v>1437</v>
      </c>
      <c r="X71" s="72" t="s">
        <v>1499</v>
      </c>
      <c r="Y71" s="72">
        <v>3</v>
      </c>
      <c r="Z71" s="72"/>
    </row>
    <row r="72" spans="1:26" x14ac:dyDescent="0.25">
      <c r="A72" s="68">
        <v>88</v>
      </c>
      <c r="B72" s="69" t="s">
        <v>172</v>
      </c>
      <c r="C72" s="68" t="s">
        <v>1007</v>
      </c>
      <c r="D72" s="68" t="s">
        <v>824</v>
      </c>
      <c r="E72" s="68" t="s">
        <v>885</v>
      </c>
      <c r="F72" s="68" t="s">
        <v>40</v>
      </c>
      <c r="G72" s="68" t="s">
        <v>17</v>
      </c>
      <c r="H72" s="68" t="s">
        <v>888</v>
      </c>
      <c r="I72" s="68">
        <v>1087</v>
      </c>
      <c r="J72" s="68" t="s">
        <v>941</v>
      </c>
      <c r="K72" s="68" t="s">
        <v>1324</v>
      </c>
      <c r="L72" s="70">
        <v>30</v>
      </c>
      <c r="M72" s="71" t="s">
        <v>980</v>
      </c>
      <c r="N72" s="72" t="s">
        <v>809</v>
      </c>
      <c r="O72" s="68">
        <v>1</v>
      </c>
      <c r="P72" s="69"/>
      <c r="Q72" s="72"/>
      <c r="R72" s="72"/>
      <c r="S72" s="72"/>
      <c r="T72" s="72"/>
      <c r="U72" s="72"/>
      <c r="V72" s="72">
        <v>0</v>
      </c>
      <c r="W72" s="72" t="s">
        <v>1437</v>
      </c>
      <c r="X72" s="72" t="s">
        <v>982</v>
      </c>
      <c r="Y72" s="72" t="s">
        <v>982</v>
      </c>
      <c r="Z72" s="72"/>
    </row>
    <row r="73" spans="1:26" ht="15" customHeight="1" x14ac:dyDescent="0.25">
      <c r="A73" s="68">
        <v>92</v>
      </c>
      <c r="B73" s="69" t="s">
        <v>150</v>
      </c>
      <c r="C73" s="68" t="s">
        <v>2151</v>
      </c>
      <c r="D73" s="68" t="s">
        <v>2154</v>
      </c>
      <c r="E73" s="68" t="s">
        <v>885</v>
      </c>
      <c r="F73" s="68" t="s">
        <v>37</v>
      </c>
      <c r="G73" s="68" t="s">
        <v>2149</v>
      </c>
      <c r="H73" s="68" t="s">
        <v>888</v>
      </c>
      <c r="I73" s="68">
        <v>1091</v>
      </c>
      <c r="J73" s="68" t="s">
        <v>781</v>
      </c>
      <c r="K73" s="68" t="s">
        <v>39</v>
      </c>
      <c r="L73" s="70">
        <v>20</v>
      </c>
      <c r="M73" s="71" t="s">
        <v>979</v>
      </c>
      <c r="N73" s="72" t="s">
        <v>809</v>
      </c>
      <c r="O73" s="68">
        <v>1</v>
      </c>
      <c r="P73" s="69"/>
      <c r="Q73" s="72"/>
      <c r="R73" s="72"/>
      <c r="S73" s="72"/>
      <c r="T73" s="72"/>
      <c r="U73" s="72"/>
      <c r="V73" s="72">
        <v>0</v>
      </c>
      <c r="W73" s="72" t="s">
        <v>1437</v>
      </c>
      <c r="X73" s="72" t="s">
        <v>1725</v>
      </c>
      <c r="Y73" s="1">
        <v>1</v>
      </c>
      <c r="Z73" s="1"/>
    </row>
    <row r="74" spans="1:26" ht="15" customHeight="1" x14ac:dyDescent="0.25">
      <c r="A74" s="68">
        <v>93</v>
      </c>
      <c r="B74" s="69" t="s">
        <v>150</v>
      </c>
      <c r="C74" s="68" t="s">
        <v>1007</v>
      </c>
      <c r="D74" s="68" t="s">
        <v>822</v>
      </c>
      <c r="E74" s="68" t="s">
        <v>885</v>
      </c>
      <c r="F74" s="68" t="s">
        <v>30</v>
      </c>
      <c r="G74" s="68" t="s">
        <v>17</v>
      </c>
      <c r="H74" s="68" t="s">
        <v>888</v>
      </c>
      <c r="I74" s="68">
        <v>1092</v>
      </c>
      <c r="J74" s="68" t="s">
        <v>627</v>
      </c>
      <c r="K74" s="68" t="s">
        <v>1002</v>
      </c>
      <c r="L74" s="70">
        <v>20</v>
      </c>
      <c r="M74" s="71" t="s">
        <v>979</v>
      </c>
      <c r="N74" s="72" t="s">
        <v>809</v>
      </c>
      <c r="O74" s="68">
        <v>1</v>
      </c>
      <c r="P74" s="69" t="str">
        <f>K74&amp;" - "&amp; C74</f>
        <v>Chicken Spring Roll 20G - None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 t="s">
        <v>1437</v>
      </c>
      <c r="X74" s="72" t="s">
        <v>982</v>
      </c>
      <c r="Y74" s="72" t="s">
        <v>982</v>
      </c>
      <c r="Z74" s="72"/>
    </row>
    <row r="75" spans="1:26" ht="15" customHeight="1" x14ac:dyDescent="0.25">
      <c r="A75" s="68">
        <v>94</v>
      </c>
      <c r="B75" s="69" t="s">
        <v>150</v>
      </c>
      <c r="C75" s="68" t="s">
        <v>1007</v>
      </c>
      <c r="D75" s="68" t="s">
        <v>828</v>
      </c>
      <c r="E75" s="68" t="s">
        <v>885</v>
      </c>
      <c r="F75" s="68" t="s">
        <v>56</v>
      </c>
      <c r="G75" s="68" t="s">
        <v>17</v>
      </c>
      <c r="H75" s="68" t="s">
        <v>888</v>
      </c>
      <c r="I75" s="68">
        <v>1093</v>
      </c>
      <c r="J75" s="68" t="s">
        <v>782</v>
      </c>
      <c r="K75" s="68" t="s">
        <v>91</v>
      </c>
      <c r="L75" s="70">
        <v>12</v>
      </c>
      <c r="M75" s="71" t="s">
        <v>979</v>
      </c>
      <c r="N75" s="72" t="s">
        <v>809</v>
      </c>
      <c r="O75" s="68">
        <v>1</v>
      </c>
      <c r="P75" s="69"/>
      <c r="Q75" s="72"/>
      <c r="R75" s="72"/>
      <c r="S75" s="72"/>
      <c r="T75" s="72"/>
      <c r="U75" s="72"/>
      <c r="V75" s="72">
        <v>0</v>
      </c>
      <c r="W75" s="72" t="s">
        <v>1437</v>
      </c>
      <c r="X75" s="72" t="s">
        <v>1726</v>
      </c>
      <c r="Y75" s="1">
        <v>1</v>
      </c>
      <c r="Z75" s="1"/>
    </row>
    <row r="76" spans="1:26" ht="15" customHeight="1" x14ac:dyDescent="0.25">
      <c r="A76" s="68">
        <v>95</v>
      </c>
      <c r="B76" s="69" t="s">
        <v>150</v>
      </c>
      <c r="C76" s="68" t="s">
        <v>1007</v>
      </c>
      <c r="D76" s="68" t="s">
        <v>829</v>
      </c>
      <c r="E76" s="68" t="s">
        <v>885</v>
      </c>
      <c r="F76" s="68" t="s">
        <v>56</v>
      </c>
      <c r="G76" s="68" t="s">
        <v>17</v>
      </c>
      <c r="H76" s="68" t="s">
        <v>888</v>
      </c>
      <c r="I76" s="68">
        <v>1094</v>
      </c>
      <c r="J76" s="68" t="s">
        <v>997</v>
      </c>
      <c r="K76" s="68" t="s">
        <v>92</v>
      </c>
      <c r="L76" s="70">
        <v>12</v>
      </c>
      <c r="M76" s="71" t="s">
        <v>979</v>
      </c>
      <c r="N76" s="72" t="s">
        <v>809</v>
      </c>
      <c r="O76" s="68">
        <v>1</v>
      </c>
      <c r="P76" s="69"/>
      <c r="Q76" s="72"/>
      <c r="R76" s="72"/>
      <c r="S76" s="72"/>
      <c r="T76" s="72"/>
      <c r="U76" s="72"/>
      <c r="V76" s="72">
        <v>0</v>
      </c>
      <c r="W76" s="72" t="s">
        <v>1437</v>
      </c>
      <c r="X76" s="72" t="s">
        <v>982</v>
      </c>
      <c r="Y76" s="72" t="s">
        <v>982</v>
      </c>
      <c r="Z76" s="72"/>
    </row>
    <row r="77" spans="1:26" ht="15" customHeight="1" x14ac:dyDescent="0.25">
      <c r="A77" s="68">
        <v>96</v>
      </c>
      <c r="B77" s="69" t="s">
        <v>150</v>
      </c>
      <c r="C77" s="68" t="s">
        <v>1007</v>
      </c>
      <c r="D77" s="68" t="s">
        <v>830</v>
      </c>
      <c r="E77" s="68" t="s">
        <v>885</v>
      </c>
      <c r="F77" s="68" t="s">
        <v>56</v>
      </c>
      <c r="G77" s="68" t="s">
        <v>17</v>
      </c>
      <c r="H77" s="68" t="s">
        <v>888</v>
      </c>
      <c r="I77" s="68">
        <v>1095</v>
      </c>
      <c r="J77" s="68" t="s">
        <v>998</v>
      </c>
      <c r="K77" s="68" t="s">
        <v>93</v>
      </c>
      <c r="L77" s="70">
        <v>12</v>
      </c>
      <c r="M77" s="71" t="s">
        <v>979</v>
      </c>
      <c r="N77" s="72" t="s">
        <v>809</v>
      </c>
      <c r="O77" s="68">
        <v>1</v>
      </c>
      <c r="P77" s="69"/>
      <c r="Q77" s="72"/>
      <c r="R77" s="72"/>
      <c r="S77" s="72"/>
      <c r="T77" s="72"/>
      <c r="U77" s="72"/>
      <c r="V77" s="72">
        <v>0</v>
      </c>
      <c r="W77" s="72" t="s">
        <v>1437</v>
      </c>
      <c r="X77" s="72" t="s">
        <v>982</v>
      </c>
      <c r="Y77" s="72" t="s">
        <v>982</v>
      </c>
      <c r="Z77" s="72"/>
    </row>
    <row r="78" spans="1:26" ht="15" customHeight="1" x14ac:dyDescent="0.25">
      <c r="A78" s="68">
        <v>101</v>
      </c>
      <c r="B78" s="69" t="s">
        <v>150</v>
      </c>
      <c r="C78" s="68" t="s">
        <v>1007</v>
      </c>
      <c r="D78" s="68" t="s">
        <v>820</v>
      </c>
      <c r="E78" s="68" t="s">
        <v>885</v>
      </c>
      <c r="F78" s="68" t="s">
        <v>32</v>
      </c>
      <c r="G78" s="68" t="s">
        <v>17</v>
      </c>
      <c r="H78" s="68" t="s">
        <v>888</v>
      </c>
      <c r="I78" s="68">
        <v>1100</v>
      </c>
      <c r="J78" s="68" t="s">
        <v>1189</v>
      </c>
      <c r="K78" s="68" t="s">
        <v>999</v>
      </c>
      <c r="L78" s="70">
        <v>30</v>
      </c>
      <c r="M78" s="71" t="s">
        <v>980</v>
      </c>
      <c r="N78" s="72" t="s">
        <v>809</v>
      </c>
      <c r="O78" s="68">
        <v>1</v>
      </c>
      <c r="P78" s="69" t="str">
        <f>K78&amp;" - "&amp; C78</f>
        <v>Vegetable Spring Roll 30G - None</v>
      </c>
      <c r="Q78" s="72"/>
      <c r="R78" s="72"/>
      <c r="S78" s="72"/>
      <c r="T78" s="72"/>
      <c r="U78" s="72"/>
      <c r="V78" s="72">
        <v>0</v>
      </c>
      <c r="W78" s="72" t="s">
        <v>1437</v>
      </c>
      <c r="X78" s="72" t="s">
        <v>1499</v>
      </c>
      <c r="Y78" s="72">
        <v>3</v>
      </c>
      <c r="Z78" s="72"/>
    </row>
    <row r="79" spans="1:26" ht="15" customHeight="1" x14ac:dyDescent="0.25">
      <c r="A79" s="68">
        <v>118</v>
      </c>
      <c r="B79" s="69" t="s">
        <v>895</v>
      </c>
      <c r="C79" s="68" t="s">
        <v>1007</v>
      </c>
      <c r="D79" s="68" t="s">
        <v>823</v>
      </c>
      <c r="E79" s="68" t="s">
        <v>885</v>
      </c>
      <c r="F79" s="68" t="s">
        <v>37</v>
      </c>
      <c r="G79" s="68" t="s">
        <v>17</v>
      </c>
      <c r="H79" s="68" t="s">
        <v>888</v>
      </c>
      <c r="I79" s="68">
        <v>1117</v>
      </c>
      <c r="J79" s="68" t="s">
        <v>785</v>
      </c>
      <c r="K79" s="68" t="s">
        <v>1001</v>
      </c>
      <c r="L79" s="70">
        <v>15</v>
      </c>
      <c r="M79" s="71" t="s">
        <v>979</v>
      </c>
      <c r="N79" s="72" t="s">
        <v>809</v>
      </c>
      <c r="O79" s="68">
        <v>1</v>
      </c>
      <c r="P79" s="69"/>
      <c r="Q79" s="72"/>
      <c r="R79" s="72"/>
      <c r="S79" s="72"/>
      <c r="T79" s="72"/>
      <c r="U79" s="72"/>
      <c r="V79" s="72">
        <v>0</v>
      </c>
      <c r="W79" s="72" t="s">
        <v>1437</v>
      </c>
      <c r="X79" s="72" t="s">
        <v>982</v>
      </c>
      <c r="Y79" s="72" t="s">
        <v>982</v>
      </c>
      <c r="Z79" s="72"/>
    </row>
    <row r="80" spans="1:26" ht="15" customHeight="1" x14ac:dyDescent="0.25">
      <c r="A80" s="68">
        <v>119</v>
      </c>
      <c r="B80" s="69" t="s">
        <v>895</v>
      </c>
      <c r="C80" s="68" t="s">
        <v>1007</v>
      </c>
      <c r="D80" s="68" t="s">
        <v>823</v>
      </c>
      <c r="E80" s="68" t="s">
        <v>885</v>
      </c>
      <c r="F80" s="68" t="s">
        <v>37</v>
      </c>
      <c r="G80" s="68" t="s">
        <v>17</v>
      </c>
      <c r="H80" s="68" t="s">
        <v>888</v>
      </c>
      <c r="I80" s="68">
        <v>1118</v>
      </c>
      <c r="J80" s="68" t="s">
        <v>786</v>
      </c>
      <c r="K80" s="68" t="s">
        <v>38</v>
      </c>
      <c r="L80" s="70">
        <v>30</v>
      </c>
      <c r="M80" s="71" t="s">
        <v>979</v>
      </c>
      <c r="N80" s="72" t="s">
        <v>809</v>
      </c>
      <c r="O80" s="68">
        <v>1</v>
      </c>
      <c r="P80" s="69"/>
      <c r="Q80" s="72"/>
      <c r="R80" s="72"/>
      <c r="S80" s="72"/>
      <c r="T80" s="72"/>
      <c r="U80" s="72"/>
      <c r="V80" s="72">
        <v>20</v>
      </c>
      <c r="W80" s="72" t="s">
        <v>1437</v>
      </c>
      <c r="X80" s="72" t="s">
        <v>982</v>
      </c>
      <c r="Y80" s="72" t="s">
        <v>982</v>
      </c>
      <c r="Z80" s="72"/>
    </row>
    <row r="81" spans="1:26" ht="15" customHeight="1" x14ac:dyDescent="0.25">
      <c r="A81" s="68">
        <v>121</v>
      </c>
      <c r="B81" s="78" t="s">
        <v>1043</v>
      </c>
      <c r="C81" s="2" t="s">
        <v>1729</v>
      </c>
      <c r="D81" s="68" t="s">
        <v>851</v>
      </c>
      <c r="E81" s="68" t="s">
        <v>885</v>
      </c>
      <c r="F81" s="68" t="s">
        <v>56</v>
      </c>
      <c r="G81" s="68" t="s">
        <v>17</v>
      </c>
      <c r="H81" s="68" t="s">
        <v>888</v>
      </c>
      <c r="I81" s="68">
        <v>1120</v>
      </c>
      <c r="J81" s="68" t="s">
        <v>1003</v>
      </c>
      <c r="K81" s="68" t="s">
        <v>97</v>
      </c>
      <c r="L81" s="70">
        <v>1</v>
      </c>
      <c r="M81" s="71" t="s">
        <v>980</v>
      </c>
      <c r="N81" s="72" t="s">
        <v>809</v>
      </c>
      <c r="O81" s="68">
        <v>1</v>
      </c>
      <c r="P81" s="69" t="str">
        <f>K81&amp;" - "&amp; C81</f>
        <v>Garlic Breaded Mushrooms - FOU001</v>
      </c>
      <c r="Q81" s="72"/>
      <c r="R81" s="72"/>
      <c r="S81" s="72"/>
      <c r="T81" s="72"/>
      <c r="U81" s="72"/>
      <c r="V81" s="72">
        <v>0</v>
      </c>
      <c r="W81" s="72" t="s">
        <v>1435</v>
      </c>
      <c r="X81" s="1" t="s">
        <v>1730</v>
      </c>
      <c r="Y81" s="1">
        <v>2</v>
      </c>
      <c r="Z81" s="1"/>
    </row>
    <row r="82" spans="1:26" ht="15" customHeight="1" x14ac:dyDescent="0.25">
      <c r="A82" s="68">
        <v>122</v>
      </c>
      <c r="B82" s="69" t="s">
        <v>2153</v>
      </c>
      <c r="C82" s="68" t="s">
        <v>2152</v>
      </c>
      <c r="D82" s="68" t="s">
        <v>98</v>
      </c>
      <c r="E82" s="68" t="s">
        <v>885</v>
      </c>
      <c r="F82" s="68" t="s">
        <v>56</v>
      </c>
      <c r="G82" s="68" t="s">
        <v>2149</v>
      </c>
      <c r="H82" s="68" t="s">
        <v>888</v>
      </c>
      <c r="I82" s="68">
        <v>1121</v>
      </c>
      <c r="J82" s="68" t="s">
        <v>1005</v>
      </c>
      <c r="K82" s="68" t="s">
        <v>98</v>
      </c>
      <c r="L82" s="70" t="s">
        <v>799</v>
      </c>
      <c r="M82" s="71" t="s">
        <v>980</v>
      </c>
      <c r="N82" s="72" t="s">
        <v>809</v>
      </c>
      <c r="O82" s="68">
        <v>1</v>
      </c>
      <c r="P82" s="69"/>
      <c r="Q82" s="72"/>
      <c r="R82" s="72"/>
      <c r="S82" s="72"/>
      <c r="T82" s="72"/>
      <c r="U82" s="72"/>
      <c r="V82" s="72">
        <v>0</v>
      </c>
      <c r="W82" s="72" t="s">
        <v>1435</v>
      </c>
      <c r="X82" s="1" t="s">
        <v>1501</v>
      </c>
      <c r="Y82" s="1">
        <v>3</v>
      </c>
      <c r="Z82" s="1"/>
    </row>
    <row r="83" spans="1:26" ht="15" customHeight="1" x14ac:dyDescent="0.25">
      <c r="A83" s="68">
        <v>141</v>
      </c>
      <c r="B83" s="69" t="s">
        <v>182</v>
      </c>
      <c r="C83" s="68" t="s">
        <v>1340</v>
      </c>
      <c r="D83" s="68" t="s">
        <v>824</v>
      </c>
      <c r="E83" s="68" t="s">
        <v>885</v>
      </c>
      <c r="F83" s="68" t="s">
        <v>40</v>
      </c>
      <c r="G83" s="68" t="s">
        <v>6</v>
      </c>
      <c r="H83" s="68" t="s">
        <v>888</v>
      </c>
      <c r="I83" s="68">
        <v>1140</v>
      </c>
      <c r="J83" s="68" t="s">
        <v>778</v>
      </c>
      <c r="K83" s="68" t="s">
        <v>42</v>
      </c>
      <c r="L83" s="70">
        <v>12</v>
      </c>
      <c r="M83" s="71" t="s">
        <v>980</v>
      </c>
      <c r="N83" s="72" t="s">
        <v>809</v>
      </c>
      <c r="O83" s="68">
        <v>1100</v>
      </c>
      <c r="P83" s="69" t="str">
        <f>K83&amp;" - "&amp; C83</f>
        <v>Onion Bhaji Bite 12G - GFF009-2R</v>
      </c>
      <c r="Q83" s="72">
        <v>100</v>
      </c>
      <c r="R83" s="72">
        <v>80</v>
      </c>
      <c r="S83" s="72">
        <v>60</v>
      </c>
      <c r="T83" s="72">
        <v>40</v>
      </c>
      <c r="U83" s="72">
        <v>20</v>
      </c>
      <c r="V83" s="72">
        <v>0</v>
      </c>
      <c r="W83" s="72" t="s">
        <v>1435</v>
      </c>
      <c r="X83" s="72" t="s">
        <v>1501</v>
      </c>
      <c r="Y83" s="72">
        <v>3</v>
      </c>
      <c r="Z83" s="72" t="s">
        <v>2848</v>
      </c>
    </row>
    <row r="84" spans="1:26" ht="15" customHeight="1" x14ac:dyDescent="0.25">
      <c r="A84" s="68">
        <v>87</v>
      </c>
      <c r="B84" s="69" t="s">
        <v>172</v>
      </c>
      <c r="C84" s="68" t="s">
        <v>1007</v>
      </c>
      <c r="D84" s="68" t="s">
        <v>824</v>
      </c>
      <c r="E84" s="68" t="s">
        <v>885</v>
      </c>
      <c r="F84" s="68" t="s">
        <v>40</v>
      </c>
      <c r="G84" s="68" t="s">
        <v>17</v>
      </c>
      <c r="H84" s="68" t="s">
        <v>939</v>
      </c>
      <c r="I84" s="68">
        <v>1086</v>
      </c>
      <c r="J84" s="68" t="s">
        <v>993</v>
      </c>
      <c r="K84" s="68" t="s">
        <v>994</v>
      </c>
      <c r="L84" s="70">
        <v>12</v>
      </c>
      <c r="M84" s="71" t="s">
        <v>980</v>
      </c>
      <c r="N84" s="72" t="s">
        <v>809</v>
      </c>
      <c r="O84" s="68">
        <v>1</v>
      </c>
      <c r="P84" s="69"/>
      <c r="Q84" s="72"/>
      <c r="R84" s="72"/>
      <c r="S84" s="72"/>
      <c r="T84" s="72"/>
      <c r="U84" s="72"/>
      <c r="V84" s="72">
        <v>0</v>
      </c>
      <c r="W84" s="72" t="s">
        <v>1437</v>
      </c>
      <c r="X84" s="72" t="s">
        <v>982</v>
      </c>
      <c r="Y84" s="72" t="s">
        <v>982</v>
      </c>
      <c r="Z84" s="72"/>
    </row>
    <row r="85" spans="1:26" ht="15" customHeight="1" x14ac:dyDescent="0.25">
      <c r="A85" s="68">
        <v>72</v>
      </c>
      <c r="B85" s="69" t="s">
        <v>182</v>
      </c>
      <c r="C85" s="68" t="s">
        <v>1581</v>
      </c>
      <c r="D85" s="68" t="s">
        <v>1134</v>
      </c>
      <c r="E85" s="68" t="s">
        <v>885</v>
      </c>
      <c r="F85" s="68" t="s">
        <v>56</v>
      </c>
      <c r="G85" s="68" t="s">
        <v>6</v>
      </c>
      <c r="H85" s="68" t="s">
        <v>939</v>
      </c>
      <c r="I85" s="68">
        <v>1071</v>
      </c>
      <c r="J85" s="68" t="s">
        <v>1136</v>
      </c>
      <c r="K85" s="68" t="s">
        <v>1133</v>
      </c>
      <c r="L85" s="70">
        <v>16</v>
      </c>
      <c r="M85" s="71" t="s">
        <v>980</v>
      </c>
      <c r="N85" s="72" t="s">
        <v>809</v>
      </c>
      <c r="O85" s="68">
        <v>2400</v>
      </c>
      <c r="P85" s="69" t="str">
        <f t="shared" ref="P85:P93" si="14">K85&amp;" - "&amp; C85</f>
        <v>Brie De Meaux &amp; Cranberry Tartlets 16G - GFF173R</v>
      </c>
      <c r="Q85" s="72">
        <v>25</v>
      </c>
      <c r="R85" s="72">
        <f t="shared" ref="R85" si="15">($Q85/5)*4</f>
        <v>20</v>
      </c>
      <c r="S85" s="72">
        <f t="shared" ref="S85" si="16">($Q85/5)*3</f>
        <v>15</v>
      </c>
      <c r="T85" s="72">
        <f t="shared" ref="T85" si="17">($Q85/5)*2</f>
        <v>10</v>
      </c>
      <c r="U85" s="72">
        <f t="shared" ref="U85" si="18">($Q85/5)*1</f>
        <v>5</v>
      </c>
      <c r="V85" s="72">
        <v>0</v>
      </c>
      <c r="W85" s="72" t="s">
        <v>1435</v>
      </c>
      <c r="X85" s="72" t="s">
        <v>982</v>
      </c>
      <c r="Y85" s="72" t="s">
        <v>982</v>
      </c>
      <c r="Z85" s="72"/>
    </row>
    <row r="86" spans="1:26" ht="15" customHeight="1" x14ac:dyDescent="0.25">
      <c r="A86" s="68">
        <v>73</v>
      </c>
      <c r="B86" s="69" t="s">
        <v>182</v>
      </c>
      <c r="C86" s="68" t="s">
        <v>1325</v>
      </c>
      <c r="D86" s="68" t="s">
        <v>872</v>
      </c>
      <c r="E86" s="68" t="s">
        <v>885</v>
      </c>
      <c r="F86" s="68" t="s">
        <v>102</v>
      </c>
      <c r="G86" s="68" t="s">
        <v>6</v>
      </c>
      <c r="H86" s="68" t="s">
        <v>939</v>
      </c>
      <c r="I86" s="68">
        <v>1072</v>
      </c>
      <c r="J86" s="68" t="s">
        <v>776</v>
      </c>
      <c r="K86" s="68" t="s">
        <v>1138</v>
      </c>
      <c r="L86" s="70">
        <v>20</v>
      </c>
      <c r="M86" s="71" t="s">
        <v>979</v>
      </c>
      <c r="N86" s="72" t="s">
        <v>809</v>
      </c>
      <c r="O86" s="68">
        <v>1</v>
      </c>
      <c r="P86" s="69" t="str">
        <f t="shared" si="14"/>
        <v>Chicken Tikka 18 - 20G - GFF012-4F</v>
      </c>
      <c r="Q86" s="72"/>
      <c r="R86" s="72"/>
      <c r="S86" s="72"/>
      <c r="T86" s="72"/>
      <c r="U86" s="72"/>
      <c r="V86" s="72">
        <v>0</v>
      </c>
      <c r="W86" s="72" t="s">
        <v>1436</v>
      </c>
      <c r="X86" s="72" t="s">
        <v>982</v>
      </c>
      <c r="Y86" s="72" t="s">
        <v>982</v>
      </c>
      <c r="Z86" s="72"/>
    </row>
    <row r="87" spans="1:26" ht="15" customHeight="1" x14ac:dyDescent="0.25">
      <c r="A87" s="68">
        <v>74</v>
      </c>
      <c r="B87" s="69" t="s">
        <v>182</v>
      </c>
      <c r="C87" s="68" t="s">
        <v>1326</v>
      </c>
      <c r="D87" s="68" t="s">
        <v>873</v>
      </c>
      <c r="E87" s="68" t="s">
        <v>885</v>
      </c>
      <c r="F87" s="68" t="s">
        <v>102</v>
      </c>
      <c r="G87" s="68" t="s">
        <v>6</v>
      </c>
      <c r="H87" s="68" t="s">
        <v>939</v>
      </c>
      <c r="I87" s="68">
        <v>1073</v>
      </c>
      <c r="J87" s="68" t="s">
        <v>1141</v>
      </c>
      <c r="K87" s="68" t="s">
        <v>1139</v>
      </c>
      <c r="L87" s="70">
        <v>20</v>
      </c>
      <c r="M87" s="71" t="s">
        <v>979</v>
      </c>
      <c r="N87" s="72" t="s">
        <v>809</v>
      </c>
      <c r="O87" s="68">
        <v>1</v>
      </c>
      <c r="P87" s="69" t="str">
        <f t="shared" si="14"/>
        <v>Chicken Tandoori 18 - 20G - GFF012-6F</v>
      </c>
      <c r="Q87" s="72"/>
      <c r="R87" s="72"/>
      <c r="S87" s="72"/>
      <c r="T87" s="72"/>
      <c r="U87" s="72"/>
      <c r="V87" s="72">
        <v>0</v>
      </c>
      <c r="W87" s="72" t="s">
        <v>1436</v>
      </c>
      <c r="X87" s="72" t="s">
        <v>982</v>
      </c>
      <c r="Y87" s="72" t="s">
        <v>982</v>
      </c>
      <c r="Z87" s="72"/>
    </row>
    <row r="88" spans="1:26" ht="15" customHeight="1" x14ac:dyDescent="0.25">
      <c r="A88" s="68">
        <v>75</v>
      </c>
      <c r="B88" s="69" t="s">
        <v>182</v>
      </c>
      <c r="C88" s="68" t="s">
        <v>1327</v>
      </c>
      <c r="D88" s="68" t="s">
        <v>874</v>
      </c>
      <c r="E88" s="68" t="s">
        <v>885</v>
      </c>
      <c r="F88" s="68" t="s">
        <v>102</v>
      </c>
      <c r="G88" s="68" t="s">
        <v>6</v>
      </c>
      <c r="H88" s="68" t="s">
        <v>939</v>
      </c>
      <c r="I88" s="68">
        <v>1074</v>
      </c>
      <c r="J88" s="68" t="s">
        <v>1142</v>
      </c>
      <c r="K88" s="68" t="s">
        <v>1140</v>
      </c>
      <c r="L88" s="70">
        <v>20</v>
      </c>
      <c r="M88" s="71" t="s">
        <v>979</v>
      </c>
      <c r="N88" s="72" t="s">
        <v>809</v>
      </c>
      <c r="O88" s="68">
        <v>1</v>
      </c>
      <c r="P88" s="69" t="str">
        <f t="shared" si="14"/>
        <v>Chicken Korma 18 - 20G - GFF012-5F</v>
      </c>
      <c r="Q88" s="72"/>
      <c r="R88" s="72"/>
      <c r="S88" s="72"/>
      <c r="T88" s="72"/>
      <c r="U88" s="72"/>
      <c r="V88" s="72">
        <v>0</v>
      </c>
      <c r="W88" s="72" t="s">
        <v>1436</v>
      </c>
      <c r="X88" s="72" t="s">
        <v>982</v>
      </c>
      <c r="Y88" s="72" t="s">
        <v>982</v>
      </c>
      <c r="Z88" s="72"/>
    </row>
    <row r="89" spans="1:26" ht="15" customHeight="1" x14ac:dyDescent="0.25">
      <c r="A89" s="68">
        <v>77</v>
      </c>
      <c r="B89" s="69" t="s">
        <v>182</v>
      </c>
      <c r="C89" s="68" t="s">
        <v>1592</v>
      </c>
      <c r="D89" s="68" t="s">
        <v>880</v>
      </c>
      <c r="E89" s="68" t="s">
        <v>885</v>
      </c>
      <c r="F89" s="68" t="s">
        <v>56</v>
      </c>
      <c r="G89" s="68" t="s">
        <v>6</v>
      </c>
      <c r="H89" s="68" t="s">
        <v>939</v>
      </c>
      <c r="I89" s="68">
        <v>1076</v>
      </c>
      <c r="J89" s="68" t="s">
        <v>1072</v>
      </c>
      <c r="K89" s="68" t="s">
        <v>105</v>
      </c>
      <c r="L89" s="70">
        <v>20</v>
      </c>
      <c r="M89" s="71" t="s">
        <v>980</v>
      </c>
      <c r="N89" s="72" t="s">
        <v>809</v>
      </c>
      <c r="O89" s="68">
        <v>1260</v>
      </c>
      <c r="P89" s="69" t="str">
        <f t="shared" si="14"/>
        <v>Lancashire Cheese &amp; Damson Jelly Square Parcels 20G - GFF171R</v>
      </c>
      <c r="Q89" s="72">
        <v>12</v>
      </c>
      <c r="R89" s="72">
        <f t="shared" ref="R89" si="19">($Q89/5)*4</f>
        <v>9.6</v>
      </c>
      <c r="S89" s="72">
        <f t="shared" ref="S89" si="20">($Q89/5)*3</f>
        <v>7.1999999999999993</v>
      </c>
      <c r="T89" s="72">
        <f t="shared" ref="T89" si="21">($Q89/5)*2</f>
        <v>4.8</v>
      </c>
      <c r="U89" s="72">
        <f t="shared" ref="U89" si="22">($Q89/5)*1</f>
        <v>2.4</v>
      </c>
      <c r="V89" s="72">
        <v>0</v>
      </c>
      <c r="W89" s="72" t="s">
        <v>1436</v>
      </c>
      <c r="X89" s="72" t="s">
        <v>982</v>
      </c>
      <c r="Y89" s="72" t="s">
        <v>982</v>
      </c>
      <c r="Z89" s="72" t="s">
        <v>3064</v>
      </c>
    </row>
    <row r="90" spans="1:26" ht="15" customHeight="1" x14ac:dyDescent="0.25">
      <c r="A90" s="68">
        <v>81</v>
      </c>
      <c r="B90" s="69" t="s">
        <v>182</v>
      </c>
      <c r="C90" s="68" t="s">
        <v>895</v>
      </c>
      <c r="D90" s="68" t="s">
        <v>882</v>
      </c>
      <c r="E90" s="68" t="s">
        <v>885</v>
      </c>
      <c r="F90" s="68" t="s">
        <v>56</v>
      </c>
      <c r="G90" s="68" t="s">
        <v>6</v>
      </c>
      <c r="H90" s="68" t="s">
        <v>939</v>
      </c>
      <c r="I90" s="68">
        <v>1080</v>
      </c>
      <c r="J90" s="68" t="s">
        <v>1075</v>
      </c>
      <c r="K90" s="68" t="s">
        <v>112</v>
      </c>
      <c r="L90" s="70">
        <v>18</v>
      </c>
      <c r="M90" s="71" t="s">
        <v>980</v>
      </c>
      <c r="N90" s="72" t="s">
        <v>809</v>
      </c>
      <c r="O90" s="68">
        <v>1</v>
      </c>
      <c r="P90" s="69" t="str">
        <f t="shared" si="14"/>
        <v>Red Onion Marmalade &amp; Goat Cheese 18G - tbc</v>
      </c>
      <c r="Q90" s="72"/>
      <c r="R90" s="72"/>
      <c r="S90" s="72"/>
      <c r="T90" s="72"/>
      <c r="U90" s="72"/>
      <c r="V90" s="72">
        <v>0</v>
      </c>
      <c r="W90" s="72" t="s">
        <v>1436</v>
      </c>
      <c r="X90" s="72" t="s">
        <v>982</v>
      </c>
      <c r="Y90" s="72" t="s">
        <v>982</v>
      </c>
      <c r="Z90" s="72"/>
    </row>
    <row r="91" spans="1:26" ht="15" customHeight="1" x14ac:dyDescent="0.25">
      <c r="A91" s="68">
        <v>83</v>
      </c>
      <c r="B91" s="69" t="s">
        <v>182</v>
      </c>
      <c r="C91" s="68" t="s">
        <v>895</v>
      </c>
      <c r="D91" s="68" t="s">
        <v>878</v>
      </c>
      <c r="E91" s="68" t="s">
        <v>885</v>
      </c>
      <c r="F91" s="68" t="s">
        <v>56</v>
      </c>
      <c r="G91" s="68" t="s">
        <v>6</v>
      </c>
      <c r="H91" s="68" t="s">
        <v>939</v>
      </c>
      <c r="I91" s="68">
        <v>1082</v>
      </c>
      <c r="J91" s="68" t="s">
        <v>1077</v>
      </c>
      <c r="K91" s="68" t="s">
        <v>119</v>
      </c>
      <c r="L91" s="70">
        <v>18</v>
      </c>
      <c r="M91" s="71" t="s">
        <v>980</v>
      </c>
      <c r="N91" s="72" t="s">
        <v>809</v>
      </c>
      <c r="O91" s="68">
        <v>1</v>
      </c>
      <c r="P91" s="69" t="str">
        <f t="shared" si="14"/>
        <v>Chicken &amp; Bean Empanada 18G - tbc</v>
      </c>
      <c r="Q91" s="72">
        <v>10</v>
      </c>
      <c r="R91" s="72">
        <f t="shared" ref="R91:R93" si="23">($Q91/5)*4</f>
        <v>8</v>
      </c>
      <c r="S91" s="72">
        <f t="shared" ref="S91:S93" si="24">($Q91/5)*3</f>
        <v>6</v>
      </c>
      <c r="T91" s="72">
        <f t="shared" ref="T91:T93" si="25">($Q91/5)*2</f>
        <v>4</v>
      </c>
      <c r="U91" s="72">
        <f t="shared" ref="U91:U93" si="26">($Q91/5)*1</f>
        <v>2</v>
      </c>
      <c r="V91" s="72">
        <v>0</v>
      </c>
      <c r="W91" s="72" t="s">
        <v>1436</v>
      </c>
      <c r="X91" s="72" t="s">
        <v>982</v>
      </c>
      <c r="Y91" s="72" t="s">
        <v>982</v>
      </c>
      <c r="Z91" s="72"/>
    </row>
    <row r="92" spans="1:26" ht="15" customHeight="1" x14ac:dyDescent="0.25">
      <c r="A92" s="68">
        <v>85</v>
      </c>
      <c r="B92" s="69" t="s">
        <v>182</v>
      </c>
      <c r="C92" s="68" t="s">
        <v>1961</v>
      </c>
      <c r="D92" s="68" t="s">
        <v>879</v>
      </c>
      <c r="E92" s="68" t="s">
        <v>885</v>
      </c>
      <c r="F92" s="68" t="s">
        <v>84</v>
      </c>
      <c r="G92" s="68" t="s">
        <v>6</v>
      </c>
      <c r="H92" s="68" t="s">
        <v>939</v>
      </c>
      <c r="I92" s="68">
        <v>1084</v>
      </c>
      <c r="J92" s="68" t="s">
        <v>1078</v>
      </c>
      <c r="K92" s="68" t="s">
        <v>126</v>
      </c>
      <c r="L92" s="70">
        <v>30</v>
      </c>
      <c r="M92" s="71" t="s">
        <v>980</v>
      </c>
      <c r="N92" s="72" t="s">
        <v>809</v>
      </c>
      <c r="O92" s="68">
        <v>448</v>
      </c>
      <c r="P92" s="69" t="str">
        <f t="shared" si="14"/>
        <v>Bean &amp; Corn Parcel 30G - GFF251R</v>
      </c>
      <c r="Q92" s="72">
        <v>9</v>
      </c>
      <c r="R92" s="72">
        <f t="shared" si="23"/>
        <v>7.2</v>
      </c>
      <c r="S92" s="72">
        <f t="shared" si="24"/>
        <v>5.4</v>
      </c>
      <c r="T92" s="72">
        <f t="shared" si="25"/>
        <v>3.6</v>
      </c>
      <c r="U92" s="72">
        <f t="shared" si="26"/>
        <v>1.8</v>
      </c>
      <c r="V92" s="72">
        <v>0</v>
      </c>
      <c r="W92" s="72" t="s">
        <v>1435</v>
      </c>
      <c r="X92" s="72" t="s">
        <v>1501</v>
      </c>
      <c r="Y92" s="72">
        <v>3</v>
      </c>
      <c r="Z92" s="80">
        <v>43602</v>
      </c>
    </row>
    <row r="93" spans="1:26" ht="15" customHeight="1" x14ac:dyDescent="0.25">
      <c r="A93" s="68">
        <v>86</v>
      </c>
      <c r="B93" s="69" t="s">
        <v>182</v>
      </c>
      <c r="C93" s="68" t="s">
        <v>1955</v>
      </c>
      <c r="D93" s="68" t="s">
        <v>875</v>
      </c>
      <c r="E93" s="68" t="s">
        <v>885</v>
      </c>
      <c r="F93" s="68" t="s">
        <v>84</v>
      </c>
      <c r="G93" s="68" t="s">
        <v>6</v>
      </c>
      <c r="H93" s="68" t="s">
        <v>939</v>
      </c>
      <c r="I93" s="68">
        <v>1085</v>
      </c>
      <c r="J93" s="68" t="s">
        <v>1079</v>
      </c>
      <c r="K93" s="68" t="s">
        <v>127</v>
      </c>
      <c r="L93" s="70">
        <v>25</v>
      </c>
      <c r="M93" s="71" t="s">
        <v>979</v>
      </c>
      <c r="N93" s="72" t="s">
        <v>809</v>
      </c>
      <c r="O93" s="68">
        <v>485</v>
      </c>
      <c r="P93" s="69" t="str">
        <f t="shared" si="14"/>
        <v>Chicken Flauta 25G - GFF249R</v>
      </c>
      <c r="Q93" s="72">
        <v>8</v>
      </c>
      <c r="R93" s="72">
        <f t="shared" si="23"/>
        <v>6.4</v>
      </c>
      <c r="S93" s="72">
        <f t="shared" si="24"/>
        <v>4.8000000000000007</v>
      </c>
      <c r="T93" s="72">
        <f t="shared" si="25"/>
        <v>3.2</v>
      </c>
      <c r="U93" s="72">
        <f t="shared" si="26"/>
        <v>1.6</v>
      </c>
      <c r="V93" s="72">
        <v>0</v>
      </c>
      <c r="W93" s="72" t="s">
        <v>1435</v>
      </c>
      <c r="X93" s="72" t="s">
        <v>1957</v>
      </c>
      <c r="Y93" s="72">
        <v>3</v>
      </c>
      <c r="Z93" s="72"/>
    </row>
    <row r="94" spans="1:26" ht="15" customHeight="1" x14ac:dyDescent="0.25">
      <c r="A94" s="68">
        <v>89</v>
      </c>
      <c r="B94" s="69" t="s">
        <v>150</v>
      </c>
      <c r="C94" s="68" t="s">
        <v>1007</v>
      </c>
      <c r="D94" s="68" t="s">
        <v>61</v>
      </c>
      <c r="E94" s="68" t="s">
        <v>885</v>
      </c>
      <c r="F94" s="68" t="s">
        <v>56</v>
      </c>
      <c r="G94" s="68" t="s">
        <v>17</v>
      </c>
      <c r="H94" s="68" t="s">
        <v>939</v>
      </c>
      <c r="I94" s="68">
        <v>1088</v>
      </c>
      <c r="J94" s="68" t="s">
        <v>1080</v>
      </c>
      <c r="K94" s="68" t="s">
        <v>95</v>
      </c>
      <c r="L94" s="70">
        <v>10</v>
      </c>
      <c r="M94" s="71" t="s">
        <v>979</v>
      </c>
      <c r="N94" s="72" t="s">
        <v>809</v>
      </c>
      <c r="O94" s="68">
        <v>1</v>
      </c>
      <c r="P94" s="69"/>
      <c r="Q94" s="72"/>
      <c r="R94" s="72"/>
      <c r="S94" s="72"/>
      <c r="T94" s="72"/>
      <c r="U94" s="72"/>
      <c r="V94" s="72">
        <v>0</v>
      </c>
      <c r="W94" s="72" t="s">
        <v>1437</v>
      </c>
      <c r="X94" s="72" t="s">
        <v>982</v>
      </c>
      <c r="Y94" s="72" t="s">
        <v>982</v>
      </c>
      <c r="Z94" s="72"/>
    </row>
    <row r="95" spans="1:26" ht="15" customHeight="1" x14ac:dyDescent="0.25">
      <c r="A95" s="68">
        <v>90</v>
      </c>
      <c r="B95" s="69" t="s">
        <v>150</v>
      </c>
      <c r="C95" s="68" t="s">
        <v>1007</v>
      </c>
      <c r="D95" s="68" t="s">
        <v>61</v>
      </c>
      <c r="E95" s="68" t="s">
        <v>885</v>
      </c>
      <c r="F95" s="68" t="s">
        <v>56</v>
      </c>
      <c r="G95" s="68" t="s">
        <v>17</v>
      </c>
      <c r="H95" s="68" t="s">
        <v>939</v>
      </c>
      <c r="I95" s="68">
        <v>1089</v>
      </c>
      <c r="J95" s="68" t="s">
        <v>1081</v>
      </c>
      <c r="K95" s="68" t="s">
        <v>94</v>
      </c>
      <c r="L95" s="70">
        <v>15</v>
      </c>
      <c r="M95" s="71" t="s">
        <v>979</v>
      </c>
      <c r="N95" s="72" t="s">
        <v>809</v>
      </c>
      <c r="O95" s="68">
        <v>1</v>
      </c>
      <c r="P95" s="69"/>
      <c r="Q95" s="72"/>
      <c r="R95" s="72"/>
      <c r="S95" s="72"/>
      <c r="T95" s="72"/>
      <c r="U95" s="72"/>
      <c r="V95" s="72">
        <v>0</v>
      </c>
      <c r="W95" s="72" t="s">
        <v>1437</v>
      </c>
      <c r="X95" s="72" t="s">
        <v>982</v>
      </c>
      <c r="Y95" s="72" t="s">
        <v>982</v>
      </c>
      <c r="Z95" s="72"/>
    </row>
    <row r="96" spans="1:26" ht="15" customHeight="1" x14ac:dyDescent="0.25">
      <c r="A96" s="68">
        <v>102</v>
      </c>
      <c r="B96" s="69" t="s">
        <v>153</v>
      </c>
      <c r="C96" s="68" t="s">
        <v>2066</v>
      </c>
      <c r="D96" s="68" t="s">
        <v>860</v>
      </c>
      <c r="E96" s="68" t="s">
        <v>885</v>
      </c>
      <c r="F96" s="68" t="s">
        <v>56</v>
      </c>
      <c r="G96" s="68" t="s">
        <v>17</v>
      </c>
      <c r="H96" s="68" t="s">
        <v>939</v>
      </c>
      <c r="I96" s="68">
        <v>1101</v>
      </c>
      <c r="J96" s="68" t="s">
        <v>1130</v>
      </c>
      <c r="K96" s="68" t="s">
        <v>3203</v>
      </c>
      <c r="L96" s="70">
        <v>20</v>
      </c>
      <c r="M96" s="71" t="s">
        <v>979</v>
      </c>
      <c r="N96" s="72" t="s">
        <v>809</v>
      </c>
      <c r="O96" s="68">
        <v>1</v>
      </c>
      <c r="P96" s="69" t="str">
        <f>K96&amp;" - "&amp; C96</f>
        <v>Thai Fish Cake 20G - TRANGS - TRA003-05</v>
      </c>
      <c r="Q96" s="72"/>
      <c r="R96" s="72"/>
      <c r="S96" s="72"/>
      <c r="T96" s="72"/>
      <c r="U96" s="72"/>
      <c r="V96" s="72">
        <v>0</v>
      </c>
      <c r="W96" s="72" t="s">
        <v>1437</v>
      </c>
      <c r="X96" s="72" t="s">
        <v>982</v>
      </c>
      <c r="Y96" s="72" t="s">
        <v>982</v>
      </c>
      <c r="Z96" s="72"/>
    </row>
    <row r="97" spans="1:26" ht="15" customHeight="1" x14ac:dyDescent="0.25">
      <c r="A97" s="68">
        <v>103</v>
      </c>
      <c r="B97" s="69" t="s">
        <v>153</v>
      </c>
      <c r="C97" s="68" t="s">
        <v>1007</v>
      </c>
      <c r="D97" s="68" t="s">
        <v>861</v>
      </c>
      <c r="E97" s="68" t="s">
        <v>885</v>
      </c>
      <c r="F97" s="68" t="s">
        <v>56</v>
      </c>
      <c r="G97" s="68" t="s">
        <v>17</v>
      </c>
      <c r="H97" s="68" t="s">
        <v>939</v>
      </c>
      <c r="I97" s="68">
        <v>1102</v>
      </c>
      <c r="J97" s="68" t="s">
        <v>1323</v>
      </c>
      <c r="K97" s="68" t="s">
        <v>1128</v>
      </c>
      <c r="L97" s="70">
        <v>10</v>
      </c>
      <c r="M97" s="71" t="s">
        <v>979</v>
      </c>
      <c r="N97" s="72" t="s">
        <v>809</v>
      </c>
      <c r="O97" s="68">
        <v>1</v>
      </c>
      <c r="P97" s="69"/>
      <c r="Q97" s="72"/>
      <c r="R97" s="72"/>
      <c r="S97" s="72"/>
      <c r="T97" s="72"/>
      <c r="U97" s="72"/>
      <c r="V97" s="72">
        <v>0</v>
      </c>
      <c r="W97" s="72" t="s">
        <v>1437</v>
      </c>
      <c r="X97" s="72" t="s">
        <v>982</v>
      </c>
      <c r="Y97" s="72" t="s">
        <v>982</v>
      </c>
      <c r="Z97" s="72"/>
    </row>
    <row r="98" spans="1:26" ht="15" customHeight="1" x14ac:dyDescent="0.25">
      <c r="A98" s="68">
        <v>104</v>
      </c>
      <c r="B98" s="69" t="s">
        <v>153</v>
      </c>
      <c r="C98" s="68" t="s">
        <v>1007</v>
      </c>
      <c r="D98" s="68" t="s">
        <v>856</v>
      </c>
      <c r="E98" s="68" t="s">
        <v>885</v>
      </c>
      <c r="F98" s="68" t="s">
        <v>56</v>
      </c>
      <c r="G98" s="68" t="s">
        <v>17</v>
      </c>
      <c r="H98" s="68" t="s">
        <v>939</v>
      </c>
      <c r="I98" s="68">
        <v>1103</v>
      </c>
      <c r="J98" s="68" t="s">
        <v>1088</v>
      </c>
      <c r="K98" s="68" t="s">
        <v>104</v>
      </c>
      <c r="L98" s="70">
        <v>15</v>
      </c>
      <c r="M98" s="71" t="s">
        <v>979</v>
      </c>
      <c r="N98" s="72" t="s">
        <v>809</v>
      </c>
      <c r="O98" s="68">
        <v>1</v>
      </c>
      <c r="P98" s="69"/>
      <c r="Q98" s="72"/>
      <c r="R98" s="72"/>
      <c r="S98" s="72"/>
      <c r="T98" s="72"/>
      <c r="U98" s="72"/>
      <c r="V98" s="72">
        <v>0</v>
      </c>
      <c r="W98" s="72" t="s">
        <v>1437</v>
      </c>
      <c r="X98" s="72" t="s">
        <v>1724</v>
      </c>
      <c r="Y98" s="1">
        <v>1</v>
      </c>
      <c r="Z98" s="1"/>
    </row>
    <row r="99" spans="1:26" ht="15" customHeight="1" x14ac:dyDescent="0.25">
      <c r="A99" s="68">
        <v>105</v>
      </c>
      <c r="B99" s="69" t="s">
        <v>153</v>
      </c>
      <c r="C99" s="68" t="s">
        <v>1007</v>
      </c>
      <c r="D99" s="68" t="s">
        <v>857</v>
      </c>
      <c r="E99" s="68" t="s">
        <v>885</v>
      </c>
      <c r="F99" s="68" t="s">
        <v>56</v>
      </c>
      <c r="G99" s="68" t="s">
        <v>17</v>
      </c>
      <c r="H99" s="68" t="s">
        <v>939</v>
      </c>
      <c r="I99" s="68">
        <v>1104</v>
      </c>
      <c r="J99" s="68" t="s">
        <v>1089</v>
      </c>
      <c r="K99" s="68" t="s">
        <v>1114</v>
      </c>
      <c r="L99" s="70">
        <v>20</v>
      </c>
      <c r="M99" s="71" t="s">
        <v>979</v>
      </c>
      <c r="N99" s="72" t="s">
        <v>809</v>
      </c>
      <c r="O99" s="68">
        <v>1</v>
      </c>
      <c r="P99" s="69"/>
      <c r="Q99" s="72"/>
      <c r="R99" s="72"/>
      <c r="S99" s="72"/>
      <c r="T99" s="72"/>
      <c r="U99" s="72"/>
      <c r="V99" s="72">
        <v>0</v>
      </c>
      <c r="W99" s="72" t="s">
        <v>1437</v>
      </c>
      <c r="X99" s="72" t="s">
        <v>1727</v>
      </c>
      <c r="Y99" s="1">
        <v>1</v>
      </c>
      <c r="Z99" s="1"/>
    </row>
    <row r="100" spans="1:26" ht="15" customHeight="1" x14ac:dyDescent="0.25">
      <c r="A100" s="68">
        <v>106</v>
      </c>
      <c r="B100" s="69" t="s">
        <v>153</v>
      </c>
      <c r="C100" s="68" t="s">
        <v>2155</v>
      </c>
      <c r="D100" s="68" t="s">
        <v>2156</v>
      </c>
      <c r="E100" s="68" t="s">
        <v>885</v>
      </c>
      <c r="F100" s="68" t="s">
        <v>56</v>
      </c>
      <c r="G100" s="68" t="s">
        <v>17</v>
      </c>
      <c r="H100" s="68" t="s">
        <v>939</v>
      </c>
      <c r="I100" s="68">
        <v>1105</v>
      </c>
      <c r="J100" s="68" t="s">
        <v>1191</v>
      </c>
      <c r="K100" s="68" t="s">
        <v>1126</v>
      </c>
      <c r="L100" s="70">
        <v>18</v>
      </c>
      <c r="M100" s="71" t="s">
        <v>979</v>
      </c>
      <c r="N100" s="72" t="s">
        <v>814</v>
      </c>
      <c r="O100" s="68">
        <v>1</v>
      </c>
      <c r="P100" s="69"/>
      <c r="Q100" s="72"/>
      <c r="R100" s="72"/>
      <c r="S100" s="72"/>
      <c r="T100" s="72"/>
      <c r="U100" s="72"/>
      <c r="V100" s="72">
        <v>0</v>
      </c>
      <c r="W100" s="72" t="s">
        <v>1437</v>
      </c>
      <c r="X100" s="72" t="s">
        <v>982</v>
      </c>
      <c r="Y100" s="72" t="s">
        <v>982</v>
      </c>
      <c r="Z100" s="72"/>
    </row>
    <row r="101" spans="1:26" ht="15" customHeight="1" x14ac:dyDescent="0.25">
      <c r="A101" s="68">
        <v>107</v>
      </c>
      <c r="B101" s="69" t="s">
        <v>153</v>
      </c>
      <c r="C101" s="68" t="s">
        <v>1007</v>
      </c>
      <c r="D101" s="68" t="s">
        <v>61</v>
      </c>
      <c r="E101" s="68" t="s">
        <v>885</v>
      </c>
      <c r="F101" s="68" t="s">
        <v>56</v>
      </c>
      <c r="G101" s="68" t="s">
        <v>17</v>
      </c>
      <c r="H101" s="68" t="s">
        <v>939</v>
      </c>
      <c r="I101" s="68">
        <v>1106</v>
      </c>
      <c r="J101" s="68" t="s">
        <v>1184</v>
      </c>
      <c r="K101" s="68" t="s">
        <v>1127</v>
      </c>
      <c r="L101" s="70">
        <v>15</v>
      </c>
      <c r="M101" s="71" t="s">
        <v>979</v>
      </c>
      <c r="N101" s="72" t="s">
        <v>809</v>
      </c>
      <c r="O101" s="68">
        <v>1</v>
      </c>
      <c r="P101" s="69"/>
      <c r="Q101" s="72"/>
      <c r="R101" s="72"/>
      <c r="S101" s="72"/>
      <c r="T101" s="72"/>
      <c r="U101" s="72"/>
      <c r="V101" s="72">
        <v>0</v>
      </c>
      <c r="W101" s="72" t="s">
        <v>1437</v>
      </c>
      <c r="X101" s="72" t="s">
        <v>982</v>
      </c>
      <c r="Y101" s="72" t="s">
        <v>982</v>
      </c>
      <c r="Z101" s="72"/>
    </row>
    <row r="102" spans="1:26" ht="15" customHeight="1" x14ac:dyDescent="0.25">
      <c r="A102" s="68">
        <v>142</v>
      </c>
      <c r="B102" s="69">
        <v>3663</v>
      </c>
      <c r="C102" s="68" t="s">
        <v>1007</v>
      </c>
      <c r="D102" s="68" t="s">
        <v>1093</v>
      </c>
      <c r="E102" s="68" t="s">
        <v>885</v>
      </c>
      <c r="F102" s="68" t="s">
        <v>56</v>
      </c>
      <c r="G102" s="68" t="s">
        <v>17</v>
      </c>
      <c r="H102" s="68" t="s">
        <v>939</v>
      </c>
      <c r="I102" s="68">
        <v>1141</v>
      </c>
      <c r="J102" s="68" t="s">
        <v>1091</v>
      </c>
      <c r="K102" s="68" t="s">
        <v>1092</v>
      </c>
      <c r="L102" s="70">
        <v>10</v>
      </c>
      <c r="M102" s="71" t="s">
        <v>979</v>
      </c>
      <c r="N102" s="72" t="s">
        <v>809</v>
      </c>
      <c r="O102" s="68">
        <v>1</v>
      </c>
      <c r="P102" s="69"/>
      <c r="Q102" s="72"/>
      <c r="R102" s="72"/>
      <c r="S102" s="72"/>
      <c r="T102" s="72"/>
      <c r="U102" s="72"/>
      <c r="V102" s="72">
        <v>0</v>
      </c>
      <c r="W102" s="72" t="s">
        <v>1437</v>
      </c>
      <c r="X102" s="72" t="s">
        <v>982</v>
      </c>
      <c r="Y102" s="72" t="s">
        <v>982</v>
      </c>
      <c r="Z102" s="72"/>
    </row>
    <row r="103" spans="1:26" ht="15" customHeight="1" x14ac:dyDescent="0.25">
      <c r="A103" s="68">
        <v>143</v>
      </c>
      <c r="B103" s="69" t="s">
        <v>1048</v>
      </c>
      <c r="C103" s="68" t="s">
        <v>1329</v>
      </c>
      <c r="D103" s="68" t="s">
        <v>1094</v>
      </c>
      <c r="E103" s="68" t="s">
        <v>885</v>
      </c>
      <c r="F103" s="68" t="s">
        <v>56</v>
      </c>
      <c r="G103" s="68" t="s">
        <v>17</v>
      </c>
      <c r="H103" s="68" t="s">
        <v>939</v>
      </c>
      <c r="I103" s="68">
        <v>1142</v>
      </c>
      <c r="J103" s="68" t="s">
        <v>1096</v>
      </c>
      <c r="K103" s="68" t="s">
        <v>1095</v>
      </c>
      <c r="L103" s="70">
        <v>10</v>
      </c>
      <c r="M103" s="71" t="s">
        <v>980</v>
      </c>
      <c r="N103" s="72" t="s">
        <v>809</v>
      </c>
      <c r="O103" s="68">
        <v>1</v>
      </c>
      <c r="P103" s="69"/>
      <c r="Q103" s="72"/>
      <c r="R103" s="72"/>
      <c r="S103" s="72"/>
      <c r="T103" s="72"/>
      <c r="U103" s="72"/>
      <c r="V103" s="72">
        <v>0</v>
      </c>
      <c r="W103" s="72" t="s">
        <v>1437</v>
      </c>
      <c r="X103" s="72" t="s">
        <v>982</v>
      </c>
      <c r="Y103" s="72" t="s">
        <v>982</v>
      </c>
      <c r="Z103" s="72"/>
    </row>
    <row r="104" spans="1:26" ht="15" customHeight="1" x14ac:dyDescent="0.25">
      <c r="A104" s="68">
        <v>144</v>
      </c>
      <c r="B104" s="69" t="s">
        <v>1060</v>
      </c>
      <c r="C104" s="68" t="s">
        <v>1007</v>
      </c>
      <c r="D104" s="68" t="s">
        <v>839</v>
      </c>
      <c r="E104" s="68" t="s">
        <v>885</v>
      </c>
      <c r="F104" s="68" t="s">
        <v>56</v>
      </c>
      <c r="G104" s="68" t="s">
        <v>17</v>
      </c>
      <c r="H104" s="68" t="s">
        <v>939</v>
      </c>
      <c r="I104" s="68">
        <v>1143</v>
      </c>
      <c r="J104" s="68" t="s">
        <v>1097</v>
      </c>
      <c r="K104" s="68" t="s">
        <v>839</v>
      </c>
      <c r="L104" s="70" t="s">
        <v>799</v>
      </c>
      <c r="M104" s="71" t="s">
        <v>980</v>
      </c>
      <c r="N104" s="72" t="s">
        <v>809</v>
      </c>
      <c r="O104" s="68">
        <v>1</v>
      </c>
      <c r="P104" s="69"/>
      <c r="Q104" s="72"/>
      <c r="R104" s="72"/>
      <c r="S104" s="72"/>
      <c r="T104" s="72"/>
      <c r="U104" s="72"/>
      <c r="V104" s="72">
        <v>0</v>
      </c>
      <c r="W104" s="72" t="s">
        <v>1437</v>
      </c>
      <c r="X104" s="72" t="s">
        <v>982</v>
      </c>
      <c r="Y104" s="72" t="s">
        <v>982</v>
      </c>
      <c r="Z104" s="72"/>
    </row>
    <row r="105" spans="1:26" ht="15" customHeight="1" x14ac:dyDescent="0.25">
      <c r="A105" s="68">
        <v>145</v>
      </c>
      <c r="B105" s="69" t="s">
        <v>182</v>
      </c>
      <c r="C105" s="68" t="s">
        <v>895</v>
      </c>
      <c r="D105" s="68" t="s">
        <v>1099</v>
      </c>
      <c r="E105" s="68" t="s">
        <v>885</v>
      </c>
      <c r="F105" s="68" t="s">
        <v>56</v>
      </c>
      <c r="G105" s="68" t="s">
        <v>6</v>
      </c>
      <c r="H105" s="68" t="s">
        <v>939</v>
      </c>
      <c r="I105" s="68">
        <v>1144</v>
      </c>
      <c r="J105" s="68" t="s">
        <v>1101</v>
      </c>
      <c r="K105" s="68" t="s">
        <v>1100</v>
      </c>
      <c r="L105" s="70">
        <v>10</v>
      </c>
      <c r="M105" s="71" t="s">
        <v>979</v>
      </c>
      <c r="N105" s="72" t="s">
        <v>809</v>
      </c>
      <c r="O105" s="68">
        <v>1</v>
      </c>
      <c r="P105" s="69" t="str">
        <f>K105&amp;" - "&amp; C105</f>
        <v>Chicken &amp; Sundried Tomatoes 10G - tbc</v>
      </c>
      <c r="Q105" s="72"/>
      <c r="R105" s="72"/>
      <c r="S105" s="72"/>
      <c r="T105" s="72"/>
      <c r="U105" s="72"/>
      <c r="V105" s="72">
        <v>0</v>
      </c>
      <c r="W105" s="72" t="s">
        <v>1436</v>
      </c>
      <c r="X105" s="72" t="s">
        <v>982</v>
      </c>
      <c r="Y105" s="72" t="s">
        <v>982</v>
      </c>
      <c r="Z105" s="72"/>
    </row>
    <row r="106" spans="1:26" ht="15" customHeight="1" x14ac:dyDescent="0.25">
      <c r="A106" s="68">
        <v>146</v>
      </c>
      <c r="B106" s="69" t="s">
        <v>182</v>
      </c>
      <c r="C106" s="68" t="s">
        <v>895</v>
      </c>
      <c r="D106" s="68" t="s">
        <v>1103</v>
      </c>
      <c r="E106" s="68" t="s">
        <v>885</v>
      </c>
      <c r="F106" s="68" t="s">
        <v>56</v>
      </c>
      <c r="G106" s="68" t="s">
        <v>6</v>
      </c>
      <c r="H106" s="68" t="s">
        <v>939</v>
      </c>
      <c r="I106" s="68">
        <v>1145</v>
      </c>
      <c r="J106" s="68" t="s">
        <v>1105</v>
      </c>
      <c r="K106" s="68" t="s">
        <v>1104</v>
      </c>
      <c r="L106" s="70">
        <v>10</v>
      </c>
      <c r="M106" s="71" t="s">
        <v>980</v>
      </c>
      <c r="N106" s="72" t="s">
        <v>809</v>
      </c>
      <c r="O106" s="68">
        <v>1</v>
      </c>
      <c r="P106" s="69" t="str">
        <f>K106&amp;" - "&amp; C106</f>
        <v>Red Pepper &amp; Cream Cheese 10G - tbc</v>
      </c>
      <c r="Q106" s="72"/>
      <c r="R106" s="72"/>
      <c r="S106" s="72"/>
      <c r="T106" s="72"/>
      <c r="U106" s="72"/>
      <c r="V106" s="72">
        <v>0</v>
      </c>
      <c r="W106" s="72" t="s">
        <v>1436</v>
      </c>
      <c r="X106" s="72" t="s">
        <v>982</v>
      </c>
      <c r="Y106" s="72" t="s">
        <v>982</v>
      </c>
      <c r="Z106" s="72"/>
    </row>
    <row r="107" spans="1:26" ht="15" customHeight="1" x14ac:dyDescent="0.25">
      <c r="A107" s="68">
        <v>147</v>
      </c>
      <c r="B107" s="69" t="s">
        <v>182</v>
      </c>
      <c r="C107" s="68" t="s">
        <v>1328</v>
      </c>
      <c r="D107" s="68" t="s">
        <v>1107</v>
      </c>
      <c r="E107" s="68" t="s">
        <v>885</v>
      </c>
      <c r="F107" s="68" t="s">
        <v>128</v>
      </c>
      <c r="G107" s="68" t="s">
        <v>6</v>
      </c>
      <c r="H107" s="68" t="s">
        <v>939</v>
      </c>
      <c r="I107" s="68">
        <v>1146</v>
      </c>
      <c r="J107" s="68" t="s">
        <v>1108</v>
      </c>
      <c r="K107" s="68" t="s">
        <v>1109</v>
      </c>
      <c r="L107" s="70">
        <v>18</v>
      </c>
      <c r="M107" s="71" t="s">
        <v>979</v>
      </c>
      <c r="N107" s="72" t="s">
        <v>1150</v>
      </c>
      <c r="O107" s="68">
        <v>1</v>
      </c>
      <c r="P107" s="69" t="str">
        <f>K107&amp;" - "&amp; C107</f>
        <v>Hara Bhara Chicken Bites 18-20G - GFF120R</v>
      </c>
      <c r="Q107" s="72"/>
      <c r="R107" s="72"/>
      <c r="S107" s="72"/>
      <c r="T107" s="72"/>
      <c r="U107" s="72"/>
      <c r="V107" s="72">
        <v>0</v>
      </c>
      <c r="W107" s="72" t="s">
        <v>1436</v>
      </c>
      <c r="X107" s="72" t="s">
        <v>982</v>
      </c>
      <c r="Y107" s="72" t="s">
        <v>982</v>
      </c>
      <c r="Z107" s="72"/>
    </row>
    <row r="108" spans="1:26" ht="15" customHeight="1" x14ac:dyDescent="0.25">
      <c r="A108" s="68">
        <v>148</v>
      </c>
      <c r="B108" s="69" t="s">
        <v>1037</v>
      </c>
      <c r="C108" s="68" t="s">
        <v>1007</v>
      </c>
      <c r="D108" s="68" t="s">
        <v>1111</v>
      </c>
      <c r="E108" s="68" t="s">
        <v>885</v>
      </c>
      <c r="F108" s="68" t="s">
        <v>128</v>
      </c>
      <c r="G108" s="68" t="s">
        <v>17</v>
      </c>
      <c r="H108" s="68" t="s">
        <v>939</v>
      </c>
      <c r="I108" s="68">
        <v>1147</v>
      </c>
      <c r="J108" s="68" t="s">
        <v>1131</v>
      </c>
      <c r="K108" s="68" t="s">
        <v>1112</v>
      </c>
      <c r="L108" s="70">
        <v>16</v>
      </c>
      <c r="M108" s="71" t="s">
        <v>980</v>
      </c>
      <c r="N108" s="72" t="s">
        <v>809</v>
      </c>
      <c r="O108" s="68">
        <v>1</v>
      </c>
      <c r="P108" s="69"/>
      <c r="Q108" s="72"/>
      <c r="R108" s="72"/>
      <c r="S108" s="72"/>
      <c r="T108" s="72"/>
      <c r="U108" s="72"/>
      <c r="V108" s="72">
        <v>0</v>
      </c>
      <c r="W108" s="72" t="s">
        <v>1437</v>
      </c>
      <c r="X108" s="72" t="s">
        <v>982</v>
      </c>
      <c r="Y108" s="72" t="s">
        <v>982</v>
      </c>
      <c r="Z108" s="72"/>
    </row>
    <row r="109" spans="1:26" ht="15" customHeight="1" x14ac:dyDescent="0.25">
      <c r="A109" s="68">
        <v>149</v>
      </c>
      <c r="B109" s="69" t="s">
        <v>1064</v>
      </c>
      <c r="C109" s="68" t="s">
        <v>1007</v>
      </c>
      <c r="D109" s="68" t="s">
        <v>871</v>
      </c>
      <c r="E109" s="68" t="s">
        <v>885</v>
      </c>
      <c r="F109" s="68" t="s">
        <v>56</v>
      </c>
      <c r="G109" s="68" t="s">
        <v>17</v>
      </c>
      <c r="H109" s="68" t="s">
        <v>939</v>
      </c>
      <c r="I109" s="68">
        <v>1148</v>
      </c>
      <c r="J109" s="68" t="s">
        <v>1135</v>
      </c>
      <c r="K109" s="68" t="s">
        <v>1132</v>
      </c>
      <c r="L109" s="70">
        <v>16</v>
      </c>
      <c r="M109" s="71" t="s">
        <v>980</v>
      </c>
      <c r="N109" s="72" t="s">
        <v>809</v>
      </c>
      <c r="O109" s="68">
        <v>1</v>
      </c>
      <c r="P109" s="69"/>
      <c r="Q109" s="72"/>
      <c r="R109" s="72"/>
      <c r="S109" s="72"/>
      <c r="T109" s="72"/>
      <c r="U109" s="72"/>
      <c r="V109" s="72">
        <v>0</v>
      </c>
      <c r="W109" s="72" t="s">
        <v>1437</v>
      </c>
      <c r="X109" s="72" t="s">
        <v>982</v>
      </c>
      <c r="Y109" s="72" t="s">
        <v>982</v>
      </c>
      <c r="Z109" s="72"/>
    </row>
    <row r="110" spans="1:26" ht="15" customHeight="1" x14ac:dyDescent="0.25">
      <c r="A110" s="68">
        <v>150</v>
      </c>
      <c r="B110" s="69" t="s">
        <v>1067</v>
      </c>
      <c r="C110" s="68" t="s">
        <v>1007</v>
      </c>
      <c r="D110" s="68" t="s">
        <v>1122</v>
      </c>
      <c r="E110" s="68" t="s">
        <v>1115</v>
      </c>
      <c r="F110" s="68" t="s">
        <v>56</v>
      </c>
      <c r="G110" s="68" t="s">
        <v>17</v>
      </c>
      <c r="H110" s="68" t="s">
        <v>939</v>
      </c>
      <c r="I110" s="68">
        <v>1149</v>
      </c>
      <c r="J110" s="68" t="s">
        <v>1117</v>
      </c>
      <c r="K110" s="68" t="s">
        <v>1116</v>
      </c>
      <c r="L110" s="70" t="s">
        <v>1118</v>
      </c>
      <c r="M110" s="71" t="s">
        <v>1137</v>
      </c>
      <c r="N110" s="72" t="s">
        <v>809</v>
      </c>
      <c r="O110" s="68">
        <v>1</v>
      </c>
      <c r="P110" s="69"/>
      <c r="Q110" s="72"/>
      <c r="R110" s="72"/>
      <c r="S110" s="72"/>
      <c r="T110" s="72"/>
      <c r="U110" s="72"/>
      <c r="V110" s="72">
        <v>0</v>
      </c>
      <c r="W110" s="72" t="s">
        <v>1437</v>
      </c>
      <c r="X110" s="72" t="s">
        <v>982</v>
      </c>
      <c r="Y110" s="72" t="s">
        <v>982</v>
      </c>
      <c r="Z110" s="72"/>
    </row>
    <row r="111" spans="1:26" ht="15" customHeight="1" x14ac:dyDescent="0.25">
      <c r="A111" s="68">
        <v>151</v>
      </c>
      <c r="B111" s="69" t="s">
        <v>1067</v>
      </c>
      <c r="C111" s="68" t="s">
        <v>1007</v>
      </c>
      <c r="D111" s="68" t="s">
        <v>1122</v>
      </c>
      <c r="E111" s="68" t="s">
        <v>1115</v>
      </c>
      <c r="F111" s="68" t="s">
        <v>56</v>
      </c>
      <c r="G111" s="68" t="s">
        <v>17</v>
      </c>
      <c r="H111" s="68" t="s">
        <v>939</v>
      </c>
      <c r="I111" s="68">
        <v>1150</v>
      </c>
      <c r="J111" s="68" t="s">
        <v>1120</v>
      </c>
      <c r="K111" s="68" t="s">
        <v>1119</v>
      </c>
      <c r="L111" s="70" t="s">
        <v>1121</v>
      </c>
      <c r="M111" s="71" t="s">
        <v>1137</v>
      </c>
      <c r="N111" s="72" t="s">
        <v>809</v>
      </c>
      <c r="O111" s="68">
        <v>1</v>
      </c>
      <c r="P111" s="69"/>
      <c r="Q111" s="72"/>
      <c r="R111" s="72"/>
      <c r="S111" s="72"/>
      <c r="T111" s="72"/>
      <c r="U111" s="72"/>
      <c r="V111" s="72">
        <v>0</v>
      </c>
      <c r="W111" s="72" t="s">
        <v>1437</v>
      </c>
      <c r="X111" s="72" t="s">
        <v>982</v>
      </c>
      <c r="Y111" s="72" t="s">
        <v>982</v>
      </c>
      <c r="Z111" s="72"/>
    </row>
    <row r="112" spans="1:26" ht="15" customHeight="1" x14ac:dyDescent="0.25">
      <c r="A112" s="68">
        <v>152</v>
      </c>
      <c r="B112" s="69" t="s">
        <v>1067</v>
      </c>
      <c r="C112" s="68" t="s">
        <v>1007</v>
      </c>
      <c r="D112" s="68" t="s">
        <v>1122</v>
      </c>
      <c r="E112" s="68" t="s">
        <v>1115</v>
      </c>
      <c r="F112" s="68" t="s">
        <v>56</v>
      </c>
      <c r="G112" s="68" t="s">
        <v>17</v>
      </c>
      <c r="H112" s="68" t="s">
        <v>939</v>
      </c>
      <c r="I112" s="68">
        <v>1151</v>
      </c>
      <c r="J112" s="68" t="s">
        <v>1123</v>
      </c>
      <c r="K112" s="68" t="s">
        <v>1124</v>
      </c>
      <c r="L112" s="70" t="s">
        <v>1125</v>
      </c>
      <c r="M112" s="71" t="s">
        <v>1137</v>
      </c>
      <c r="N112" s="72" t="s">
        <v>809</v>
      </c>
      <c r="O112" s="68">
        <v>1</v>
      </c>
      <c r="P112" s="69"/>
      <c r="Q112" s="72"/>
      <c r="R112" s="72"/>
      <c r="S112" s="72"/>
      <c r="T112" s="72"/>
      <c r="U112" s="72"/>
      <c r="V112" s="72">
        <v>0</v>
      </c>
      <c r="W112" s="72" t="s">
        <v>1437</v>
      </c>
      <c r="X112" s="72" t="s">
        <v>982</v>
      </c>
      <c r="Y112" s="72" t="s">
        <v>982</v>
      </c>
      <c r="Z112" s="72"/>
    </row>
    <row r="113" spans="1:26" ht="15" customHeight="1" x14ac:dyDescent="0.25">
      <c r="A113" s="68">
        <v>108</v>
      </c>
      <c r="B113" s="78"/>
      <c r="C113" s="2"/>
      <c r="D113" s="68" t="s">
        <v>845</v>
      </c>
      <c r="E113" s="68" t="s">
        <v>130</v>
      </c>
      <c r="F113" s="68" t="s">
        <v>130</v>
      </c>
      <c r="G113" s="68" t="s">
        <v>17</v>
      </c>
      <c r="H113" s="68" t="s">
        <v>888</v>
      </c>
      <c r="I113" s="68">
        <v>1107</v>
      </c>
      <c r="J113" s="68" t="s">
        <v>1016</v>
      </c>
      <c r="K113" s="68" t="s">
        <v>131</v>
      </c>
      <c r="L113" s="70">
        <v>40</v>
      </c>
      <c r="M113" s="71" t="s">
        <v>980</v>
      </c>
      <c r="N113" s="72" t="s">
        <v>809</v>
      </c>
      <c r="O113" s="68">
        <v>1</v>
      </c>
      <c r="P113" s="69"/>
      <c r="Q113" s="72"/>
      <c r="R113" s="72"/>
      <c r="S113" s="72"/>
      <c r="T113" s="72"/>
      <c r="U113" s="72"/>
      <c r="V113" s="72">
        <v>0</v>
      </c>
      <c r="W113" s="72" t="s">
        <v>1437</v>
      </c>
      <c r="X113" s="72" t="s">
        <v>982</v>
      </c>
      <c r="Y113" s="72" t="s">
        <v>982</v>
      </c>
      <c r="Z113" s="72"/>
    </row>
    <row r="114" spans="1:26" ht="15" customHeight="1" x14ac:dyDescent="0.25">
      <c r="A114" s="68">
        <v>109</v>
      </c>
      <c r="B114" s="78" t="s">
        <v>1062</v>
      </c>
      <c r="C114" s="2" t="s">
        <v>1631</v>
      </c>
      <c r="D114" s="68" t="s">
        <v>847</v>
      </c>
      <c r="E114" s="68" t="s">
        <v>130</v>
      </c>
      <c r="F114" s="68" t="s">
        <v>130</v>
      </c>
      <c r="G114" s="68" t="s">
        <v>17</v>
      </c>
      <c r="H114" s="68" t="s">
        <v>888</v>
      </c>
      <c r="I114" s="68">
        <v>1108</v>
      </c>
      <c r="J114" s="68" t="s">
        <v>1017</v>
      </c>
      <c r="K114" s="68" t="s">
        <v>132</v>
      </c>
      <c r="L114" s="70">
        <v>40</v>
      </c>
      <c r="M114" s="71" t="s">
        <v>980</v>
      </c>
      <c r="N114" s="72" t="s">
        <v>809</v>
      </c>
      <c r="O114" s="68">
        <v>1</v>
      </c>
      <c r="P114" s="69"/>
      <c r="Q114" s="72"/>
      <c r="R114" s="72"/>
      <c r="S114" s="72"/>
      <c r="T114" s="72"/>
      <c r="U114" s="72"/>
      <c r="V114" s="72">
        <v>0</v>
      </c>
      <c r="W114" s="72" t="s">
        <v>1435</v>
      </c>
      <c r="X114" s="72" t="s">
        <v>982</v>
      </c>
      <c r="Y114" s="72" t="s">
        <v>982</v>
      </c>
      <c r="Z114" s="72"/>
    </row>
    <row r="115" spans="1:26" ht="15" customHeight="1" x14ac:dyDescent="0.25">
      <c r="A115" s="68">
        <v>110</v>
      </c>
      <c r="B115" s="78"/>
      <c r="C115" s="68"/>
      <c r="D115" s="68" t="s">
        <v>846</v>
      </c>
      <c r="E115" s="68" t="s">
        <v>130</v>
      </c>
      <c r="F115" s="68" t="s">
        <v>130</v>
      </c>
      <c r="G115" s="68" t="s">
        <v>17</v>
      </c>
      <c r="H115" s="68" t="s">
        <v>888</v>
      </c>
      <c r="I115" s="68">
        <v>1109</v>
      </c>
      <c r="J115" s="68" t="s">
        <v>1018</v>
      </c>
      <c r="K115" s="68" t="s">
        <v>133</v>
      </c>
      <c r="L115" s="70">
        <v>40</v>
      </c>
      <c r="M115" s="71" t="s">
        <v>980</v>
      </c>
      <c r="N115" s="72" t="s">
        <v>809</v>
      </c>
      <c r="O115" s="68">
        <v>1</v>
      </c>
      <c r="P115" s="69"/>
      <c r="Q115" s="72"/>
      <c r="R115" s="72"/>
      <c r="S115" s="72"/>
      <c r="T115" s="72"/>
      <c r="U115" s="72"/>
      <c r="V115" s="72">
        <v>0</v>
      </c>
      <c r="W115" s="72" t="s">
        <v>1437</v>
      </c>
      <c r="X115" s="72" t="s">
        <v>982</v>
      </c>
      <c r="Y115" s="72" t="s">
        <v>982</v>
      </c>
      <c r="Z115" s="72"/>
    </row>
    <row r="116" spans="1:26" ht="15" customHeight="1" x14ac:dyDescent="0.25">
      <c r="A116" s="68">
        <v>112</v>
      </c>
      <c r="B116" s="69"/>
      <c r="C116" s="68"/>
      <c r="D116" s="68" t="s">
        <v>849</v>
      </c>
      <c r="E116" s="68" t="s">
        <v>130</v>
      </c>
      <c r="F116" s="68" t="s">
        <v>130</v>
      </c>
      <c r="G116" s="68" t="s">
        <v>17</v>
      </c>
      <c r="H116" s="68" t="s">
        <v>939</v>
      </c>
      <c r="I116" s="68">
        <v>1111</v>
      </c>
      <c r="J116" s="68" t="s">
        <v>1020</v>
      </c>
      <c r="K116" s="68" t="s">
        <v>135</v>
      </c>
      <c r="L116" s="70">
        <v>40</v>
      </c>
      <c r="M116" s="71" t="s">
        <v>980</v>
      </c>
      <c r="N116" s="72" t="s">
        <v>809</v>
      </c>
      <c r="O116" s="68">
        <v>1</v>
      </c>
      <c r="P116" s="69"/>
      <c r="Q116" s="72"/>
      <c r="R116" s="72"/>
      <c r="S116" s="72"/>
      <c r="T116" s="72"/>
      <c r="U116" s="72"/>
      <c r="V116" s="72">
        <v>0</v>
      </c>
      <c r="W116" s="72" t="s">
        <v>1437</v>
      </c>
      <c r="X116" s="72" t="s">
        <v>982</v>
      </c>
      <c r="Y116" s="72" t="s">
        <v>982</v>
      </c>
      <c r="Z116" s="72"/>
    </row>
    <row r="117" spans="1:26" ht="15" customHeight="1" x14ac:dyDescent="0.25">
      <c r="A117" s="68">
        <v>113</v>
      </c>
      <c r="B117" s="69"/>
      <c r="C117" s="68"/>
      <c r="D117" s="68" t="s">
        <v>838</v>
      </c>
      <c r="E117" s="68" t="s">
        <v>130</v>
      </c>
      <c r="F117" s="68" t="s">
        <v>130</v>
      </c>
      <c r="G117" s="68" t="s">
        <v>17</v>
      </c>
      <c r="H117" s="68" t="s">
        <v>888</v>
      </c>
      <c r="I117" s="68">
        <v>1112</v>
      </c>
      <c r="J117" s="68" t="s">
        <v>1021</v>
      </c>
      <c r="K117" s="68" t="s">
        <v>136</v>
      </c>
      <c r="L117" s="70">
        <v>40</v>
      </c>
      <c r="M117" s="75" t="s">
        <v>979</v>
      </c>
      <c r="N117" s="72" t="s">
        <v>1150</v>
      </c>
      <c r="O117" s="68">
        <v>1</v>
      </c>
      <c r="P117" s="69"/>
      <c r="Q117" s="72"/>
      <c r="R117" s="72"/>
      <c r="S117" s="72"/>
      <c r="T117" s="72"/>
      <c r="U117" s="72"/>
      <c r="V117" s="72">
        <v>0</v>
      </c>
      <c r="W117" s="72" t="s">
        <v>1437</v>
      </c>
      <c r="X117" s="72" t="s">
        <v>982</v>
      </c>
      <c r="Y117" s="72" t="s">
        <v>982</v>
      </c>
      <c r="Z117" s="72"/>
    </row>
    <row r="118" spans="1:26" ht="15" customHeight="1" x14ac:dyDescent="0.25">
      <c r="A118" s="68">
        <v>115</v>
      </c>
      <c r="B118" s="69"/>
      <c r="C118" s="68"/>
      <c r="D118" s="68" t="s">
        <v>848</v>
      </c>
      <c r="E118" s="68" t="s">
        <v>130</v>
      </c>
      <c r="F118" s="68" t="s">
        <v>130</v>
      </c>
      <c r="G118" s="68" t="s">
        <v>17</v>
      </c>
      <c r="H118" s="68" t="s">
        <v>888</v>
      </c>
      <c r="I118" s="68">
        <v>1114</v>
      </c>
      <c r="J118" s="68" t="s">
        <v>1023</v>
      </c>
      <c r="K118" s="68" t="s">
        <v>138</v>
      </c>
      <c r="L118" s="70">
        <v>30</v>
      </c>
      <c r="M118" s="71" t="s">
        <v>980</v>
      </c>
      <c r="N118" s="72" t="s">
        <v>809</v>
      </c>
      <c r="O118" s="68">
        <v>1</v>
      </c>
      <c r="P118" s="69"/>
      <c r="Q118" s="72"/>
      <c r="R118" s="72"/>
      <c r="S118" s="72"/>
      <c r="T118" s="72"/>
      <c r="U118" s="72"/>
      <c r="V118" s="72">
        <v>0</v>
      </c>
      <c r="W118" s="72" t="s">
        <v>1437</v>
      </c>
      <c r="X118" s="72" t="s">
        <v>982</v>
      </c>
      <c r="Y118" s="72" t="s">
        <v>982</v>
      </c>
      <c r="Z118" s="72"/>
    </row>
    <row r="119" spans="1:26" ht="15" customHeight="1" x14ac:dyDescent="0.25">
      <c r="A119" s="68">
        <v>116</v>
      </c>
      <c r="B119" s="78" t="s">
        <v>1632</v>
      </c>
      <c r="C119" s="2" t="s">
        <v>1633</v>
      </c>
      <c r="D119" s="68" t="s">
        <v>850</v>
      </c>
      <c r="E119" s="68" t="s">
        <v>130</v>
      </c>
      <c r="F119" s="68" t="s">
        <v>130</v>
      </c>
      <c r="G119" s="68" t="s">
        <v>17</v>
      </c>
      <c r="H119" s="68" t="s">
        <v>888</v>
      </c>
      <c r="I119" s="68">
        <v>1115</v>
      </c>
      <c r="J119" s="68" t="s">
        <v>1024</v>
      </c>
      <c r="K119" s="68" t="s">
        <v>1353</v>
      </c>
      <c r="L119" s="70">
        <v>30</v>
      </c>
      <c r="M119" s="71" t="s">
        <v>980</v>
      </c>
      <c r="N119" s="72" t="s">
        <v>809</v>
      </c>
      <c r="O119" s="68">
        <v>1</v>
      </c>
      <c r="P119" s="69"/>
      <c r="Q119" s="72"/>
      <c r="R119" s="72"/>
      <c r="S119" s="72"/>
      <c r="T119" s="72"/>
      <c r="U119" s="72"/>
      <c r="V119" s="72">
        <v>0</v>
      </c>
      <c r="W119" s="72" t="s">
        <v>1435</v>
      </c>
      <c r="X119" s="72" t="s">
        <v>982</v>
      </c>
      <c r="Y119" s="72" t="s">
        <v>982</v>
      </c>
      <c r="Z119" s="72"/>
    </row>
    <row r="120" spans="1:26" ht="15" customHeight="1" x14ac:dyDescent="0.25">
      <c r="A120" s="68">
        <v>117</v>
      </c>
      <c r="B120" s="69"/>
      <c r="C120" s="68"/>
      <c r="D120" s="68" t="s">
        <v>846</v>
      </c>
      <c r="E120" s="68" t="s">
        <v>130</v>
      </c>
      <c r="F120" s="68" t="s">
        <v>130</v>
      </c>
      <c r="G120" s="68" t="s">
        <v>17</v>
      </c>
      <c r="H120" s="68" t="s">
        <v>888</v>
      </c>
      <c r="I120" s="68">
        <v>1116</v>
      </c>
      <c r="J120" s="68" t="s">
        <v>1025</v>
      </c>
      <c r="K120" s="68" t="s">
        <v>140</v>
      </c>
      <c r="L120" s="70">
        <v>30</v>
      </c>
      <c r="M120" s="71" t="s">
        <v>980</v>
      </c>
      <c r="N120" s="72" t="s">
        <v>809</v>
      </c>
      <c r="O120" s="68">
        <v>1</v>
      </c>
      <c r="P120" s="69"/>
      <c r="Q120" s="72"/>
      <c r="R120" s="72"/>
      <c r="S120" s="72"/>
      <c r="T120" s="72"/>
      <c r="U120" s="72"/>
      <c r="V120" s="72">
        <v>0</v>
      </c>
      <c r="W120" s="72" t="s">
        <v>1437</v>
      </c>
      <c r="X120" s="72" t="s">
        <v>982</v>
      </c>
      <c r="Y120" s="72" t="s">
        <v>982</v>
      </c>
      <c r="Z120" s="72"/>
    </row>
    <row r="121" spans="1:26" ht="15" customHeight="1" x14ac:dyDescent="0.25">
      <c r="A121" s="68">
        <v>41</v>
      </c>
      <c r="B121" s="69" t="s">
        <v>182</v>
      </c>
      <c r="C121" s="68" t="s">
        <v>1143</v>
      </c>
      <c r="D121" s="68" t="s">
        <v>1144</v>
      </c>
      <c r="E121" s="68" t="s">
        <v>885</v>
      </c>
      <c r="F121" s="68" t="s">
        <v>56</v>
      </c>
      <c r="G121" s="68" t="s">
        <v>6</v>
      </c>
      <c r="H121" s="68" t="s">
        <v>888</v>
      </c>
      <c r="I121" s="68">
        <v>1040</v>
      </c>
      <c r="J121" s="68" t="s">
        <v>744</v>
      </c>
      <c r="K121" s="68" t="s">
        <v>797</v>
      </c>
      <c r="L121" s="70">
        <v>20</v>
      </c>
      <c r="M121" s="71" t="s">
        <v>980</v>
      </c>
      <c r="N121" s="72" t="s">
        <v>809</v>
      </c>
      <c r="O121" s="68">
        <v>390</v>
      </c>
      <c r="P121" s="69" t="str">
        <f>K121&amp;" - "&amp; C121</f>
        <v>Falafels 20G - GFF036R</v>
      </c>
      <c r="Q121" s="72">
        <v>55</v>
      </c>
      <c r="R121" s="72">
        <v>44</v>
      </c>
      <c r="S121" s="72">
        <v>33</v>
      </c>
      <c r="T121" s="72">
        <v>22</v>
      </c>
      <c r="U121" s="72">
        <v>11</v>
      </c>
      <c r="V121" s="72">
        <v>0</v>
      </c>
      <c r="W121" s="72" t="s">
        <v>1435</v>
      </c>
      <c r="X121" s="72" t="s">
        <v>1545</v>
      </c>
      <c r="Y121" s="72">
        <v>2</v>
      </c>
      <c r="Z121" s="72" t="s">
        <v>2289</v>
      </c>
    </row>
    <row r="122" spans="1:26" ht="15" customHeight="1" x14ac:dyDescent="0.25">
      <c r="A122" s="68">
        <v>84</v>
      </c>
      <c r="B122" s="69" t="s">
        <v>895</v>
      </c>
      <c r="C122" s="68" t="s">
        <v>895</v>
      </c>
      <c r="D122" s="68" t="s">
        <v>1146</v>
      </c>
      <c r="E122" s="68" t="s">
        <v>886</v>
      </c>
      <c r="F122" s="68" t="s">
        <v>56</v>
      </c>
      <c r="G122" s="68" t="s">
        <v>17</v>
      </c>
      <c r="H122" s="68" t="s">
        <v>888</v>
      </c>
      <c r="I122" s="68">
        <v>1083</v>
      </c>
      <c r="J122" s="68" t="s">
        <v>1145</v>
      </c>
      <c r="K122" s="68" t="s">
        <v>120</v>
      </c>
      <c r="L122" s="70">
        <v>55</v>
      </c>
      <c r="M122" s="71" t="s">
        <v>980</v>
      </c>
      <c r="N122" s="72" t="s">
        <v>809</v>
      </c>
      <c r="O122" s="68" t="s">
        <v>1007</v>
      </c>
      <c r="P122" s="69"/>
      <c r="Q122" s="72"/>
      <c r="R122" s="72"/>
      <c r="S122" s="72"/>
      <c r="T122" s="72"/>
      <c r="U122" s="72"/>
      <c r="V122" s="72">
        <v>0</v>
      </c>
      <c r="W122" s="72" t="s">
        <v>1437</v>
      </c>
      <c r="X122" s="72" t="s">
        <v>982</v>
      </c>
      <c r="Y122" s="72" t="s">
        <v>982</v>
      </c>
      <c r="Z122" s="72"/>
    </row>
    <row r="123" spans="1:26" ht="15" customHeight="1" x14ac:dyDescent="0.25">
      <c r="A123" s="68">
        <v>153</v>
      </c>
      <c r="B123" s="78" t="s">
        <v>1637</v>
      </c>
      <c r="C123" s="2" t="s">
        <v>1638</v>
      </c>
      <c r="D123" s="68" t="s">
        <v>838</v>
      </c>
      <c r="E123" s="68" t="s">
        <v>130</v>
      </c>
      <c r="F123" s="68" t="s">
        <v>130</v>
      </c>
      <c r="G123" s="68" t="s">
        <v>17</v>
      </c>
      <c r="H123" s="68" t="s">
        <v>888</v>
      </c>
      <c r="I123" s="68">
        <v>1152</v>
      </c>
      <c r="J123" s="68" t="s">
        <v>1147</v>
      </c>
      <c r="K123" s="68" t="s">
        <v>1148</v>
      </c>
      <c r="L123" s="70">
        <v>50</v>
      </c>
      <c r="M123" s="71" t="s">
        <v>979</v>
      </c>
      <c r="N123" s="72" t="s">
        <v>809</v>
      </c>
      <c r="O123" s="68">
        <v>1</v>
      </c>
      <c r="P123" s="69" t="str">
        <f t="shared" ref="P123:P129" si="27">K123&amp;" - "&amp; C123</f>
        <v>Pecking Duck Sauce 50G - WIP001-11</v>
      </c>
      <c r="Q123" s="72"/>
      <c r="R123" s="72"/>
      <c r="S123" s="72"/>
      <c r="T123" s="72"/>
      <c r="U123" s="72"/>
      <c r="V123" s="72">
        <v>0</v>
      </c>
      <c r="W123" s="72" t="s">
        <v>1435</v>
      </c>
      <c r="X123" s="72" t="s">
        <v>982</v>
      </c>
      <c r="Y123" s="72" t="s">
        <v>982</v>
      </c>
      <c r="Z123" s="72"/>
    </row>
    <row r="124" spans="1:26" ht="15" customHeight="1" x14ac:dyDescent="0.25">
      <c r="A124" s="68">
        <v>71</v>
      </c>
      <c r="B124" s="69" t="s">
        <v>182</v>
      </c>
      <c r="C124" s="68" t="s">
        <v>910</v>
      </c>
      <c r="D124" s="68" t="s">
        <v>96</v>
      </c>
      <c r="E124" s="68" t="s">
        <v>885</v>
      </c>
      <c r="F124" s="68" t="s">
        <v>56</v>
      </c>
      <c r="G124" s="68" t="s">
        <v>6</v>
      </c>
      <c r="H124" s="68" t="s">
        <v>888</v>
      </c>
      <c r="I124" s="68">
        <v>1070</v>
      </c>
      <c r="J124" s="76" t="s">
        <v>1152</v>
      </c>
      <c r="K124" s="68" t="s">
        <v>1153</v>
      </c>
      <c r="L124" s="70">
        <v>90</v>
      </c>
      <c r="M124" s="71" t="s">
        <v>980</v>
      </c>
      <c r="N124" s="72" t="s">
        <v>809</v>
      </c>
      <c r="O124" s="68">
        <v>300</v>
      </c>
      <c r="P124" s="69" t="str">
        <f t="shared" si="27"/>
        <v>Cheese &amp; Onion Loaded Potato Skins 90G - GFF017-1R</v>
      </c>
      <c r="Q124" s="72">
        <v>27.5</v>
      </c>
      <c r="R124" s="72">
        <v>22</v>
      </c>
      <c r="S124" s="72">
        <v>13.2</v>
      </c>
      <c r="T124" s="72">
        <v>8.8000000000000007</v>
      </c>
      <c r="U124" s="72">
        <v>4.4000000000000004</v>
      </c>
      <c r="V124" s="72">
        <v>0</v>
      </c>
      <c r="W124" s="72" t="s">
        <v>1435</v>
      </c>
      <c r="X124" s="72" t="s">
        <v>1480</v>
      </c>
      <c r="Y124" s="72">
        <v>2</v>
      </c>
      <c r="Z124" s="72" t="s">
        <v>2289</v>
      </c>
    </row>
    <row r="125" spans="1:26" ht="15" customHeight="1" x14ac:dyDescent="0.25">
      <c r="A125" s="68">
        <v>154</v>
      </c>
      <c r="B125" s="69" t="s">
        <v>182</v>
      </c>
      <c r="C125" s="68" t="s">
        <v>1333</v>
      </c>
      <c r="D125" s="68" t="s">
        <v>1157</v>
      </c>
      <c r="E125" s="68" t="s">
        <v>886</v>
      </c>
      <c r="F125" s="68" t="s">
        <v>56</v>
      </c>
      <c r="G125" s="68" t="s">
        <v>6</v>
      </c>
      <c r="H125" s="68" t="s">
        <v>888</v>
      </c>
      <c r="I125" s="68">
        <v>1113</v>
      </c>
      <c r="J125" s="68" t="s">
        <v>1158</v>
      </c>
      <c r="K125" s="68" t="s">
        <v>1157</v>
      </c>
      <c r="L125" s="70"/>
      <c r="M125" s="71" t="s">
        <v>979</v>
      </c>
      <c r="N125" s="72" t="s">
        <v>809</v>
      </c>
      <c r="O125" s="68">
        <v>15</v>
      </c>
      <c r="P125" s="69" t="str">
        <f t="shared" si="27"/>
        <v>Chicken Curry Panini Fill - GFF117R</v>
      </c>
      <c r="Q125" s="72"/>
      <c r="R125" s="72"/>
      <c r="S125" s="72"/>
      <c r="T125" s="72"/>
      <c r="U125" s="72"/>
      <c r="V125" s="72">
        <v>0</v>
      </c>
      <c r="W125" s="72" t="s">
        <v>1435</v>
      </c>
      <c r="X125" s="72" t="s">
        <v>982</v>
      </c>
      <c r="Y125" s="72" t="s">
        <v>982</v>
      </c>
      <c r="Z125" s="72"/>
    </row>
    <row r="126" spans="1:26" ht="15" customHeight="1" x14ac:dyDescent="0.25">
      <c r="A126" s="68">
        <v>155</v>
      </c>
      <c r="B126" s="69" t="s">
        <v>182</v>
      </c>
      <c r="C126" s="68" t="s">
        <v>1283</v>
      </c>
      <c r="D126" s="68" t="s">
        <v>824</v>
      </c>
      <c r="E126" s="68" t="s">
        <v>885</v>
      </c>
      <c r="F126" s="68" t="s">
        <v>40</v>
      </c>
      <c r="G126" s="68" t="s">
        <v>6</v>
      </c>
      <c r="H126" s="68" t="s">
        <v>888</v>
      </c>
      <c r="I126" s="68">
        <v>1114</v>
      </c>
      <c r="J126" s="68" t="s">
        <v>1168</v>
      </c>
      <c r="K126" s="68" t="s">
        <v>1171</v>
      </c>
      <c r="L126" s="70">
        <v>40</v>
      </c>
      <c r="M126" s="71" t="s">
        <v>980</v>
      </c>
      <c r="N126" s="72" t="s">
        <v>814</v>
      </c>
      <c r="O126" s="68">
        <v>2500</v>
      </c>
      <c r="P126" s="69" t="str">
        <f t="shared" si="27"/>
        <v>Onion Bhaji Cocktail 40G - GFF121R</v>
      </c>
      <c r="Q126" s="72">
        <v>50</v>
      </c>
      <c r="R126" s="72">
        <f t="shared" ref="R126:R129" si="28">($Q126/5)*4</f>
        <v>40</v>
      </c>
      <c r="S126" s="72">
        <f t="shared" ref="S126:S129" si="29">($Q126/5)*3</f>
        <v>30</v>
      </c>
      <c r="T126" s="72">
        <f t="shared" ref="T126:T129" si="30">($Q126/5)*2</f>
        <v>20</v>
      </c>
      <c r="U126" s="72">
        <f t="shared" ref="U126:U129" si="31">($Q126/5)*1</f>
        <v>10</v>
      </c>
      <c r="V126" s="72">
        <v>0</v>
      </c>
      <c r="W126" s="72" t="s">
        <v>1435</v>
      </c>
      <c r="X126" s="1" t="s">
        <v>982</v>
      </c>
      <c r="Y126" s="72" t="s">
        <v>982</v>
      </c>
      <c r="Z126" s="72"/>
    </row>
    <row r="127" spans="1:26" ht="15" customHeight="1" x14ac:dyDescent="0.25">
      <c r="A127" s="68">
        <v>156</v>
      </c>
      <c r="B127" s="69" t="s">
        <v>182</v>
      </c>
      <c r="C127" s="68" t="s">
        <v>1285</v>
      </c>
      <c r="D127" s="68" t="s">
        <v>819</v>
      </c>
      <c r="E127" s="68" t="s">
        <v>885</v>
      </c>
      <c r="F127" s="68" t="s">
        <v>13</v>
      </c>
      <c r="G127" s="68" t="s">
        <v>6</v>
      </c>
      <c r="H127" s="68" t="s">
        <v>888</v>
      </c>
      <c r="I127" s="68">
        <v>1115</v>
      </c>
      <c r="J127" s="68" t="s">
        <v>1169</v>
      </c>
      <c r="K127" s="68" t="s">
        <v>1172</v>
      </c>
      <c r="L127" s="70">
        <v>40</v>
      </c>
      <c r="M127" s="71" t="s">
        <v>980</v>
      </c>
      <c r="N127" s="72" t="s">
        <v>814</v>
      </c>
      <c r="O127" s="68">
        <v>1600</v>
      </c>
      <c r="P127" s="69" t="str">
        <f t="shared" si="27"/>
        <v>Vegetable Samosa 40G- R1 - GFF123R</v>
      </c>
      <c r="Q127" s="72">
        <v>30</v>
      </c>
      <c r="R127" s="72">
        <f t="shared" si="28"/>
        <v>24</v>
      </c>
      <c r="S127" s="72">
        <f t="shared" si="29"/>
        <v>18</v>
      </c>
      <c r="T127" s="72">
        <f t="shared" si="30"/>
        <v>12</v>
      </c>
      <c r="U127" s="72">
        <f t="shared" si="31"/>
        <v>6</v>
      </c>
      <c r="V127" s="72">
        <v>8</v>
      </c>
      <c r="W127" s="72" t="s">
        <v>1435</v>
      </c>
      <c r="X127" s="72" t="s">
        <v>1501</v>
      </c>
      <c r="Y127" s="72">
        <v>3</v>
      </c>
      <c r="Z127" s="72"/>
    </row>
    <row r="128" spans="1:26" ht="15" customHeight="1" x14ac:dyDescent="0.25">
      <c r="A128" s="68">
        <v>157</v>
      </c>
      <c r="B128" s="69" t="s">
        <v>182</v>
      </c>
      <c r="C128" s="68" t="s">
        <v>1284</v>
      </c>
      <c r="D128" s="68" t="s">
        <v>831</v>
      </c>
      <c r="E128" s="68" t="s">
        <v>885</v>
      </c>
      <c r="F128" s="68" t="s">
        <v>51</v>
      </c>
      <c r="G128" s="68" t="s">
        <v>6</v>
      </c>
      <c r="H128" s="68" t="s">
        <v>888</v>
      </c>
      <c r="I128" s="68">
        <v>1116</v>
      </c>
      <c r="J128" s="68" t="s">
        <v>1170</v>
      </c>
      <c r="K128" s="68" t="s">
        <v>1173</v>
      </c>
      <c r="L128" s="70">
        <v>30</v>
      </c>
      <c r="M128" s="71" t="s">
        <v>980</v>
      </c>
      <c r="N128" s="72" t="s">
        <v>814</v>
      </c>
      <c r="O128" s="68">
        <v>3600</v>
      </c>
      <c r="P128" s="69" t="str">
        <f t="shared" si="27"/>
        <v>Vegetable Pakora Cocktail 30G- R1 - GFF122R</v>
      </c>
      <c r="Q128" s="72">
        <v>60</v>
      </c>
      <c r="R128" s="72">
        <f t="shared" si="28"/>
        <v>48</v>
      </c>
      <c r="S128" s="72">
        <f t="shared" si="29"/>
        <v>36</v>
      </c>
      <c r="T128" s="72">
        <f t="shared" si="30"/>
        <v>24</v>
      </c>
      <c r="U128" s="72">
        <f t="shared" si="31"/>
        <v>12</v>
      </c>
      <c r="V128" s="72">
        <v>0</v>
      </c>
      <c r="W128" s="72" t="s">
        <v>1435</v>
      </c>
      <c r="X128" s="72" t="s">
        <v>982</v>
      </c>
      <c r="Y128" s="72" t="s">
        <v>982</v>
      </c>
      <c r="Z128" s="72"/>
    </row>
    <row r="129" spans="1:26" ht="15" customHeight="1" x14ac:dyDescent="0.25">
      <c r="A129" s="68">
        <v>44</v>
      </c>
      <c r="B129" s="69" t="s">
        <v>182</v>
      </c>
      <c r="C129" s="68" t="s">
        <v>1332</v>
      </c>
      <c r="D129" s="68" t="s">
        <v>853</v>
      </c>
      <c r="E129" s="68" t="s">
        <v>885</v>
      </c>
      <c r="F129" s="68" t="s">
        <v>1174</v>
      </c>
      <c r="G129" s="68" t="s">
        <v>6</v>
      </c>
      <c r="H129" s="68" t="s">
        <v>888</v>
      </c>
      <c r="I129" s="68">
        <v>1117</v>
      </c>
      <c r="J129" s="68" t="s">
        <v>670</v>
      </c>
      <c r="K129" s="68" t="s">
        <v>60</v>
      </c>
      <c r="L129" s="70">
        <v>100</v>
      </c>
      <c r="M129" s="71" t="s">
        <v>980</v>
      </c>
      <c r="N129" s="72" t="s">
        <v>814</v>
      </c>
      <c r="O129" s="68">
        <v>380</v>
      </c>
      <c r="P129" s="69" t="str">
        <f t="shared" si="27"/>
        <v>Mexican Vegetable Burger 100G - GFF024-R</v>
      </c>
      <c r="Q129" s="72">
        <v>41</v>
      </c>
      <c r="R129" s="72">
        <f t="shared" si="28"/>
        <v>32.799999999999997</v>
      </c>
      <c r="S129" s="72">
        <f t="shared" si="29"/>
        <v>24.599999999999998</v>
      </c>
      <c r="T129" s="72">
        <f t="shared" si="30"/>
        <v>16.399999999999999</v>
      </c>
      <c r="U129" s="72">
        <f t="shared" si="31"/>
        <v>8.1999999999999993</v>
      </c>
      <c r="V129" s="72">
        <v>0</v>
      </c>
      <c r="W129" s="72" t="s">
        <v>1435</v>
      </c>
      <c r="X129" s="72" t="s">
        <v>982</v>
      </c>
      <c r="Y129" s="72" t="s">
        <v>982</v>
      </c>
      <c r="Z129" s="72"/>
    </row>
    <row r="130" spans="1:26" ht="15" customHeight="1" x14ac:dyDescent="0.25">
      <c r="A130" s="68">
        <v>129</v>
      </c>
      <c r="B130" s="69" t="s">
        <v>895</v>
      </c>
      <c r="C130" s="68" t="s">
        <v>895</v>
      </c>
      <c r="D130" s="68" t="s">
        <v>870</v>
      </c>
      <c r="E130" s="68" t="s">
        <v>886</v>
      </c>
      <c r="F130" s="68" t="s">
        <v>84</v>
      </c>
      <c r="G130" s="68" t="s">
        <v>17</v>
      </c>
      <c r="H130" s="68" t="s">
        <v>888</v>
      </c>
      <c r="I130" s="68">
        <v>1128</v>
      </c>
      <c r="J130" s="68" t="s">
        <v>972</v>
      </c>
      <c r="K130" s="68" t="s">
        <v>121</v>
      </c>
      <c r="L130" s="70"/>
      <c r="M130" s="71" t="s">
        <v>980</v>
      </c>
      <c r="N130" s="72" t="s">
        <v>809</v>
      </c>
      <c r="O130" s="68" t="s">
        <v>1007</v>
      </c>
      <c r="P130" s="69"/>
      <c r="Q130" s="72"/>
      <c r="R130" s="72"/>
      <c r="S130" s="72"/>
      <c r="T130" s="72"/>
      <c r="U130" s="72"/>
      <c r="V130" s="72">
        <v>0</v>
      </c>
      <c r="W130" s="72" t="s">
        <v>1437</v>
      </c>
      <c r="X130" s="72" t="s">
        <v>982</v>
      </c>
      <c r="Y130" s="72" t="s">
        <v>982</v>
      </c>
      <c r="Z130" s="72"/>
    </row>
    <row r="131" spans="1:26" ht="15" customHeight="1" x14ac:dyDescent="0.25">
      <c r="A131" s="68">
        <v>130</v>
      </c>
      <c r="B131" s="69" t="s">
        <v>895</v>
      </c>
      <c r="C131" s="68" t="s">
        <v>895</v>
      </c>
      <c r="D131" s="68" t="s">
        <v>122</v>
      </c>
      <c r="E131" s="68" t="s">
        <v>886</v>
      </c>
      <c r="F131" s="68" t="s">
        <v>84</v>
      </c>
      <c r="G131" s="68" t="s">
        <v>895</v>
      </c>
      <c r="H131" s="68" t="s">
        <v>888</v>
      </c>
      <c r="I131" s="68">
        <v>1129</v>
      </c>
      <c r="J131" s="68" t="s">
        <v>973</v>
      </c>
      <c r="K131" s="68" t="s">
        <v>122</v>
      </c>
      <c r="L131" s="70"/>
      <c r="M131" s="71" t="s">
        <v>980</v>
      </c>
      <c r="N131" s="72" t="s">
        <v>809</v>
      </c>
      <c r="O131" s="68" t="s">
        <v>1007</v>
      </c>
      <c r="P131" s="69"/>
      <c r="Q131" s="72"/>
      <c r="R131" s="72"/>
      <c r="S131" s="72"/>
      <c r="T131" s="72"/>
      <c r="U131" s="72"/>
      <c r="V131" s="72">
        <v>0</v>
      </c>
      <c r="W131" s="72" t="s">
        <v>1437</v>
      </c>
      <c r="X131" s="72" t="s">
        <v>982</v>
      </c>
      <c r="Y131" s="72" t="s">
        <v>982</v>
      </c>
      <c r="Z131" s="72"/>
    </row>
    <row r="132" spans="1:26" ht="15" customHeight="1" x14ac:dyDescent="0.25">
      <c r="A132" s="68">
        <v>131</v>
      </c>
      <c r="B132" s="69" t="s">
        <v>895</v>
      </c>
      <c r="C132" s="68" t="s">
        <v>895</v>
      </c>
      <c r="D132" s="68" t="s">
        <v>123</v>
      </c>
      <c r="E132" s="68" t="s">
        <v>886</v>
      </c>
      <c r="F132" s="68" t="s">
        <v>84</v>
      </c>
      <c r="G132" s="68" t="s">
        <v>895</v>
      </c>
      <c r="H132" s="68" t="s">
        <v>888</v>
      </c>
      <c r="I132" s="68">
        <v>1130</v>
      </c>
      <c r="J132" s="68" t="s">
        <v>974</v>
      </c>
      <c r="K132" s="68" t="s">
        <v>123</v>
      </c>
      <c r="L132" s="70"/>
      <c r="M132" s="71" t="s">
        <v>980</v>
      </c>
      <c r="N132" s="72" t="s">
        <v>809</v>
      </c>
      <c r="O132" s="68" t="s">
        <v>1007</v>
      </c>
      <c r="P132" s="69"/>
      <c r="Q132" s="72"/>
      <c r="R132" s="72"/>
      <c r="S132" s="72"/>
      <c r="T132" s="72"/>
      <c r="U132" s="72"/>
      <c r="V132" s="72">
        <v>0</v>
      </c>
      <c r="W132" s="72" t="s">
        <v>1437</v>
      </c>
      <c r="X132" s="72" t="s">
        <v>982</v>
      </c>
      <c r="Y132" s="72" t="s">
        <v>982</v>
      </c>
      <c r="Z132" s="72"/>
    </row>
    <row r="133" spans="1:26" ht="15" customHeight="1" x14ac:dyDescent="0.25">
      <c r="A133" s="68">
        <v>132</v>
      </c>
      <c r="B133" s="69" t="s">
        <v>895</v>
      </c>
      <c r="C133" s="68" t="s">
        <v>895</v>
      </c>
      <c r="D133" s="68" t="s">
        <v>124</v>
      </c>
      <c r="E133" s="68" t="s">
        <v>886</v>
      </c>
      <c r="F133" s="68" t="s">
        <v>88</v>
      </c>
      <c r="G133" s="68" t="s">
        <v>17</v>
      </c>
      <c r="H133" s="68" t="s">
        <v>888</v>
      </c>
      <c r="I133" s="68">
        <v>1131</v>
      </c>
      <c r="J133" s="68" t="s">
        <v>975</v>
      </c>
      <c r="K133" s="68" t="s">
        <v>124</v>
      </c>
      <c r="L133" s="70"/>
      <c r="M133" s="71" t="s">
        <v>980</v>
      </c>
      <c r="N133" s="72" t="s">
        <v>809</v>
      </c>
      <c r="O133" s="68" t="s">
        <v>1007</v>
      </c>
      <c r="P133" s="69"/>
      <c r="Q133" s="72"/>
      <c r="R133" s="72"/>
      <c r="S133" s="72"/>
      <c r="T133" s="72"/>
      <c r="U133" s="72"/>
      <c r="V133" s="72">
        <v>0</v>
      </c>
      <c r="W133" s="72" t="s">
        <v>1437</v>
      </c>
      <c r="X133" s="72" t="s">
        <v>982</v>
      </c>
      <c r="Y133" s="72" t="s">
        <v>982</v>
      </c>
      <c r="Z133" s="72"/>
    </row>
    <row r="134" spans="1:26" ht="15" customHeight="1" x14ac:dyDescent="0.25">
      <c r="A134" s="68">
        <v>133</v>
      </c>
      <c r="B134" s="69" t="s">
        <v>1607</v>
      </c>
      <c r="C134" s="68" t="s">
        <v>3255</v>
      </c>
      <c r="D134" s="68" t="s">
        <v>125</v>
      </c>
      <c r="E134" s="68" t="s">
        <v>886</v>
      </c>
      <c r="F134" s="68" t="s">
        <v>88</v>
      </c>
      <c r="G134" s="68" t="s">
        <v>17</v>
      </c>
      <c r="H134" s="68" t="s">
        <v>888</v>
      </c>
      <c r="I134" s="68">
        <v>1132</v>
      </c>
      <c r="J134" s="68" t="s">
        <v>976</v>
      </c>
      <c r="K134" s="68" t="s">
        <v>125</v>
      </c>
      <c r="L134" s="70">
        <v>1</v>
      </c>
      <c r="M134" s="71" t="s">
        <v>980</v>
      </c>
      <c r="N134" s="72" t="s">
        <v>814</v>
      </c>
      <c r="O134" s="68">
        <v>1</v>
      </c>
      <c r="P134" s="69" t="str">
        <f>K134&amp;" - "&amp; C134</f>
        <v>Penne Pasta - GFF1132</v>
      </c>
      <c r="Q134" s="72"/>
      <c r="R134" s="72"/>
      <c r="S134" s="72"/>
      <c r="T134" s="72"/>
      <c r="U134" s="72"/>
      <c r="V134" s="72">
        <v>0</v>
      </c>
      <c r="W134" s="72" t="s">
        <v>1435</v>
      </c>
      <c r="X134" s="72" t="s">
        <v>1501</v>
      </c>
      <c r="Y134" s="72">
        <v>3</v>
      </c>
      <c r="Z134" s="80">
        <v>45691</v>
      </c>
    </row>
    <row r="135" spans="1:26" ht="15" customHeight="1" x14ac:dyDescent="0.25">
      <c r="A135" s="68">
        <v>134</v>
      </c>
      <c r="B135" s="69" t="s">
        <v>1449</v>
      </c>
      <c r="C135" s="2" t="s">
        <v>1621</v>
      </c>
      <c r="D135" s="68" t="s">
        <v>129</v>
      </c>
      <c r="E135" s="2" t="s">
        <v>1628</v>
      </c>
      <c r="F135" s="68" t="s">
        <v>128</v>
      </c>
      <c r="G135" s="68" t="s">
        <v>17</v>
      </c>
      <c r="H135" s="68" t="s">
        <v>888</v>
      </c>
      <c r="I135" s="68">
        <v>1133</v>
      </c>
      <c r="J135" s="68" t="s">
        <v>977</v>
      </c>
      <c r="K135" s="68" t="s">
        <v>129</v>
      </c>
      <c r="L135" s="70"/>
      <c r="M135" s="71" t="s">
        <v>979</v>
      </c>
      <c r="N135" s="72" t="s">
        <v>809</v>
      </c>
      <c r="O135" s="68">
        <v>1</v>
      </c>
      <c r="P135" s="69" t="str">
        <f>K135&amp;" - "&amp; C135</f>
        <v>Marinated Diced Chicken - GFF1133</v>
      </c>
      <c r="Q135" s="72"/>
      <c r="R135" s="72"/>
      <c r="S135" s="72"/>
      <c r="T135" s="72"/>
      <c r="U135" s="72"/>
      <c r="V135" s="72">
        <v>0</v>
      </c>
      <c r="W135" s="72" t="s">
        <v>1435</v>
      </c>
      <c r="X135" s="1" t="s">
        <v>982</v>
      </c>
      <c r="Y135" s="72" t="s">
        <v>982</v>
      </c>
      <c r="Z135" s="72"/>
    </row>
    <row r="136" spans="1:26" ht="15" customHeight="1" x14ac:dyDescent="0.25">
      <c r="A136" s="68">
        <v>158</v>
      </c>
      <c r="B136" s="69" t="s">
        <v>895</v>
      </c>
      <c r="C136" s="68" t="s">
        <v>1007</v>
      </c>
      <c r="D136" s="68" t="s">
        <v>1175</v>
      </c>
      <c r="E136" s="68" t="s">
        <v>886</v>
      </c>
      <c r="F136" s="68" t="s">
        <v>609</v>
      </c>
      <c r="G136" s="68" t="s">
        <v>17</v>
      </c>
      <c r="H136" s="68" t="s">
        <v>888</v>
      </c>
      <c r="I136" s="68">
        <v>1157</v>
      </c>
      <c r="J136" s="68" t="s">
        <v>1176</v>
      </c>
      <c r="K136" s="68" t="s">
        <v>1175</v>
      </c>
      <c r="L136" s="70"/>
      <c r="M136" s="71" t="s">
        <v>979</v>
      </c>
      <c r="N136" s="72" t="s">
        <v>809</v>
      </c>
      <c r="O136" s="68" t="s">
        <v>1007</v>
      </c>
      <c r="P136" s="69"/>
      <c r="Q136" s="72"/>
      <c r="R136" s="72"/>
      <c r="S136" s="72"/>
      <c r="T136" s="72"/>
      <c r="U136" s="72"/>
      <c r="V136" s="72">
        <v>0</v>
      </c>
      <c r="W136" s="72" t="s">
        <v>1437</v>
      </c>
      <c r="X136" s="72" t="s">
        <v>982</v>
      </c>
      <c r="Y136" s="72" t="s">
        <v>982</v>
      </c>
      <c r="Z136" s="72"/>
    </row>
    <row r="137" spans="1:26" ht="15" customHeight="1" x14ac:dyDescent="0.25">
      <c r="A137" s="68">
        <v>159</v>
      </c>
      <c r="B137" s="69" t="s">
        <v>1060</v>
      </c>
      <c r="C137" s="68" t="s">
        <v>1007</v>
      </c>
      <c r="D137" s="68" t="s">
        <v>1178</v>
      </c>
      <c r="E137" s="68" t="s">
        <v>886</v>
      </c>
      <c r="F137" s="68" t="s">
        <v>1177</v>
      </c>
      <c r="G137" s="68" t="s">
        <v>17</v>
      </c>
      <c r="H137" s="68" t="s">
        <v>888</v>
      </c>
      <c r="I137" s="68">
        <v>1158</v>
      </c>
      <c r="J137" s="68" t="s">
        <v>1179</v>
      </c>
      <c r="K137" s="68" t="s">
        <v>1178</v>
      </c>
      <c r="L137" s="70"/>
      <c r="M137" s="71" t="s">
        <v>980</v>
      </c>
      <c r="N137" s="72" t="s">
        <v>809</v>
      </c>
      <c r="O137" s="68" t="s">
        <v>1007</v>
      </c>
      <c r="P137" s="69"/>
      <c r="Q137" s="72"/>
      <c r="R137" s="72"/>
      <c r="S137" s="72"/>
      <c r="T137" s="72"/>
      <c r="U137" s="72"/>
      <c r="V137" s="72">
        <v>0</v>
      </c>
      <c r="W137" s="72" t="s">
        <v>1437</v>
      </c>
      <c r="X137" s="72" t="s">
        <v>982</v>
      </c>
      <c r="Y137" s="72" t="s">
        <v>982</v>
      </c>
      <c r="Z137" s="72"/>
    </row>
    <row r="138" spans="1:26" ht="15" customHeight="1" x14ac:dyDescent="0.25">
      <c r="A138" s="68">
        <v>160</v>
      </c>
      <c r="B138" s="78" t="s">
        <v>1660</v>
      </c>
      <c r="C138" s="2" t="s">
        <v>1661</v>
      </c>
      <c r="D138" s="68" t="s">
        <v>1180</v>
      </c>
      <c r="E138" s="68" t="s">
        <v>886</v>
      </c>
      <c r="F138" s="68" t="s">
        <v>1180</v>
      </c>
      <c r="G138" s="68" t="s">
        <v>17</v>
      </c>
      <c r="H138" s="68" t="s">
        <v>888</v>
      </c>
      <c r="I138" s="68">
        <v>1159</v>
      </c>
      <c r="J138" s="68" t="s">
        <v>1181</v>
      </c>
      <c r="K138" s="68" t="s">
        <v>1180</v>
      </c>
      <c r="L138" s="70"/>
      <c r="M138" s="71" t="s">
        <v>980</v>
      </c>
      <c r="N138" s="72" t="s">
        <v>814</v>
      </c>
      <c r="O138" s="68">
        <v>1</v>
      </c>
      <c r="P138" s="69" t="str">
        <f>K138&amp;" - "&amp; C138</f>
        <v>Cashew Nuts - SEE001-28</v>
      </c>
      <c r="Q138" s="72"/>
      <c r="R138" s="72"/>
      <c r="S138" s="72"/>
      <c r="T138" s="72"/>
      <c r="U138" s="72"/>
      <c r="V138" s="72">
        <v>0</v>
      </c>
      <c r="W138" s="72" t="s">
        <v>1437</v>
      </c>
      <c r="X138" s="1" t="s">
        <v>1667</v>
      </c>
      <c r="Y138" s="1">
        <v>1</v>
      </c>
      <c r="Z138" s="1"/>
    </row>
    <row r="139" spans="1:26" ht="15" customHeight="1" x14ac:dyDescent="0.25">
      <c r="A139" s="68">
        <v>161</v>
      </c>
      <c r="B139" s="69" t="s">
        <v>2264</v>
      </c>
      <c r="C139" s="2" t="s">
        <v>1623</v>
      </c>
      <c r="D139" s="2" t="s">
        <v>1849</v>
      </c>
      <c r="E139" s="2" t="s">
        <v>1628</v>
      </c>
      <c r="F139" s="68" t="s">
        <v>128</v>
      </c>
      <c r="G139" s="68" t="s">
        <v>17</v>
      </c>
      <c r="H139" s="68" t="s">
        <v>888</v>
      </c>
      <c r="I139" s="68">
        <v>1160</v>
      </c>
      <c r="J139" s="68" t="s">
        <v>1182</v>
      </c>
      <c r="K139" s="2" t="s">
        <v>1849</v>
      </c>
      <c r="L139" s="70"/>
      <c r="M139" s="71" t="s">
        <v>979</v>
      </c>
      <c r="N139" s="72" t="s">
        <v>814</v>
      </c>
      <c r="O139" s="68">
        <v>1</v>
      </c>
      <c r="P139" s="69" t="str">
        <f>K139&amp;" - "&amp; C139</f>
        <v>Steamed Diced Chicken 10mm - GFF1160</v>
      </c>
      <c r="Q139" s="72"/>
      <c r="R139" s="72"/>
      <c r="S139" s="72"/>
      <c r="T139" s="72"/>
      <c r="U139" s="72"/>
      <c r="V139" s="72">
        <v>0</v>
      </c>
      <c r="W139" s="72" t="s">
        <v>1435</v>
      </c>
      <c r="X139" s="1" t="s">
        <v>982</v>
      </c>
      <c r="Y139" s="72" t="s">
        <v>982</v>
      </c>
      <c r="Z139" s="72"/>
    </row>
    <row r="140" spans="1:26" ht="15" customHeight="1" x14ac:dyDescent="0.25">
      <c r="A140" s="68">
        <v>111</v>
      </c>
      <c r="B140" s="78" t="s">
        <v>1634</v>
      </c>
      <c r="C140" s="2" t="s">
        <v>1635</v>
      </c>
      <c r="D140" s="68" t="s">
        <v>863</v>
      </c>
      <c r="E140" s="68" t="s">
        <v>130</v>
      </c>
      <c r="F140" s="68" t="s">
        <v>130</v>
      </c>
      <c r="G140" s="68" t="s">
        <v>17</v>
      </c>
      <c r="H140" s="68" t="s">
        <v>888</v>
      </c>
      <c r="I140" s="68">
        <v>1110</v>
      </c>
      <c r="J140" s="68" t="s">
        <v>1019</v>
      </c>
      <c r="K140" s="68" t="s">
        <v>134</v>
      </c>
      <c r="L140" s="70">
        <v>40</v>
      </c>
      <c r="M140" s="71" t="s">
        <v>980</v>
      </c>
      <c r="N140" s="72" t="s">
        <v>809</v>
      </c>
      <c r="O140" s="68">
        <v>1</v>
      </c>
      <c r="P140" s="69" t="str">
        <f>K140&amp;" - "&amp; C140</f>
        <v>Mint Raita Dip 40G - P&amp;B001-01</v>
      </c>
      <c r="Q140" s="72"/>
      <c r="R140" s="72"/>
      <c r="S140" s="72"/>
      <c r="T140" s="72"/>
      <c r="U140" s="72"/>
      <c r="V140" s="72">
        <v>0</v>
      </c>
      <c r="W140" s="72" t="s">
        <v>1435</v>
      </c>
      <c r="X140" s="72" t="s">
        <v>982</v>
      </c>
      <c r="Y140" s="72" t="s">
        <v>982</v>
      </c>
      <c r="Z140" s="72"/>
    </row>
    <row r="141" spans="1:26" ht="15" customHeight="1" x14ac:dyDescent="0.25">
      <c r="A141" s="68">
        <v>162</v>
      </c>
      <c r="B141" s="78"/>
      <c r="C141" s="2"/>
      <c r="D141" s="68" t="s">
        <v>863</v>
      </c>
      <c r="E141" s="68" t="s">
        <v>130</v>
      </c>
      <c r="F141" s="68" t="s">
        <v>130</v>
      </c>
      <c r="G141" s="68" t="s">
        <v>17</v>
      </c>
      <c r="H141" s="68" t="s">
        <v>888</v>
      </c>
      <c r="I141" s="68">
        <v>1161</v>
      </c>
      <c r="J141" s="68" t="s">
        <v>1361</v>
      </c>
      <c r="K141" s="68" t="s">
        <v>1187</v>
      </c>
      <c r="L141" s="70">
        <v>40</v>
      </c>
      <c r="M141" s="71" t="s">
        <v>980</v>
      </c>
      <c r="N141" s="72" t="s">
        <v>809</v>
      </c>
      <c r="O141" s="68">
        <v>1</v>
      </c>
      <c r="P141" s="69"/>
      <c r="Q141" s="72"/>
      <c r="R141" s="72"/>
      <c r="S141" s="72"/>
      <c r="T141" s="72"/>
      <c r="U141" s="72"/>
      <c r="V141" s="72">
        <v>0</v>
      </c>
      <c r="W141" s="72" t="s">
        <v>1437</v>
      </c>
      <c r="X141" s="72" t="s">
        <v>982</v>
      </c>
      <c r="Y141" s="72" t="s">
        <v>982</v>
      </c>
      <c r="Z141" s="72"/>
    </row>
    <row r="142" spans="1:26" ht="15" customHeight="1" x14ac:dyDescent="0.25">
      <c r="A142" s="68">
        <v>100</v>
      </c>
      <c r="B142" s="69" t="s">
        <v>150</v>
      </c>
      <c r="C142" s="68" t="s">
        <v>1007</v>
      </c>
      <c r="D142" s="68" t="s">
        <v>822</v>
      </c>
      <c r="E142" s="68" t="s">
        <v>885</v>
      </c>
      <c r="F142" s="68" t="s">
        <v>30</v>
      </c>
      <c r="G142" s="68" t="s">
        <v>17</v>
      </c>
      <c r="H142" s="68" t="s">
        <v>888</v>
      </c>
      <c r="I142" s="68">
        <v>1099</v>
      </c>
      <c r="J142" s="68" t="s">
        <v>1188</v>
      </c>
      <c r="K142" s="68" t="s">
        <v>1086</v>
      </c>
      <c r="L142" s="70">
        <v>25</v>
      </c>
      <c r="M142" s="71" t="s">
        <v>979</v>
      </c>
      <c r="N142" s="72" t="s">
        <v>809</v>
      </c>
      <c r="O142" s="68">
        <v>1</v>
      </c>
      <c r="P142" s="69"/>
      <c r="Q142" s="72">
        <v>20</v>
      </c>
      <c r="R142" s="72">
        <v>16</v>
      </c>
      <c r="S142" s="72">
        <v>12</v>
      </c>
      <c r="T142" s="72">
        <v>8</v>
      </c>
      <c r="U142" s="72">
        <v>4</v>
      </c>
      <c r="V142" s="72">
        <v>0</v>
      </c>
      <c r="W142" s="72" t="s">
        <v>1437</v>
      </c>
      <c r="X142" s="72" t="s">
        <v>982</v>
      </c>
      <c r="Y142" s="72" t="s">
        <v>982</v>
      </c>
      <c r="Z142" s="72"/>
    </row>
    <row r="143" spans="1:26" ht="15" customHeight="1" x14ac:dyDescent="0.25">
      <c r="A143" s="68">
        <v>163</v>
      </c>
      <c r="B143" s="69" t="s">
        <v>182</v>
      </c>
      <c r="C143" s="68" t="s">
        <v>1368</v>
      </c>
      <c r="D143" s="68" t="s">
        <v>1194</v>
      </c>
      <c r="E143" s="68" t="s">
        <v>886</v>
      </c>
      <c r="F143" s="68" t="s">
        <v>62</v>
      </c>
      <c r="G143" s="68" t="s">
        <v>6</v>
      </c>
      <c r="H143" s="68" t="s">
        <v>888</v>
      </c>
      <c r="I143" s="68">
        <v>1162</v>
      </c>
      <c r="J143" s="68" t="s">
        <v>1193</v>
      </c>
      <c r="K143" s="68" t="s">
        <v>1194</v>
      </c>
      <c r="L143" s="70"/>
      <c r="M143" s="71" t="s">
        <v>980</v>
      </c>
      <c r="N143" s="72" t="s">
        <v>814</v>
      </c>
      <c r="O143" s="68">
        <v>1</v>
      </c>
      <c r="P143" s="69" t="str">
        <f t="shared" ref="P143:P180" si="32">K143&amp;" - "&amp; C143</f>
        <v>Butter Sauce - GFF134R</v>
      </c>
      <c r="Q143" s="72"/>
      <c r="R143" s="72"/>
      <c r="S143" s="72"/>
      <c r="T143" s="72"/>
      <c r="U143" s="72"/>
      <c r="V143" s="72">
        <v>0</v>
      </c>
      <c r="W143" s="72" t="s">
        <v>1435</v>
      </c>
      <c r="X143" s="72" t="s">
        <v>1484</v>
      </c>
      <c r="Y143" s="77">
        <v>2</v>
      </c>
      <c r="Z143" s="77"/>
    </row>
    <row r="144" spans="1:26" ht="15" customHeight="1" x14ac:dyDescent="0.25">
      <c r="A144" s="68">
        <v>164</v>
      </c>
      <c r="B144" s="69" t="s">
        <v>182</v>
      </c>
      <c r="C144" s="68" t="s">
        <v>1366</v>
      </c>
      <c r="D144" s="68" t="s">
        <v>1196</v>
      </c>
      <c r="E144" s="68" t="s">
        <v>886</v>
      </c>
      <c r="F144" s="68" t="s">
        <v>62</v>
      </c>
      <c r="G144" s="68" t="s">
        <v>6</v>
      </c>
      <c r="H144" s="68" t="s">
        <v>888</v>
      </c>
      <c r="I144" s="68">
        <v>1163</v>
      </c>
      <c r="J144" s="68" t="s">
        <v>1197</v>
      </c>
      <c r="K144" s="68" t="s">
        <v>1196</v>
      </c>
      <c r="L144" s="70"/>
      <c r="M144" s="71" t="s">
        <v>980</v>
      </c>
      <c r="N144" s="72" t="s">
        <v>814</v>
      </c>
      <c r="O144" s="68">
        <v>1</v>
      </c>
      <c r="P144" s="69" t="str">
        <f t="shared" si="32"/>
        <v>Dopiazza Sauce - R1 - GFF131R</v>
      </c>
      <c r="Q144" s="72"/>
      <c r="R144" s="72"/>
      <c r="S144" s="72"/>
      <c r="T144" s="72"/>
      <c r="U144" s="72"/>
      <c r="V144" s="72">
        <v>0</v>
      </c>
      <c r="W144" s="72" t="s">
        <v>1435</v>
      </c>
      <c r="X144" s="72" t="s">
        <v>1481</v>
      </c>
      <c r="Y144" s="77">
        <v>3</v>
      </c>
      <c r="Z144" s="77"/>
    </row>
    <row r="145" spans="1:26" ht="15" customHeight="1" x14ac:dyDescent="0.25">
      <c r="A145" s="68">
        <v>165</v>
      </c>
      <c r="B145" s="69" t="s">
        <v>182</v>
      </c>
      <c r="C145" s="68" t="s">
        <v>1364</v>
      </c>
      <c r="D145" s="68" t="s">
        <v>1199</v>
      </c>
      <c r="E145" s="68" t="s">
        <v>886</v>
      </c>
      <c r="F145" s="68" t="s">
        <v>62</v>
      </c>
      <c r="G145" s="68" t="s">
        <v>6</v>
      </c>
      <c r="H145" s="68" t="s">
        <v>888</v>
      </c>
      <c r="I145" s="68">
        <v>1164</v>
      </c>
      <c r="J145" s="68" t="s">
        <v>1200</v>
      </c>
      <c r="K145" s="68" t="s">
        <v>1199</v>
      </c>
      <c r="L145" s="70"/>
      <c r="M145" s="71" t="s">
        <v>980</v>
      </c>
      <c r="N145" s="72" t="s">
        <v>814</v>
      </c>
      <c r="O145" s="68">
        <v>1</v>
      </c>
      <c r="P145" s="69" t="str">
        <f t="shared" si="32"/>
        <v>Jalfrezi Sauce - R1 - GFF129R</v>
      </c>
      <c r="Q145" s="72"/>
      <c r="R145" s="72"/>
      <c r="S145" s="72"/>
      <c r="T145" s="72"/>
      <c r="U145" s="72"/>
      <c r="V145" s="72">
        <v>0</v>
      </c>
      <c r="W145" s="72" t="s">
        <v>1435</v>
      </c>
      <c r="X145" s="72" t="s">
        <v>1481</v>
      </c>
      <c r="Y145" s="77">
        <v>3</v>
      </c>
      <c r="Z145" s="77"/>
    </row>
    <row r="146" spans="1:26" ht="15" customHeight="1" x14ac:dyDescent="0.25">
      <c r="A146" s="68">
        <v>166</v>
      </c>
      <c r="B146" s="69" t="s">
        <v>182</v>
      </c>
      <c r="C146" s="68" t="s">
        <v>1363</v>
      </c>
      <c r="D146" s="68" t="s">
        <v>1202</v>
      </c>
      <c r="E146" s="68" t="s">
        <v>886</v>
      </c>
      <c r="F146" s="68" t="s">
        <v>62</v>
      </c>
      <c r="G146" s="68" t="s">
        <v>6</v>
      </c>
      <c r="H146" s="68" t="s">
        <v>888</v>
      </c>
      <c r="I146" s="68">
        <v>1165</v>
      </c>
      <c r="J146" s="68" t="s">
        <v>1203</v>
      </c>
      <c r="K146" s="68" t="s">
        <v>1202</v>
      </c>
      <c r="L146" s="70"/>
      <c r="M146" s="71" t="s">
        <v>980</v>
      </c>
      <c r="N146" s="72" t="s">
        <v>814</v>
      </c>
      <c r="O146" s="68">
        <v>1</v>
      </c>
      <c r="P146" s="69" t="str">
        <f t="shared" si="32"/>
        <v>Madras Sauce - R1 - GFF127R</v>
      </c>
      <c r="Q146" s="72"/>
      <c r="R146" s="72"/>
      <c r="S146" s="72"/>
      <c r="T146" s="72"/>
      <c r="U146" s="72"/>
      <c r="V146" s="72">
        <v>0</v>
      </c>
      <c r="W146" s="72" t="s">
        <v>1435</v>
      </c>
      <c r="X146" s="72" t="s">
        <v>1489</v>
      </c>
      <c r="Y146" s="79">
        <v>2</v>
      </c>
      <c r="Z146" s="79"/>
    </row>
    <row r="147" spans="1:26" ht="15" customHeight="1" x14ac:dyDescent="0.25">
      <c r="A147" s="68">
        <v>167</v>
      </c>
      <c r="B147" s="69" t="s">
        <v>182</v>
      </c>
      <c r="C147" s="68" t="s">
        <v>1374</v>
      </c>
      <c r="D147" s="68" t="s">
        <v>1206</v>
      </c>
      <c r="E147" s="68" t="s">
        <v>886</v>
      </c>
      <c r="F147" s="68" t="s">
        <v>62</v>
      </c>
      <c r="G147" s="68" t="s">
        <v>6</v>
      </c>
      <c r="H147" s="68" t="s">
        <v>888</v>
      </c>
      <c r="I147" s="68">
        <v>1166</v>
      </c>
      <c r="J147" s="68" t="s">
        <v>1205</v>
      </c>
      <c r="K147" s="68" t="s">
        <v>1206</v>
      </c>
      <c r="L147" s="70"/>
      <c r="M147" s="71" t="s">
        <v>980</v>
      </c>
      <c r="N147" s="72" t="s">
        <v>814</v>
      </c>
      <c r="O147" s="68">
        <v>1</v>
      </c>
      <c r="P147" s="69" t="str">
        <f t="shared" si="32"/>
        <v>Saag Masala Sauce - GFF139R</v>
      </c>
      <c r="Q147" s="72"/>
      <c r="R147" s="72"/>
      <c r="S147" s="72"/>
      <c r="T147" s="72"/>
      <c r="U147" s="72"/>
      <c r="V147" s="72">
        <v>0</v>
      </c>
      <c r="W147" s="72" t="s">
        <v>1435</v>
      </c>
      <c r="X147" s="72" t="s">
        <v>1484</v>
      </c>
      <c r="Y147" s="77">
        <v>2</v>
      </c>
      <c r="Z147" s="77"/>
    </row>
    <row r="148" spans="1:26" ht="15" customHeight="1" x14ac:dyDescent="0.25">
      <c r="A148" s="68">
        <v>168</v>
      </c>
      <c r="B148" s="69" t="s">
        <v>182</v>
      </c>
      <c r="C148" s="68" t="s">
        <v>1367</v>
      </c>
      <c r="D148" s="68" t="s">
        <v>1208</v>
      </c>
      <c r="E148" s="68" t="s">
        <v>886</v>
      </c>
      <c r="F148" s="68" t="s">
        <v>62</v>
      </c>
      <c r="G148" s="68" t="s">
        <v>6</v>
      </c>
      <c r="H148" s="68" t="s">
        <v>888</v>
      </c>
      <c r="I148" s="68">
        <v>1167</v>
      </c>
      <c r="J148" s="68" t="s">
        <v>1209</v>
      </c>
      <c r="K148" s="68" t="s">
        <v>1208</v>
      </c>
      <c r="L148" s="70"/>
      <c r="M148" s="71" t="s">
        <v>980</v>
      </c>
      <c r="N148" s="72" t="s">
        <v>814</v>
      </c>
      <c r="O148" s="68">
        <v>1</v>
      </c>
      <c r="P148" s="69" t="str">
        <f t="shared" si="32"/>
        <v>Mango Masala Sauce - GFF132R</v>
      </c>
      <c r="Q148" s="72"/>
      <c r="R148" s="72"/>
      <c r="S148" s="72"/>
      <c r="T148" s="72"/>
      <c r="U148" s="72"/>
      <c r="V148" s="72">
        <v>0</v>
      </c>
      <c r="W148" s="72" t="s">
        <v>1435</v>
      </c>
      <c r="X148" s="72" t="s">
        <v>1485</v>
      </c>
      <c r="Y148" s="72">
        <v>2</v>
      </c>
      <c r="Z148" s="72"/>
    </row>
    <row r="149" spans="1:26" ht="15" customHeight="1" x14ac:dyDescent="0.25">
      <c r="A149" s="68">
        <v>169</v>
      </c>
      <c r="B149" s="69" t="s">
        <v>182</v>
      </c>
      <c r="C149" s="68"/>
      <c r="D149" s="68" t="s">
        <v>1210</v>
      </c>
      <c r="E149" s="68" t="s">
        <v>886</v>
      </c>
      <c r="F149" s="68" t="s">
        <v>1281</v>
      </c>
      <c r="G149" s="68" t="s">
        <v>17</v>
      </c>
      <c r="H149" s="68" t="s">
        <v>888</v>
      </c>
      <c r="I149" s="68">
        <v>1168</v>
      </c>
      <c r="J149" s="68" t="s">
        <v>1211</v>
      </c>
      <c r="K149" s="68" t="s">
        <v>1210</v>
      </c>
      <c r="L149" s="70"/>
      <c r="M149" s="71" t="s">
        <v>979</v>
      </c>
      <c r="N149" s="72" t="s">
        <v>809</v>
      </c>
      <c r="O149" s="68">
        <v>1</v>
      </c>
      <c r="P149" s="69" t="str">
        <f t="shared" si="32"/>
        <v xml:space="preserve">Cooked Prawns - </v>
      </c>
      <c r="Q149" s="72"/>
      <c r="R149" s="72"/>
      <c r="S149" s="72"/>
      <c r="T149" s="72"/>
      <c r="U149" s="72"/>
      <c r="V149" s="72">
        <v>0</v>
      </c>
      <c r="W149" s="72" t="s">
        <v>1437</v>
      </c>
      <c r="X149" s="72" t="s">
        <v>982</v>
      </c>
      <c r="Y149" s="72" t="s">
        <v>982</v>
      </c>
      <c r="Z149" s="72"/>
    </row>
    <row r="150" spans="1:26" ht="15" customHeight="1" x14ac:dyDescent="0.25">
      <c r="A150" s="68">
        <v>170</v>
      </c>
      <c r="B150" s="69" t="s">
        <v>182</v>
      </c>
      <c r="C150" s="68" t="s">
        <v>1391</v>
      </c>
      <c r="D150" s="68" t="s">
        <v>1213</v>
      </c>
      <c r="E150" s="68" t="s">
        <v>886</v>
      </c>
      <c r="F150" s="68" t="s">
        <v>73</v>
      </c>
      <c r="G150" s="68" t="s">
        <v>6</v>
      </c>
      <c r="H150" s="68" t="s">
        <v>888</v>
      </c>
      <c r="I150" s="68">
        <v>1169</v>
      </c>
      <c r="J150" s="68" t="s">
        <v>1214</v>
      </c>
      <c r="K150" s="68" t="s">
        <v>1213</v>
      </c>
      <c r="L150" s="70"/>
      <c r="M150" s="71" t="s">
        <v>980</v>
      </c>
      <c r="N150" s="72" t="s">
        <v>809</v>
      </c>
      <c r="O150" s="68">
        <v>1</v>
      </c>
      <c r="P150" s="69" t="str">
        <f t="shared" si="32"/>
        <v>Black Bean Sauce - R1 - GFF151R</v>
      </c>
      <c r="Q150" s="72"/>
      <c r="R150" s="72"/>
      <c r="S150" s="72"/>
      <c r="T150" s="72"/>
      <c r="U150" s="72"/>
      <c r="V150" s="72">
        <v>0</v>
      </c>
      <c r="W150" s="72" t="s">
        <v>1435</v>
      </c>
      <c r="X150" s="72" t="s">
        <v>1486</v>
      </c>
      <c r="Y150" s="72">
        <v>1</v>
      </c>
      <c r="Z150" s="72"/>
    </row>
    <row r="151" spans="1:26" ht="15" customHeight="1" x14ac:dyDescent="0.25">
      <c r="A151" s="68">
        <v>171</v>
      </c>
      <c r="B151" s="78" t="s">
        <v>182</v>
      </c>
      <c r="C151" s="68" t="s">
        <v>1421</v>
      </c>
      <c r="D151" s="68" t="s">
        <v>1175</v>
      </c>
      <c r="E151" s="68" t="s">
        <v>886</v>
      </c>
      <c r="F151" s="68" t="s">
        <v>609</v>
      </c>
      <c r="G151" s="68" t="s">
        <v>1417</v>
      </c>
      <c r="H151" s="68" t="s">
        <v>888</v>
      </c>
      <c r="I151" s="68">
        <v>1170</v>
      </c>
      <c r="J151" s="68" t="s">
        <v>1219</v>
      </c>
      <c r="K151" s="84" t="s">
        <v>1358</v>
      </c>
      <c r="L151" s="70"/>
      <c r="M151" s="71" t="s">
        <v>979</v>
      </c>
      <c r="N151" s="72" t="s">
        <v>814</v>
      </c>
      <c r="O151" s="68">
        <v>1</v>
      </c>
      <c r="P151" s="69" t="str">
        <f t="shared" si="32"/>
        <v>British 95vl diced lamb of leg  20-25gms pieces - GFF165R</v>
      </c>
      <c r="Q151" s="72"/>
      <c r="R151" s="72"/>
      <c r="S151" s="72"/>
      <c r="T151" s="72"/>
      <c r="U151" s="72"/>
      <c r="V151" s="72">
        <v>0</v>
      </c>
      <c r="W151" s="72" t="s">
        <v>1435</v>
      </c>
      <c r="X151" s="72" t="s">
        <v>982</v>
      </c>
      <c r="Y151" s="72" t="s">
        <v>982</v>
      </c>
      <c r="Z151" s="72"/>
    </row>
    <row r="152" spans="1:26" ht="15" customHeight="1" x14ac:dyDescent="0.25">
      <c r="A152" s="68">
        <v>172</v>
      </c>
      <c r="B152" s="69" t="s">
        <v>182</v>
      </c>
      <c r="C152" s="68" t="s">
        <v>1389</v>
      </c>
      <c r="D152" s="68" t="s">
        <v>1424</v>
      </c>
      <c r="E152" s="68" t="s">
        <v>886</v>
      </c>
      <c r="F152" s="68" t="s">
        <v>73</v>
      </c>
      <c r="G152" s="68" t="s">
        <v>6</v>
      </c>
      <c r="H152" s="68" t="s">
        <v>888</v>
      </c>
      <c r="I152" s="68">
        <v>1171</v>
      </c>
      <c r="J152" s="68" t="s">
        <v>1220</v>
      </c>
      <c r="K152" s="68" t="s">
        <v>1424</v>
      </c>
      <c r="L152" s="70"/>
      <c r="M152" s="71" t="s">
        <v>980</v>
      </c>
      <c r="N152" s="72" t="s">
        <v>809</v>
      </c>
      <c r="O152" s="68">
        <v>1</v>
      </c>
      <c r="P152" s="69" t="str">
        <f t="shared" si="32"/>
        <v>Oyster &amp; Soy Sauce - GFF144R</v>
      </c>
      <c r="Q152" s="72"/>
      <c r="R152" s="72"/>
      <c r="S152" s="72"/>
      <c r="T152" s="72"/>
      <c r="U152" s="72"/>
      <c r="V152" s="72">
        <v>0</v>
      </c>
      <c r="W152" s="72" t="s">
        <v>1435</v>
      </c>
      <c r="X152" s="72" t="s">
        <v>1487</v>
      </c>
      <c r="Y152" s="1">
        <v>1</v>
      </c>
      <c r="Z152" s="1"/>
    </row>
    <row r="153" spans="1:26" ht="15" customHeight="1" x14ac:dyDescent="0.25">
      <c r="A153" s="68">
        <v>173</v>
      </c>
      <c r="B153" s="69" t="s">
        <v>182</v>
      </c>
      <c r="C153" s="68" t="s">
        <v>1390</v>
      </c>
      <c r="D153" s="68" t="s">
        <v>1222</v>
      </c>
      <c r="E153" s="68" t="s">
        <v>886</v>
      </c>
      <c r="F153" s="68" t="s">
        <v>73</v>
      </c>
      <c r="G153" s="68" t="s">
        <v>6</v>
      </c>
      <c r="H153" s="68" t="s">
        <v>888</v>
      </c>
      <c r="I153" s="68">
        <v>1172</v>
      </c>
      <c r="J153" s="68" t="s">
        <v>1223</v>
      </c>
      <c r="K153" s="68" t="s">
        <v>1222</v>
      </c>
      <c r="L153" s="70"/>
      <c r="M153" s="71" t="s">
        <v>980</v>
      </c>
      <c r="N153" s="72" t="s">
        <v>809</v>
      </c>
      <c r="O153" s="68">
        <v>1</v>
      </c>
      <c r="P153" s="69" t="str">
        <f t="shared" si="32"/>
        <v>Chowmein Sauce - R1 - GFF149R</v>
      </c>
      <c r="Q153" s="72"/>
      <c r="R153" s="72"/>
      <c r="S153" s="72"/>
      <c r="T153" s="72"/>
      <c r="U153" s="72"/>
      <c r="V153" s="72">
        <v>0</v>
      </c>
      <c r="W153" s="72" t="s">
        <v>1435</v>
      </c>
      <c r="X153" s="72" t="s">
        <v>1487</v>
      </c>
      <c r="Y153" s="72">
        <v>1</v>
      </c>
      <c r="Z153" s="72"/>
    </row>
    <row r="154" spans="1:26" ht="15" customHeight="1" x14ac:dyDescent="0.25">
      <c r="A154" s="68">
        <v>174</v>
      </c>
      <c r="B154" s="69" t="s">
        <v>182</v>
      </c>
      <c r="C154" s="68" t="s">
        <v>1408</v>
      </c>
      <c r="D154" s="68" t="s">
        <v>1225</v>
      </c>
      <c r="E154" s="68" t="s">
        <v>886</v>
      </c>
      <c r="F154" s="68" t="s">
        <v>1177</v>
      </c>
      <c r="G154" s="68" t="s">
        <v>17</v>
      </c>
      <c r="H154" s="68" t="s">
        <v>888</v>
      </c>
      <c r="I154" s="68">
        <v>1173</v>
      </c>
      <c r="J154" s="68" t="s">
        <v>1229</v>
      </c>
      <c r="K154" s="68" t="s">
        <v>1225</v>
      </c>
      <c r="L154" s="70"/>
      <c r="M154" s="71" t="s">
        <v>980</v>
      </c>
      <c r="N154" s="72" t="s">
        <v>809</v>
      </c>
      <c r="O154" s="68">
        <v>1</v>
      </c>
      <c r="P154" s="69" t="str">
        <f t="shared" si="32"/>
        <v>Cooked Rice Noodles - GFF159R</v>
      </c>
      <c r="Q154" s="72"/>
      <c r="R154" s="72"/>
      <c r="S154" s="72"/>
      <c r="T154" s="72"/>
      <c r="U154" s="72"/>
      <c r="V154" s="72">
        <v>0</v>
      </c>
      <c r="W154" s="72" t="s">
        <v>1437</v>
      </c>
      <c r="X154" s="72" t="s">
        <v>982</v>
      </c>
      <c r="Y154" s="72" t="s">
        <v>982</v>
      </c>
      <c r="Z154" s="72"/>
    </row>
    <row r="155" spans="1:26" ht="15" customHeight="1" x14ac:dyDescent="0.25">
      <c r="A155" s="68">
        <v>175</v>
      </c>
      <c r="B155" s="69" t="s">
        <v>182</v>
      </c>
      <c r="C155" s="68" t="s">
        <v>1407</v>
      </c>
      <c r="D155" s="68" t="s">
        <v>1226</v>
      </c>
      <c r="E155" s="68" t="s">
        <v>886</v>
      </c>
      <c r="F155" s="68" t="s">
        <v>73</v>
      </c>
      <c r="G155" s="68" t="s">
        <v>6</v>
      </c>
      <c r="H155" s="68" t="s">
        <v>888</v>
      </c>
      <c r="I155" s="68">
        <v>1174</v>
      </c>
      <c r="J155" s="68" t="s">
        <v>1230</v>
      </c>
      <c r="K155" s="68" t="s">
        <v>1226</v>
      </c>
      <c r="L155" s="70"/>
      <c r="M155" s="71" t="s">
        <v>980</v>
      </c>
      <c r="N155" s="72" t="s">
        <v>809</v>
      </c>
      <c r="O155" s="68">
        <v>1</v>
      </c>
      <c r="P155" s="69" t="str">
        <f t="shared" si="32"/>
        <v>Stir Fried Vegetables - R1 - GFF156R</v>
      </c>
      <c r="Q155" s="72"/>
      <c r="R155" s="72"/>
      <c r="S155" s="72"/>
      <c r="T155" s="72"/>
      <c r="U155" s="72"/>
      <c r="V155" s="72">
        <v>0</v>
      </c>
      <c r="W155" s="72" t="s">
        <v>1435</v>
      </c>
      <c r="X155" s="72" t="s">
        <v>982</v>
      </c>
      <c r="Y155" s="72" t="s">
        <v>982</v>
      </c>
      <c r="Z155" s="72"/>
    </row>
    <row r="156" spans="1:26" ht="15" customHeight="1" x14ac:dyDescent="0.25">
      <c r="A156" s="68">
        <v>176</v>
      </c>
      <c r="B156" s="69" t="s">
        <v>182</v>
      </c>
      <c r="C156" s="68" t="s">
        <v>1384</v>
      </c>
      <c r="D156" s="68" t="s">
        <v>1227</v>
      </c>
      <c r="E156" s="68" t="s">
        <v>886</v>
      </c>
      <c r="F156" s="68" t="s">
        <v>73</v>
      </c>
      <c r="G156" s="68" t="s">
        <v>6</v>
      </c>
      <c r="H156" s="68" t="s">
        <v>888</v>
      </c>
      <c r="I156" s="68">
        <v>1175</v>
      </c>
      <c r="J156" s="68" t="s">
        <v>1231</v>
      </c>
      <c r="K156" s="68" t="s">
        <v>1227</v>
      </c>
      <c r="L156" s="70"/>
      <c r="M156" s="71" t="s">
        <v>980</v>
      </c>
      <c r="N156" s="72" t="s">
        <v>809</v>
      </c>
      <c r="O156" s="68">
        <v>1</v>
      </c>
      <c r="P156" s="69" t="str">
        <f t="shared" si="32"/>
        <v>Singapore Sauce - GFF145R</v>
      </c>
      <c r="Q156" s="72"/>
      <c r="R156" s="72"/>
      <c r="S156" s="72"/>
      <c r="T156" s="72"/>
      <c r="U156" s="72"/>
      <c r="V156" s="72">
        <v>0</v>
      </c>
      <c r="W156" s="72" t="s">
        <v>1435</v>
      </c>
      <c r="X156" s="72" t="s">
        <v>982</v>
      </c>
      <c r="Y156" s="72" t="s">
        <v>982</v>
      </c>
      <c r="Z156" s="72"/>
    </row>
    <row r="157" spans="1:26" ht="15" customHeight="1" x14ac:dyDescent="0.25">
      <c r="A157" s="68">
        <v>177</v>
      </c>
      <c r="B157" s="69" t="s">
        <v>182</v>
      </c>
      <c r="C157" s="2" t="s">
        <v>1622</v>
      </c>
      <c r="D157" s="68" t="s">
        <v>1228</v>
      </c>
      <c r="E157" s="2" t="s">
        <v>1628</v>
      </c>
      <c r="F157" s="68" t="s">
        <v>128</v>
      </c>
      <c r="G157" s="68" t="s">
        <v>17</v>
      </c>
      <c r="H157" s="68" t="s">
        <v>888</v>
      </c>
      <c r="I157" s="68">
        <v>1176</v>
      </c>
      <c r="J157" s="68" t="s">
        <v>1232</v>
      </c>
      <c r="K157" s="68" t="s">
        <v>1228</v>
      </c>
      <c r="L157" s="70"/>
      <c r="M157" s="71" t="s">
        <v>979</v>
      </c>
      <c r="N157" s="72" t="s">
        <v>809</v>
      </c>
      <c r="O157" s="68">
        <v>1</v>
      </c>
      <c r="P157" s="69" t="str">
        <f t="shared" si="32"/>
        <v>Stir Fried Chicken - GFF1176</v>
      </c>
      <c r="Q157" s="72"/>
      <c r="R157" s="72"/>
      <c r="S157" s="72"/>
      <c r="T157" s="72"/>
      <c r="U157" s="72"/>
      <c r="V157" s="72">
        <v>0</v>
      </c>
      <c r="W157" s="72" t="s">
        <v>1437</v>
      </c>
      <c r="X157" s="72" t="s">
        <v>982</v>
      </c>
      <c r="Y157" s="72" t="s">
        <v>982</v>
      </c>
      <c r="Z157" s="72"/>
    </row>
    <row r="158" spans="1:26" ht="15" customHeight="1" x14ac:dyDescent="0.25">
      <c r="A158" s="68">
        <v>178</v>
      </c>
      <c r="B158" s="69" t="s">
        <v>182</v>
      </c>
      <c r="C158" s="68" t="s">
        <v>1385</v>
      </c>
      <c r="D158" s="68" t="s">
        <v>1237</v>
      </c>
      <c r="E158" s="68" t="s">
        <v>886</v>
      </c>
      <c r="F158" s="68" t="s">
        <v>73</v>
      </c>
      <c r="G158" s="68" t="s">
        <v>6</v>
      </c>
      <c r="H158" s="68" t="s">
        <v>888</v>
      </c>
      <c r="I158" s="68">
        <v>1177</v>
      </c>
      <c r="J158" s="68" t="s">
        <v>1238</v>
      </c>
      <c r="K158" s="68" t="s">
        <v>1237</v>
      </c>
      <c r="L158" s="70"/>
      <c r="M158" s="71" t="s">
        <v>980</v>
      </c>
      <c r="N158" s="72" t="s">
        <v>809</v>
      </c>
      <c r="O158" s="68">
        <v>1</v>
      </c>
      <c r="P158" s="69" t="str">
        <f t="shared" si="32"/>
        <v>Szechuan Sauce - GFF147R</v>
      </c>
      <c r="Q158" s="72"/>
      <c r="R158" s="72"/>
      <c r="S158" s="72"/>
      <c r="T158" s="72"/>
      <c r="U158" s="72"/>
      <c r="V158" s="72">
        <v>0</v>
      </c>
      <c r="W158" s="72" t="s">
        <v>1435</v>
      </c>
      <c r="X158" s="72" t="s">
        <v>1488</v>
      </c>
      <c r="Y158" s="72">
        <v>1</v>
      </c>
      <c r="Z158" s="72"/>
    </row>
    <row r="159" spans="1:26" ht="15" customHeight="1" x14ac:dyDescent="0.25">
      <c r="A159" s="68">
        <v>179</v>
      </c>
      <c r="B159" s="69" t="s">
        <v>182</v>
      </c>
      <c r="C159" s="68" t="s">
        <v>1387</v>
      </c>
      <c r="D159" s="68" t="s">
        <v>1240</v>
      </c>
      <c r="E159" s="68" t="s">
        <v>886</v>
      </c>
      <c r="F159" s="68" t="s">
        <v>62</v>
      </c>
      <c r="G159" s="68" t="s">
        <v>6</v>
      </c>
      <c r="H159" s="68" t="s">
        <v>888</v>
      </c>
      <c r="I159" s="68">
        <v>1178</v>
      </c>
      <c r="J159" s="68" t="s">
        <v>1241</v>
      </c>
      <c r="K159" s="68" t="s">
        <v>1240</v>
      </c>
      <c r="L159" s="70"/>
      <c r="M159" s="71" t="s">
        <v>980</v>
      </c>
      <c r="N159" s="72" t="s">
        <v>814</v>
      </c>
      <c r="O159" s="68">
        <v>1</v>
      </c>
      <c r="P159" s="69" t="str">
        <f t="shared" si="32"/>
        <v>Bombay Potato - R1 - GFF128R</v>
      </c>
      <c r="Q159" s="72"/>
      <c r="R159" s="72"/>
      <c r="S159" s="72"/>
      <c r="T159" s="72"/>
      <c r="U159" s="72"/>
      <c r="V159" s="72">
        <v>0</v>
      </c>
      <c r="W159" s="72" t="s">
        <v>1435</v>
      </c>
      <c r="X159" s="72" t="s">
        <v>1489</v>
      </c>
      <c r="Y159" s="72">
        <v>2</v>
      </c>
      <c r="Z159" s="72"/>
    </row>
    <row r="160" spans="1:26" ht="15" customHeight="1" x14ac:dyDescent="0.25">
      <c r="A160" s="68">
        <v>180</v>
      </c>
      <c r="B160" s="69" t="s">
        <v>182</v>
      </c>
      <c r="C160" s="68"/>
      <c r="D160" s="68" t="s">
        <v>1243</v>
      </c>
      <c r="E160" s="68" t="s">
        <v>886</v>
      </c>
      <c r="F160" s="68" t="s">
        <v>62</v>
      </c>
      <c r="G160" s="68" t="s">
        <v>6</v>
      </c>
      <c r="H160" s="68" t="s">
        <v>888</v>
      </c>
      <c r="I160" s="68">
        <v>1179</v>
      </c>
      <c r="J160" s="68" t="s">
        <v>1244</v>
      </c>
      <c r="K160" s="68" t="s">
        <v>1243</v>
      </c>
      <c r="L160" s="70"/>
      <c r="M160" s="71" t="s">
        <v>980</v>
      </c>
      <c r="N160" s="72" t="s">
        <v>809</v>
      </c>
      <c r="O160" s="68">
        <v>1</v>
      </c>
      <c r="P160" s="69" t="str">
        <f t="shared" si="32"/>
        <v xml:space="preserve">Pilau Rice W/Crispy Onions - </v>
      </c>
      <c r="Q160" s="72"/>
      <c r="R160" s="72"/>
      <c r="S160" s="72"/>
      <c r="T160" s="72"/>
      <c r="U160" s="72"/>
      <c r="V160" s="72">
        <v>0</v>
      </c>
      <c r="W160" s="72" t="s">
        <v>1435</v>
      </c>
      <c r="X160" s="72" t="s">
        <v>982</v>
      </c>
      <c r="Y160" s="72" t="s">
        <v>982</v>
      </c>
      <c r="Z160" s="72"/>
    </row>
    <row r="161" spans="1:26" ht="15" customHeight="1" x14ac:dyDescent="0.25">
      <c r="A161" s="68">
        <v>181</v>
      </c>
      <c r="B161" s="69" t="s">
        <v>182</v>
      </c>
      <c r="C161" s="68" t="s">
        <v>1365</v>
      </c>
      <c r="D161" s="68" t="s">
        <v>1246</v>
      </c>
      <c r="E161" s="68" t="s">
        <v>886</v>
      </c>
      <c r="F161" s="68" t="s">
        <v>62</v>
      </c>
      <c r="G161" s="68" t="s">
        <v>6</v>
      </c>
      <c r="H161" s="68" t="s">
        <v>888</v>
      </c>
      <c r="I161" s="68">
        <v>1180</v>
      </c>
      <c r="J161" s="68" t="s">
        <v>1247</v>
      </c>
      <c r="K161" s="68" t="s">
        <v>1246</v>
      </c>
      <c r="L161" s="70"/>
      <c r="M161" s="71" t="s">
        <v>980</v>
      </c>
      <c r="N161" s="72" t="s">
        <v>814</v>
      </c>
      <c r="O161" s="68">
        <v>1</v>
      </c>
      <c r="P161" s="69" t="str">
        <f t="shared" si="32"/>
        <v>Saag Aloo Gobi - GFF130R</v>
      </c>
      <c r="Q161" s="72"/>
      <c r="R161" s="72"/>
      <c r="S161" s="72"/>
      <c r="T161" s="72"/>
      <c r="U161" s="72"/>
      <c r="V161" s="72">
        <v>0</v>
      </c>
      <c r="W161" s="72" t="s">
        <v>1435</v>
      </c>
      <c r="X161" s="72" t="s">
        <v>1490</v>
      </c>
      <c r="Y161" s="72">
        <v>2</v>
      </c>
      <c r="Z161" s="72"/>
    </row>
    <row r="162" spans="1:26" ht="15" customHeight="1" x14ac:dyDescent="0.25">
      <c r="A162" s="68">
        <v>182</v>
      </c>
      <c r="B162" s="69" t="s">
        <v>182</v>
      </c>
      <c r="C162" s="68" t="s">
        <v>1395</v>
      </c>
      <c r="D162" s="68" t="s">
        <v>1249</v>
      </c>
      <c r="E162" s="68" t="s">
        <v>886</v>
      </c>
      <c r="F162" s="68" t="s">
        <v>73</v>
      </c>
      <c r="G162" s="68" t="s">
        <v>6</v>
      </c>
      <c r="H162" s="68" t="s">
        <v>888</v>
      </c>
      <c r="I162" s="68">
        <v>1181</v>
      </c>
      <c r="J162" s="68" t="s">
        <v>1250</v>
      </c>
      <c r="K162" s="68" t="s">
        <v>1249</v>
      </c>
      <c r="L162" s="70"/>
      <c r="M162" s="71" t="s">
        <v>979</v>
      </c>
      <c r="N162" s="72" t="s">
        <v>814</v>
      </c>
      <c r="O162" s="68">
        <v>1</v>
      </c>
      <c r="P162" s="69" t="str">
        <f t="shared" si="32"/>
        <v>Egg Fried Rice - R1 - GFF153R</v>
      </c>
      <c r="Q162" s="72"/>
      <c r="R162" s="72"/>
      <c r="S162" s="72"/>
      <c r="T162" s="72"/>
      <c r="U162" s="72"/>
      <c r="V162" s="72">
        <v>0</v>
      </c>
      <c r="W162" s="72" t="s">
        <v>1435</v>
      </c>
      <c r="X162" s="72" t="s">
        <v>1491</v>
      </c>
      <c r="Y162" s="72">
        <v>1</v>
      </c>
      <c r="Z162" s="72"/>
    </row>
    <row r="163" spans="1:26" ht="15" customHeight="1" x14ac:dyDescent="0.25">
      <c r="A163" s="68">
        <v>183</v>
      </c>
      <c r="B163" s="69" t="s">
        <v>182</v>
      </c>
      <c r="C163" s="68" t="s">
        <v>1430</v>
      </c>
      <c r="D163" s="68" t="s">
        <v>1252</v>
      </c>
      <c r="E163" s="68" t="s">
        <v>886</v>
      </c>
      <c r="F163" s="68" t="s">
        <v>1177</v>
      </c>
      <c r="G163" s="68" t="s">
        <v>6</v>
      </c>
      <c r="H163" s="68" t="s">
        <v>888</v>
      </c>
      <c r="I163" s="68">
        <v>1182</v>
      </c>
      <c r="J163" s="68" t="s">
        <v>1253</v>
      </c>
      <c r="K163" s="68" t="s">
        <v>1252</v>
      </c>
      <c r="L163" s="70"/>
      <c r="M163" s="71" t="s">
        <v>979</v>
      </c>
      <c r="N163" s="72" t="s">
        <v>809</v>
      </c>
      <c r="O163" s="68">
        <v>1</v>
      </c>
      <c r="P163" s="69" t="str">
        <f t="shared" si="32"/>
        <v>Egg Noodles - GFF160R</v>
      </c>
      <c r="Q163" s="72"/>
      <c r="R163" s="72"/>
      <c r="S163" s="72"/>
      <c r="T163" s="72"/>
      <c r="U163" s="72"/>
      <c r="V163" s="72">
        <v>0</v>
      </c>
      <c r="W163" s="72" t="s">
        <v>1435</v>
      </c>
      <c r="X163" s="72" t="s">
        <v>1492</v>
      </c>
      <c r="Y163" s="72">
        <v>1</v>
      </c>
      <c r="Z163" s="72"/>
    </row>
    <row r="164" spans="1:26" ht="15" customHeight="1" x14ac:dyDescent="0.25">
      <c r="A164" s="68">
        <v>184</v>
      </c>
      <c r="B164" s="69" t="s">
        <v>182</v>
      </c>
      <c r="C164" s="68" t="s">
        <v>1369</v>
      </c>
      <c r="D164" s="68" t="s">
        <v>1255</v>
      </c>
      <c r="E164" s="68" t="s">
        <v>886</v>
      </c>
      <c r="F164" s="68" t="s">
        <v>62</v>
      </c>
      <c r="G164" s="68" t="s">
        <v>6</v>
      </c>
      <c r="H164" s="68" t="s">
        <v>888</v>
      </c>
      <c r="I164" s="68">
        <v>1183</v>
      </c>
      <c r="J164" s="68" t="s">
        <v>1259</v>
      </c>
      <c r="K164" s="68" t="s">
        <v>1255</v>
      </c>
      <c r="L164" s="70"/>
      <c r="M164" s="71" t="s">
        <v>980</v>
      </c>
      <c r="N164" s="72" t="s">
        <v>814</v>
      </c>
      <c r="O164" s="68">
        <v>1</v>
      </c>
      <c r="P164" s="69" t="str">
        <f t="shared" si="32"/>
        <v>Biryani Rice - GFF135R</v>
      </c>
      <c r="Q164" s="72"/>
      <c r="R164" s="72"/>
      <c r="S164" s="72"/>
      <c r="T164" s="72"/>
      <c r="U164" s="72"/>
      <c r="V164" s="72">
        <v>0</v>
      </c>
      <c r="W164" s="72" t="s">
        <v>1435</v>
      </c>
      <c r="X164" s="72" t="s">
        <v>1480</v>
      </c>
      <c r="Y164" s="72">
        <v>2</v>
      </c>
      <c r="Z164" s="72"/>
    </row>
    <row r="165" spans="1:26" ht="15" customHeight="1" x14ac:dyDescent="0.25">
      <c r="A165" s="68">
        <v>185</v>
      </c>
      <c r="B165" s="69" t="s">
        <v>182</v>
      </c>
      <c r="C165" s="68" t="s">
        <v>1371</v>
      </c>
      <c r="D165" s="68" t="s">
        <v>873</v>
      </c>
      <c r="E165" s="68" t="s">
        <v>886</v>
      </c>
      <c r="F165" s="68" t="s">
        <v>128</v>
      </c>
      <c r="G165" s="68" t="s">
        <v>1417</v>
      </c>
      <c r="H165" s="68" t="s">
        <v>888</v>
      </c>
      <c r="I165" s="68">
        <v>1184</v>
      </c>
      <c r="J165" s="68" t="s">
        <v>1260</v>
      </c>
      <c r="K165" s="68" t="s">
        <v>1431</v>
      </c>
      <c r="L165" s="70"/>
      <c r="M165" s="71" t="s">
        <v>979</v>
      </c>
      <c r="N165" s="72" t="s">
        <v>814</v>
      </c>
      <c r="O165" s="68">
        <v>1</v>
      </c>
      <c r="P165" s="69" t="str">
        <f t="shared" si="32"/>
        <v>British Diced Breast chicken 12-14g (Tandoori) - GFF137R</v>
      </c>
      <c r="Q165" s="72"/>
      <c r="R165" s="72"/>
      <c r="S165" s="72"/>
      <c r="T165" s="72"/>
      <c r="U165" s="72"/>
      <c r="V165" s="72">
        <v>0</v>
      </c>
      <c r="W165" s="72" t="s">
        <v>1435</v>
      </c>
      <c r="X165" s="72" t="s">
        <v>1480</v>
      </c>
      <c r="Y165" s="72">
        <v>2</v>
      </c>
      <c r="Z165" s="72"/>
    </row>
    <row r="166" spans="1:26" ht="15" customHeight="1" x14ac:dyDescent="0.25">
      <c r="A166" s="68">
        <v>186</v>
      </c>
      <c r="B166" s="69" t="s">
        <v>182</v>
      </c>
      <c r="C166" s="68" t="s">
        <v>1370</v>
      </c>
      <c r="D166" s="68" t="s">
        <v>1257</v>
      </c>
      <c r="E166" s="68" t="s">
        <v>886</v>
      </c>
      <c r="F166" s="68" t="s">
        <v>62</v>
      </c>
      <c r="G166" s="68" t="s">
        <v>6</v>
      </c>
      <c r="H166" s="68" t="s">
        <v>888</v>
      </c>
      <c r="I166" s="68">
        <v>1185</v>
      </c>
      <c r="J166" s="68" t="s">
        <v>1261</v>
      </c>
      <c r="K166" s="68" t="s">
        <v>1257</v>
      </c>
      <c r="L166" s="70"/>
      <c r="M166" s="71" t="s">
        <v>980</v>
      </c>
      <c r="N166" s="72" t="s">
        <v>814</v>
      </c>
      <c r="O166" s="68">
        <v>1</v>
      </c>
      <c r="P166" s="69" t="str">
        <f t="shared" si="32"/>
        <v>Biryani Sauce - GFF136R</v>
      </c>
      <c r="Q166" s="72"/>
      <c r="R166" s="72"/>
      <c r="S166" s="72"/>
      <c r="T166" s="72"/>
      <c r="U166" s="72"/>
      <c r="V166" s="72">
        <v>0</v>
      </c>
      <c r="W166" s="72" t="s">
        <v>1435</v>
      </c>
      <c r="X166" s="72" t="s">
        <v>1480</v>
      </c>
      <c r="Y166" s="72">
        <v>2</v>
      </c>
      <c r="Z166" s="72"/>
    </row>
    <row r="167" spans="1:26" ht="15" customHeight="1" x14ac:dyDescent="0.25">
      <c r="A167" s="68">
        <v>187</v>
      </c>
      <c r="B167" s="69" t="s">
        <v>182</v>
      </c>
      <c r="C167" s="68" t="s">
        <v>1372</v>
      </c>
      <c r="D167" s="68" t="s">
        <v>2729</v>
      </c>
      <c r="E167" s="68" t="s">
        <v>886</v>
      </c>
      <c r="F167" s="68" t="s">
        <v>62</v>
      </c>
      <c r="G167" s="68" t="s">
        <v>6</v>
      </c>
      <c r="H167" s="68" t="s">
        <v>888</v>
      </c>
      <c r="I167" s="68">
        <v>1186</v>
      </c>
      <c r="J167" s="68" t="s">
        <v>1262</v>
      </c>
      <c r="K167" s="68" t="s">
        <v>2729</v>
      </c>
      <c r="L167" s="70"/>
      <c r="M167" s="71" t="s">
        <v>980</v>
      </c>
      <c r="N167" s="72" t="s">
        <v>809</v>
      </c>
      <c r="O167" s="68">
        <v>1</v>
      </c>
      <c r="P167" s="69" t="str">
        <f t="shared" si="32"/>
        <v>Booths Fried Onions - GFF140R</v>
      </c>
      <c r="Q167" s="72"/>
      <c r="R167" s="72"/>
      <c r="S167" s="72"/>
      <c r="T167" s="72"/>
      <c r="U167" s="72"/>
      <c r="V167" s="72">
        <v>0</v>
      </c>
      <c r="W167" s="72" t="s">
        <v>1435</v>
      </c>
      <c r="X167" s="72" t="s">
        <v>982</v>
      </c>
      <c r="Y167" s="72" t="s">
        <v>982</v>
      </c>
      <c r="Z167" s="72"/>
    </row>
    <row r="168" spans="1:26" ht="15" customHeight="1" x14ac:dyDescent="0.25">
      <c r="A168" s="68">
        <v>188</v>
      </c>
      <c r="B168" s="78" t="s">
        <v>182</v>
      </c>
      <c r="C168" s="68" t="s">
        <v>1393</v>
      </c>
      <c r="D168" s="68" t="s">
        <v>2937</v>
      </c>
      <c r="E168" s="68" t="s">
        <v>886</v>
      </c>
      <c r="F168" s="68" t="s">
        <v>128</v>
      </c>
      <c r="G168" s="68" t="s">
        <v>1417</v>
      </c>
      <c r="H168" s="68" t="s">
        <v>888</v>
      </c>
      <c r="I168" s="68">
        <v>1187</v>
      </c>
      <c r="J168" s="68" t="s">
        <v>1268</v>
      </c>
      <c r="K168" s="68" t="s">
        <v>2937</v>
      </c>
      <c r="L168" s="70"/>
      <c r="M168" s="71" t="s">
        <v>979</v>
      </c>
      <c r="N168" s="72" t="s">
        <v>814</v>
      </c>
      <c r="O168" s="68">
        <v>1</v>
      </c>
      <c r="P168" s="69" t="str">
        <f t="shared" si="32"/>
        <v>Batter Chicken Bites - GFF152R</v>
      </c>
      <c r="Q168" s="72"/>
      <c r="R168" s="72"/>
      <c r="S168" s="72"/>
      <c r="T168" s="72"/>
      <c r="U168" s="72"/>
      <c r="V168" s="72">
        <v>0</v>
      </c>
      <c r="W168" s="72" t="s">
        <v>1435</v>
      </c>
      <c r="X168" s="72" t="s">
        <v>982</v>
      </c>
      <c r="Y168" s="72" t="s">
        <v>982</v>
      </c>
      <c r="Z168" s="72"/>
    </row>
    <row r="169" spans="1:26" ht="15" customHeight="1" x14ac:dyDescent="0.25">
      <c r="A169" s="68">
        <v>189</v>
      </c>
      <c r="B169" s="69" t="s">
        <v>182</v>
      </c>
      <c r="C169" s="68" t="s">
        <v>1392</v>
      </c>
      <c r="D169" s="68" t="s">
        <v>1270</v>
      </c>
      <c r="E169" s="68" t="s">
        <v>886</v>
      </c>
      <c r="F169" s="68" t="s">
        <v>73</v>
      </c>
      <c r="G169" s="68" t="s">
        <v>6</v>
      </c>
      <c r="H169" s="68" t="s">
        <v>888</v>
      </c>
      <c r="I169" s="68">
        <v>1188</v>
      </c>
      <c r="J169" s="68" t="s">
        <v>1271</v>
      </c>
      <c r="K169" s="68" t="s">
        <v>1270</v>
      </c>
      <c r="L169" s="70"/>
      <c r="M169" s="71" t="s">
        <v>980</v>
      </c>
      <c r="N169" s="72" t="s">
        <v>809</v>
      </c>
      <c r="O169" s="68">
        <v>1</v>
      </c>
      <c r="P169" s="69" t="str">
        <f t="shared" si="32"/>
        <v>Lemon Sauce - GFF150R</v>
      </c>
      <c r="Q169" s="72"/>
      <c r="R169" s="72"/>
      <c r="S169" s="72"/>
      <c r="T169" s="72"/>
      <c r="U169" s="72"/>
      <c r="V169" s="72">
        <v>0</v>
      </c>
      <c r="W169" s="72" t="s">
        <v>1435</v>
      </c>
      <c r="X169" s="72" t="s">
        <v>982</v>
      </c>
      <c r="Y169" s="72" t="s">
        <v>982</v>
      </c>
      <c r="Z169" s="72"/>
    </row>
    <row r="170" spans="1:26" ht="15" customHeight="1" x14ac:dyDescent="0.25">
      <c r="A170" s="68">
        <v>190</v>
      </c>
      <c r="B170" s="69" t="s">
        <v>182</v>
      </c>
      <c r="C170" s="68" t="s">
        <v>1386</v>
      </c>
      <c r="D170" s="68" t="s">
        <v>1273</v>
      </c>
      <c r="E170" s="68" t="s">
        <v>886</v>
      </c>
      <c r="F170" s="68" t="s">
        <v>73</v>
      </c>
      <c r="G170" s="68" t="s">
        <v>6</v>
      </c>
      <c r="H170" s="68" t="s">
        <v>888</v>
      </c>
      <c r="I170" s="68">
        <v>1189</v>
      </c>
      <c r="J170" s="68" t="s">
        <v>1274</v>
      </c>
      <c r="K170" s="68" t="s">
        <v>1273</v>
      </c>
      <c r="L170" s="70"/>
      <c r="M170" s="71" t="s">
        <v>980</v>
      </c>
      <c r="N170" s="72" t="s">
        <v>814</v>
      </c>
      <c r="O170" s="68">
        <v>1</v>
      </c>
      <c r="P170" s="69" t="str">
        <f t="shared" si="32"/>
        <v>Sweet &amp; Sour Sauce - R1 - GFF146R</v>
      </c>
      <c r="Q170" s="72"/>
      <c r="R170" s="72"/>
      <c r="S170" s="72"/>
      <c r="T170" s="72"/>
      <c r="U170" s="72"/>
      <c r="V170" s="72">
        <v>0</v>
      </c>
      <c r="W170" s="72" t="s">
        <v>1435</v>
      </c>
      <c r="X170" s="72" t="s">
        <v>1493</v>
      </c>
      <c r="Y170" s="72">
        <v>3</v>
      </c>
      <c r="Z170" s="72"/>
    </row>
    <row r="171" spans="1:26" ht="15" customHeight="1" x14ac:dyDescent="0.25">
      <c r="A171" s="68">
        <v>191</v>
      </c>
      <c r="B171" s="78" t="s">
        <v>1640</v>
      </c>
      <c r="C171" s="2" t="s">
        <v>1641</v>
      </c>
      <c r="D171" s="68" t="s">
        <v>1276</v>
      </c>
      <c r="E171" s="68" t="s">
        <v>885</v>
      </c>
      <c r="F171" s="68" t="s">
        <v>1282</v>
      </c>
      <c r="G171" s="68" t="s">
        <v>17</v>
      </c>
      <c r="H171" s="68" t="s">
        <v>888</v>
      </c>
      <c r="I171" s="68">
        <v>1190</v>
      </c>
      <c r="J171" s="68" t="s">
        <v>1277</v>
      </c>
      <c r="K171" s="68" t="s">
        <v>1276</v>
      </c>
      <c r="L171" s="70"/>
      <c r="M171" s="71" t="s">
        <v>980</v>
      </c>
      <c r="N171" s="72" t="s">
        <v>809</v>
      </c>
      <c r="O171" s="68">
        <v>1</v>
      </c>
      <c r="P171" s="69" t="str">
        <f t="shared" si="32"/>
        <v>Garlic &amp; Corriander Naan - SOU001-02</v>
      </c>
      <c r="Q171" s="72"/>
      <c r="R171" s="72"/>
      <c r="S171" s="72"/>
      <c r="T171" s="72"/>
      <c r="U171" s="72"/>
      <c r="V171" s="72">
        <v>0</v>
      </c>
      <c r="W171" s="72" t="s">
        <v>1437</v>
      </c>
      <c r="X171" s="1" t="s">
        <v>1501</v>
      </c>
      <c r="Y171" s="1">
        <v>3</v>
      </c>
      <c r="Z171" s="1"/>
    </row>
    <row r="172" spans="1:26" ht="15" customHeight="1" x14ac:dyDescent="0.25">
      <c r="A172" s="68">
        <v>192</v>
      </c>
      <c r="B172" s="78" t="s">
        <v>1640</v>
      </c>
      <c r="C172" s="2" t="s">
        <v>1642</v>
      </c>
      <c r="D172" s="68" t="s">
        <v>1279</v>
      </c>
      <c r="E172" s="68" t="s">
        <v>885</v>
      </c>
      <c r="F172" s="68" t="s">
        <v>1282</v>
      </c>
      <c r="G172" s="68" t="s">
        <v>17</v>
      </c>
      <c r="H172" s="68" t="s">
        <v>888</v>
      </c>
      <c r="I172" s="68">
        <v>1191</v>
      </c>
      <c r="J172" s="68" t="s">
        <v>1280</v>
      </c>
      <c r="K172" s="68" t="s">
        <v>1356</v>
      </c>
      <c r="L172" s="70"/>
      <c r="M172" s="71" t="s">
        <v>980</v>
      </c>
      <c r="N172" s="72" t="s">
        <v>814</v>
      </c>
      <c r="O172" s="68">
        <v>1</v>
      </c>
      <c r="P172" s="69" t="str">
        <f t="shared" si="32"/>
        <v>Plain Naan - Large - SOU001-01</v>
      </c>
      <c r="Q172" s="72"/>
      <c r="R172" s="72"/>
      <c r="S172" s="72"/>
      <c r="T172" s="72"/>
      <c r="U172" s="72"/>
      <c r="V172" s="72">
        <v>0</v>
      </c>
      <c r="W172" s="72" t="s">
        <v>1437</v>
      </c>
      <c r="X172" s="1" t="s">
        <v>1501</v>
      </c>
      <c r="Y172" s="1">
        <v>3</v>
      </c>
      <c r="Z172" s="1"/>
    </row>
    <row r="173" spans="1:26" ht="15" customHeight="1" x14ac:dyDescent="0.25">
      <c r="A173" s="68">
        <v>193</v>
      </c>
      <c r="B173" s="69" t="s">
        <v>182</v>
      </c>
      <c r="C173" s="68" t="s">
        <v>896</v>
      </c>
      <c r="D173" s="68" t="s">
        <v>1515</v>
      </c>
      <c r="E173" s="68" t="s">
        <v>885</v>
      </c>
      <c r="F173" s="68" t="s">
        <v>23</v>
      </c>
      <c r="G173" s="68" t="s">
        <v>6</v>
      </c>
      <c r="H173" s="68" t="s">
        <v>888</v>
      </c>
      <c r="I173" s="68">
        <v>1192</v>
      </c>
      <c r="J173" s="68" t="s">
        <v>1287</v>
      </c>
      <c r="K173" s="68" t="s">
        <v>1288</v>
      </c>
      <c r="L173" s="70">
        <v>25</v>
      </c>
      <c r="M173" s="71" t="s">
        <v>979</v>
      </c>
      <c r="N173" s="72" t="s">
        <v>809</v>
      </c>
      <c r="O173" s="68">
        <v>12000</v>
      </c>
      <c r="P173" s="69" t="str">
        <f t="shared" si="32"/>
        <v>Lamb Samosa Cocktail 25G - Half Fried - GFF005R</v>
      </c>
      <c r="Q173" s="72">
        <v>28</v>
      </c>
      <c r="R173" s="72">
        <v>22.4</v>
      </c>
      <c r="S173" s="72">
        <v>16.8</v>
      </c>
      <c r="T173" s="72">
        <v>11.2</v>
      </c>
      <c r="U173" s="72">
        <v>5.6</v>
      </c>
      <c r="V173" s="72">
        <v>8</v>
      </c>
      <c r="W173" s="72" t="s">
        <v>1435</v>
      </c>
      <c r="X173" s="72" t="s">
        <v>1502</v>
      </c>
      <c r="Y173" s="72">
        <v>3</v>
      </c>
      <c r="Z173" s="72"/>
    </row>
    <row r="174" spans="1:26" x14ac:dyDescent="0.25">
      <c r="A174" s="68">
        <v>194</v>
      </c>
      <c r="B174" s="69" t="s">
        <v>182</v>
      </c>
      <c r="C174" s="68" t="s">
        <v>900</v>
      </c>
      <c r="D174" s="68" t="s">
        <v>1514</v>
      </c>
      <c r="E174" s="68" t="s">
        <v>885</v>
      </c>
      <c r="F174" s="68" t="s">
        <v>40</v>
      </c>
      <c r="G174" s="68" t="s">
        <v>6</v>
      </c>
      <c r="H174" s="68" t="s">
        <v>888</v>
      </c>
      <c r="I174" s="68">
        <v>1193</v>
      </c>
      <c r="J174" s="68" t="s">
        <v>1290</v>
      </c>
      <c r="K174" s="68" t="s">
        <v>1291</v>
      </c>
      <c r="L174" s="70">
        <v>30</v>
      </c>
      <c r="M174" s="71" t="s">
        <v>980</v>
      </c>
      <c r="N174" s="72" t="s">
        <v>809</v>
      </c>
      <c r="O174" s="68">
        <v>1450</v>
      </c>
      <c r="P174" s="69" t="str">
        <f t="shared" si="32"/>
        <v>Onion Bhaji Cocktail 30G - Half Fried - GFF009-1R</v>
      </c>
      <c r="Q174" s="72">
        <v>60</v>
      </c>
      <c r="R174" s="72">
        <v>48</v>
      </c>
      <c r="S174" s="72">
        <v>36</v>
      </c>
      <c r="T174" s="72">
        <v>24</v>
      </c>
      <c r="U174" s="72">
        <v>12</v>
      </c>
      <c r="V174" s="72">
        <v>0</v>
      </c>
      <c r="W174" s="72" t="s">
        <v>1435</v>
      </c>
      <c r="X174" s="72" t="s">
        <v>1501</v>
      </c>
      <c r="Y174" s="72">
        <v>3</v>
      </c>
      <c r="Z174" s="72" t="s">
        <v>2466</v>
      </c>
    </row>
    <row r="175" spans="1:26" ht="15" customHeight="1" x14ac:dyDescent="0.25">
      <c r="A175" s="68">
        <v>195</v>
      </c>
      <c r="B175" s="69" t="s">
        <v>182</v>
      </c>
      <c r="C175" s="68" t="s">
        <v>1422</v>
      </c>
      <c r="D175" s="68" t="s">
        <v>823</v>
      </c>
      <c r="E175" s="68" t="s">
        <v>885</v>
      </c>
      <c r="F175" s="68" t="s">
        <v>37</v>
      </c>
      <c r="G175" s="68" t="s">
        <v>6</v>
      </c>
      <c r="H175" s="68" t="s">
        <v>888</v>
      </c>
      <c r="I175" s="68">
        <v>1194</v>
      </c>
      <c r="J175" s="68" t="s">
        <v>1295</v>
      </c>
      <c r="K175" s="68" t="s">
        <v>1294</v>
      </c>
      <c r="L175" s="70">
        <v>50</v>
      </c>
      <c r="M175" s="71" t="s">
        <v>979</v>
      </c>
      <c r="N175" s="72" t="s">
        <v>809</v>
      </c>
      <c r="O175" s="68">
        <v>375</v>
      </c>
      <c r="P175" s="69" t="str">
        <f t="shared" si="32"/>
        <v>Duck Spring Roll Medium 50G - R1 - GFF166R</v>
      </c>
      <c r="Q175" s="72">
        <v>30</v>
      </c>
      <c r="R175" s="72">
        <f t="shared" ref="R175" si="33">($Q175/5)*4</f>
        <v>24</v>
      </c>
      <c r="S175" s="72">
        <f t="shared" ref="S175" si="34">($Q175/5)*3</f>
        <v>18</v>
      </c>
      <c r="T175" s="72">
        <f t="shared" ref="T175" si="35">($Q175/5)*2</f>
        <v>12</v>
      </c>
      <c r="U175" s="72">
        <f t="shared" ref="U175" si="36">($Q175/5)*1</f>
        <v>6</v>
      </c>
      <c r="V175" s="72">
        <v>20</v>
      </c>
      <c r="W175" s="72" t="s">
        <v>1435</v>
      </c>
      <c r="X175" s="72" t="s">
        <v>2541</v>
      </c>
      <c r="Y175" s="72">
        <v>1</v>
      </c>
      <c r="Z175" s="72" t="s">
        <v>3062</v>
      </c>
    </row>
    <row r="176" spans="1:26" ht="15" customHeight="1" x14ac:dyDescent="0.25">
      <c r="A176" s="68">
        <v>196</v>
      </c>
      <c r="B176" s="78" t="s">
        <v>182</v>
      </c>
      <c r="C176" s="68" t="s">
        <v>1400</v>
      </c>
      <c r="D176" s="68" t="s">
        <v>1419</v>
      </c>
      <c r="E176" s="68" t="s">
        <v>886</v>
      </c>
      <c r="F176" s="68" t="s">
        <v>128</v>
      </c>
      <c r="G176" s="68" t="s">
        <v>1417</v>
      </c>
      <c r="H176" s="68" t="s">
        <v>888</v>
      </c>
      <c r="I176" s="68">
        <v>1195</v>
      </c>
      <c r="J176" s="68" t="s">
        <v>1296</v>
      </c>
      <c r="K176" s="68" t="s">
        <v>1432</v>
      </c>
      <c r="L176" s="70"/>
      <c r="M176" s="71" t="s">
        <v>979</v>
      </c>
      <c r="N176" s="72" t="s">
        <v>814</v>
      </c>
      <c r="O176" s="68">
        <v>1</v>
      </c>
      <c r="P176" s="69" t="str">
        <f t="shared" si="32"/>
        <v>British Diced Breast chicken 12-14g (Marinated) - GFF164R</v>
      </c>
      <c r="Q176" s="72"/>
      <c r="R176" s="72"/>
      <c r="S176" s="72"/>
      <c r="T176" s="72"/>
      <c r="U176" s="72"/>
      <c r="V176" s="72">
        <v>0</v>
      </c>
      <c r="W176" s="72" t="s">
        <v>1435</v>
      </c>
      <c r="X176" s="72" t="s">
        <v>982</v>
      </c>
      <c r="Y176" s="72" t="s">
        <v>982</v>
      </c>
      <c r="Z176" s="72"/>
    </row>
    <row r="177" spans="1:26" ht="15" customHeight="1" x14ac:dyDescent="0.25">
      <c r="A177" s="68">
        <v>197</v>
      </c>
      <c r="B177" s="69" t="s">
        <v>182</v>
      </c>
      <c r="C177" s="68" t="s">
        <v>895</v>
      </c>
      <c r="D177" s="68" t="s">
        <v>1303</v>
      </c>
      <c r="E177" s="68" t="s">
        <v>886</v>
      </c>
      <c r="F177" s="68" t="s">
        <v>62</v>
      </c>
      <c r="G177" s="68" t="s">
        <v>6</v>
      </c>
      <c r="H177" s="68" t="s">
        <v>888</v>
      </c>
      <c r="I177" s="68">
        <v>1196</v>
      </c>
      <c r="J177" s="68" t="s">
        <v>1300</v>
      </c>
      <c r="K177" s="68" t="s">
        <v>1303</v>
      </c>
      <c r="L177" s="70"/>
      <c r="M177" s="71" t="s">
        <v>980</v>
      </c>
      <c r="N177" s="72" t="s">
        <v>809</v>
      </c>
      <c r="O177" s="68">
        <v>1</v>
      </c>
      <c r="P177" s="69" t="str">
        <f t="shared" si="32"/>
        <v>Vegetable Curry Sauce - tbc</v>
      </c>
      <c r="Q177" s="72"/>
      <c r="R177" s="72"/>
      <c r="S177" s="72"/>
      <c r="T177" s="72"/>
      <c r="U177" s="72"/>
      <c r="V177" s="72">
        <v>0</v>
      </c>
      <c r="W177" s="72" t="s">
        <v>1435</v>
      </c>
      <c r="X177" s="72" t="s">
        <v>982</v>
      </c>
      <c r="Y177" s="72" t="s">
        <v>982</v>
      </c>
      <c r="Z177" s="72"/>
    </row>
    <row r="178" spans="1:26" ht="15" customHeight="1" x14ac:dyDescent="0.25">
      <c r="A178" s="68">
        <v>198</v>
      </c>
      <c r="B178" s="69" t="s">
        <v>182</v>
      </c>
      <c r="C178" s="68" t="s">
        <v>1373</v>
      </c>
      <c r="D178" s="68" t="s">
        <v>1304</v>
      </c>
      <c r="E178" s="68" t="s">
        <v>886</v>
      </c>
      <c r="F178" s="68" t="s">
        <v>62</v>
      </c>
      <c r="G178" s="68" t="s">
        <v>6</v>
      </c>
      <c r="H178" s="68" t="s">
        <v>888</v>
      </c>
      <c r="I178" s="68">
        <v>1197</v>
      </c>
      <c r="J178" s="68" t="s">
        <v>1306</v>
      </c>
      <c r="K178" s="68" t="s">
        <v>1426</v>
      </c>
      <c r="L178" s="70"/>
      <c r="M178" s="71" t="s">
        <v>980</v>
      </c>
      <c r="N178" s="72" t="s">
        <v>814</v>
      </c>
      <c r="O178" s="68">
        <v>1</v>
      </c>
      <c r="P178" s="69" t="str">
        <f t="shared" si="32"/>
        <v>Rogan josh Sauce - R1 - GFF138R</v>
      </c>
      <c r="Q178" s="72"/>
      <c r="R178" s="72"/>
      <c r="S178" s="72"/>
      <c r="T178" s="72"/>
      <c r="U178" s="72"/>
      <c r="V178" s="72">
        <v>0</v>
      </c>
      <c r="W178" s="72" t="s">
        <v>1435</v>
      </c>
      <c r="X178" s="72" t="s">
        <v>1484</v>
      </c>
      <c r="Y178" s="72">
        <v>2</v>
      </c>
      <c r="Z178" s="72"/>
    </row>
    <row r="179" spans="1:26" ht="15" customHeight="1" x14ac:dyDescent="0.25">
      <c r="A179" s="68">
        <v>199</v>
      </c>
      <c r="B179" s="69" t="s">
        <v>182</v>
      </c>
      <c r="C179" s="68" t="s">
        <v>1388</v>
      </c>
      <c r="D179" s="68" t="s">
        <v>1305</v>
      </c>
      <c r="E179" s="68" t="s">
        <v>886</v>
      </c>
      <c r="F179" s="68" t="s">
        <v>73</v>
      </c>
      <c r="G179" s="68" t="s">
        <v>6</v>
      </c>
      <c r="H179" s="68" t="s">
        <v>888</v>
      </c>
      <c r="I179" s="68">
        <v>1198</v>
      </c>
      <c r="J179" s="68" t="s">
        <v>1307</v>
      </c>
      <c r="K179" s="68" t="s">
        <v>1305</v>
      </c>
      <c r="L179" s="70"/>
      <c r="M179" s="71" t="s">
        <v>980</v>
      </c>
      <c r="N179" s="72" t="s">
        <v>814</v>
      </c>
      <c r="O179" s="68">
        <v>1</v>
      </c>
      <c r="P179" s="69" t="str">
        <f t="shared" si="32"/>
        <v>Thai Green Curry Sauce - GFF148R</v>
      </c>
      <c r="Q179" s="72"/>
      <c r="R179" s="72"/>
      <c r="S179" s="72"/>
      <c r="T179" s="72"/>
      <c r="U179" s="72"/>
      <c r="V179" s="72">
        <v>0</v>
      </c>
      <c r="W179" s="72" t="s">
        <v>1435</v>
      </c>
      <c r="X179" s="72" t="s">
        <v>1494</v>
      </c>
      <c r="Y179" s="72">
        <v>1</v>
      </c>
      <c r="Z179" s="72"/>
    </row>
    <row r="180" spans="1:26" ht="15" customHeight="1" x14ac:dyDescent="0.25">
      <c r="A180" s="68">
        <v>200</v>
      </c>
      <c r="B180" s="78" t="s">
        <v>182</v>
      </c>
      <c r="C180" s="68" t="s">
        <v>1399</v>
      </c>
      <c r="D180" s="68" t="s">
        <v>1418</v>
      </c>
      <c r="E180" s="68" t="s">
        <v>886</v>
      </c>
      <c r="F180" s="68" t="s">
        <v>1414</v>
      </c>
      <c r="G180" s="68" t="s">
        <v>1417</v>
      </c>
      <c r="H180" s="68" t="s">
        <v>888</v>
      </c>
      <c r="I180" s="68">
        <v>1199</v>
      </c>
      <c r="J180" s="68" t="s">
        <v>1308</v>
      </c>
      <c r="K180" s="68" t="s">
        <v>1357</v>
      </c>
      <c r="L180" s="70"/>
      <c r="M180" s="71" t="s">
        <v>979</v>
      </c>
      <c r="N180" s="72" t="s">
        <v>809</v>
      </c>
      <c r="O180" s="68">
        <v>1</v>
      </c>
      <c r="P180" s="69" t="str">
        <f t="shared" si="32"/>
        <v>British sliced stir fry beef  5cm x 4cm thin sliced - GFF163R</v>
      </c>
      <c r="Q180" s="72"/>
      <c r="R180" s="72"/>
      <c r="S180" s="72"/>
      <c r="T180" s="72"/>
      <c r="U180" s="72"/>
      <c r="V180" s="72">
        <v>0</v>
      </c>
      <c r="W180" s="72" t="s">
        <v>1435</v>
      </c>
      <c r="X180" s="72" t="s">
        <v>982</v>
      </c>
      <c r="Y180" s="72" t="s">
        <v>982</v>
      </c>
      <c r="Z180" s="72"/>
    </row>
    <row r="181" spans="1:26" ht="15" customHeight="1" x14ac:dyDescent="0.25">
      <c r="A181" s="68">
        <v>201</v>
      </c>
      <c r="B181" s="69" t="s">
        <v>153</v>
      </c>
      <c r="C181" s="68"/>
      <c r="D181" s="68" t="s">
        <v>861</v>
      </c>
      <c r="E181" s="68" t="s">
        <v>885</v>
      </c>
      <c r="F181" s="68" t="s">
        <v>1281</v>
      </c>
      <c r="G181" s="68" t="s">
        <v>17</v>
      </c>
      <c r="H181" s="68" t="s">
        <v>939</v>
      </c>
      <c r="I181" s="68">
        <v>1200</v>
      </c>
      <c r="J181" s="68" t="s">
        <v>1087</v>
      </c>
      <c r="K181" s="68" t="s">
        <v>1321</v>
      </c>
      <c r="L181" s="70">
        <v>12</v>
      </c>
      <c r="M181" s="71" t="s">
        <v>979</v>
      </c>
      <c r="N181" s="72" t="s">
        <v>809</v>
      </c>
      <c r="O181" s="68">
        <v>1</v>
      </c>
      <c r="P181" s="69"/>
      <c r="Q181" s="72"/>
      <c r="R181" s="72"/>
      <c r="S181" s="72"/>
      <c r="T181" s="72"/>
      <c r="U181" s="72"/>
      <c r="V181" s="72">
        <v>0</v>
      </c>
      <c r="W181" s="72" t="s">
        <v>1437</v>
      </c>
      <c r="X181" s="72" t="s">
        <v>982</v>
      </c>
      <c r="Y181" s="72" t="s">
        <v>982</v>
      </c>
      <c r="Z181" s="72"/>
    </row>
    <row r="182" spans="1:26" ht="15" customHeight="1" x14ac:dyDescent="0.25">
      <c r="A182" s="68">
        <v>202</v>
      </c>
      <c r="B182" s="69" t="s">
        <v>182</v>
      </c>
      <c r="C182" s="68" t="s">
        <v>1330</v>
      </c>
      <c r="D182" s="68" t="s">
        <v>823</v>
      </c>
      <c r="E182" s="68" t="s">
        <v>885</v>
      </c>
      <c r="F182" s="68" t="s">
        <v>37</v>
      </c>
      <c r="G182" s="68" t="s">
        <v>6</v>
      </c>
      <c r="H182" s="68" t="s">
        <v>888</v>
      </c>
      <c r="I182" s="68">
        <v>1201</v>
      </c>
      <c r="J182" s="68" t="s">
        <v>1334</v>
      </c>
      <c r="K182" s="68" t="s">
        <v>1335</v>
      </c>
      <c r="L182" s="70">
        <v>20</v>
      </c>
      <c r="M182" s="71" t="s">
        <v>979</v>
      </c>
      <c r="N182" s="72" t="s">
        <v>809</v>
      </c>
      <c r="O182" s="68">
        <v>2100</v>
      </c>
      <c r="P182" s="69" t="str">
        <f t="shared" ref="P182:P245" si="37">K182&amp;" - "&amp; C182</f>
        <v>Duck Spring Roll 20G - R1 - GFF125R</v>
      </c>
      <c r="Q182" s="72"/>
      <c r="R182" s="72">
        <f t="shared" ref="R182" si="38">($Q182/5)*4</f>
        <v>0</v>
      </c>
      <c r="S182" s="72">
        <f t="shared" ref="S182" si="39">($Q182/5)*3</f>
        <v>0</v>
      </c>
      <c r="T182" s="72">
        <f t="shared" ref="T182" si="40">($Q182/5)*2</f>
        <v>0</v>
      </c>
      <c r="U182" s="72">
        <f t="shared" ref="U182" si="41">($Q182/5)*1</f>
        <v>0</v>
      </c>
      <c r="V182" s="72">
        <v>20</v>
      </c>
      <c r="W182" s="72" t="s">
        <v>1435</v>
      </c>
      <c r="X182" s="72" t="s">
        <v>1503</v>
      </c>
      <c r="Y182" s="72">
        <v>3</v>
      </c>
      <c r="Z182" s="72"/>
    </row>
    <row r="183" spans="1:26" ht="15" customHeight="1" x14ac:dyDescent="0.25">
      <c r="A183" s="68">
        <v>203</v>
      </c>
      <c r="B183" s="69" t="s">
        <v>182</v>
      </c>
      <c r="C183" s="68" t="s">
        <v>1341</v>
      </c>
      <c r="D183" s="68" t="s">
        <v>848</v>
      </c>
      <c r="E183" s="68" t="s">
        <v>130</v>
      </c>
      <c r="F183" s="68" t="s">
        <v>130</v>
      </c>
      <c r="G183" s="68" t="s">
        <v>6</v>
      </c>
      <c r="H183" s="68" t="s">
        <v>888</v>
      </c>
      <c r="I183" s="68">
        <v>1202</v>
      </c>
      <c r="J183" s="68" t="s">
        <v>1343</v>
      </c>
      <c r="K183" s="68" t="s">
        <v>1344</v>
      </c>
      <c r="L183" s="70">
        <v>1</v>
      </c>
      <c r="M183" s="71" t="s">
        <v>980</v>
      </c>
      <c r="N183" s="72" t="s">
        <v>809</v>
      </c>
      <c r="O183" s="68">
        <v>10</v>
      </c>
      <c r="P183" s="69" t="str">
        <f t="shared" si="37"/>
        <v>Spicy Tomato Dip - R1 - GFF124R</v>
      </c>
      <c r="Q183" s="72"/>
      <c r="R183" s="72"/>
      <c r="S183" s="72"/>
      <c r="T183" s="72"/>
      <c r="U183" s="72"/>
      <c r="V183" s="72">
        <v>0</v>
      </c>
      <c r="W183" s="72" t="s">
        <v>1435</v>
      </c>
      <c r="X183" s="72" t="s">
        <v>982</v>
      </c>
      <c r="Y183" s="72" t="s">
        <v>982</v>
      </c>
      <c r="Z183" s="72"/>
    </row>
    <row r="184" spans="1:26" ht="15" customHeight="1" x14ac:dyDescent="0.25">
      <c r="A184" s="68">
        <v>204</v>
      </c>
      <c r="B184" s="69" t="s">
        <v>182</v>
      </c>
      <c r="C184" s="68" t="s">
        <v>1342</v>
      </c>
      <c r="D184" s="68" t="s">
        <v>846</v>
      </c>
      <c r="E184" s="68" t="s">
        <v>886</v>
      </c>
      <c r="F184" s="68" t="s">
        <v>130</v>
      </c>
      <c r="G184" s="68" t="s">
        <v>6</v>
      </c>
      <c r="H184" s="68" t="s">
        <v>888</v>
      </c>
      <c r="I184" s="68">
        <v>1203</v>
      </c>
      <c r="J184" s="68" t="s">
        <v>1345</v>
      </c>
      <c r="K184" s="68" t="s">
        <v>1346</v>
      </c>
      <c r="L184" s="70">
        <v>1</v>
      </c>
      <c r="M184" s="71" t="s">
        <v>980</v>
      </c>
      <c r="N184" s="72" t="s">
        <v>814</v>
      </c>
      <c r="O184" s="74">
        <v>20</v>
      </c>
      <c r="P184" s="69" t="str">
        <f t="shared" si="37"/>
        <v>Sweet Chilli Dip - R2 - GFF109R</v>
      </c>
      <c r="Q184" s="72"/>
      <c r="R184" s="72"/>
      <c r="S184" s="72"/>
      <c r="T184" s="72"/>
      <c r="U184" s="72"/>
      <c r="V184" s="72">
        <v>0</v>
      </c>
      <c r="W184" s="72" t="s">
        <v>1435</v>
      </c>
      <c r="X184" s="72" t="s">
        <v>982</v>
      </c>
      <c r="Y184" s="72" t="s">
        <v>982</v>
      </c>
      <c r="Z184" s="72"/>
    </row>
    <row r="185" spans="1:26" ht="15" customHeight="1" x14ac:dyDescent="0.25">
      <c r="A185" s="68">
        <v>205</v>
      </c>
      <c r="B185" s="69" t="s">
        <v>895</v>
      </c>
      <c r="C185" s="68" t="s">
        <v>1007</v>
      </c>
      <c r="D185" s="68" t="s">
        <v>1347</v>
      </c>
      <c r="E185" s="68" t="s">
        <v>885</v>
      </c>
      <c r="F185" s="68" t="s">
        <v>56</v>
      </c>
      <c r="G185" s="68" t="s">
        <v>17</v>
      </c>
      <c r="H185" s="68" t="s">
        <v>939</v>
      </c>
      <c r="I185" s="68">
        <v>1204</v>
      </c>
      <c r="J185" s="68" t="s">
        <v>1348</v>
      </c>
      <c r="K185" s="68" t="s">
        <v>1351</v>
      </c>
      <c r="L185" s="70">
        <v>20</v>
      </c>
      <c r="M185" s="71" t="s">
        <v>980</v>
      </c>
      <c r="N185" s="72" t="s">
        <v>809</v>
      </c>
      <c r="O185" s="68">
        <v>1</v>
      </c>
      <c r="P185" s="69" t="str">
        <f t="shared" si="37"/>
        <v>Mozzarella Sticks 20G - None</v>
      </c>
      <c r="Q185" s="72"/>
      <c r="R185" s="72"/>
      <c r="S185" s="72"/>
      <c r="T185" s="72"/>
      <c r="U185" s="72"/>
      <c r="V185" s="72">
        <v>0</v>
      </c>
      <c r="W185" s="72" t="s">
        <v>1437</v>
      </c>
      <c r="X185" s="72" t="s">
        <v>982</v>
      </c>
      <c r="Y185" s="72" t="s">
        <v>982</v>
      </c>
      <c r="Z185" s="72"/>
    </row>
    <row r="186" spans="1:26" ht="15" customHeight="1" x14ac:dyDescent="0.25">
      <c r="A186" s="68">
        <v>206</v>
      </c>
      <c r="B186" s="69" t="s">
        <v>895</v>
      </c>
      <c r="C186" s="68" t="s">
        <v>1007</v>
      </c>
      <c r="D186" s="68" t="s">
        <v>1349</v>
      </c>
      <c r="E186" s="68" t="s">
        <v>885</v>
      </c>
      <c r="F186" s="68" t="s">
        <v>56</v>
      </c>
      <c r="G186" s="68" t="s">
        <v>17</v>
      </c>
      <c r="H186" s="68" t="s">
        <v>939</v>
      </c>
      <c r="I186" s="68">
        <v>1205</v>
      </c>
      <c r="J186" s="68" t="s">
        <v>1350</v>
      </c>
      <c r="K186" s="68" t="s">
        <v>1352</v>
      </c>
      <c r="L186" s="70">
        <v>27</v>
      </c>
      <c r="M186" s="71" t="s">
        <v>980</v>
      </c>
      <c r="N186" s="72" t="s">
        <v>809</v>
      </c>
      <c r="O186" s="68">
        <v>1</v>
      </c>
      <c r="P186" s="69" t="str">
        <f t="shared" si="37"/>
        <v>Stuffed Jalapeno Peppers 27G - None</v>
      </c>
      <c r="Q186" s="72"/>
      <c r="R186" s="72"/>
      <c r="S186" s="72"/>
      <c r="T186" s="72"/>
      <c r="U186" s="72"/>
      <c r="V186" s="72">
        <v>0</v>
      </c>
      <c r="W186" s="72" t="s">
        <v>1437</v>
      </c>
      <c r="X186" s="72" t="s">
        <v>982</v>
      </c>
      <c r="Y186" s="72" t="s">
        <v>982</v>
      </c>
      <c r="Z186" s="72"/>
    </row>
    <row r="187" spans="1:26" ht="15" customHeight="1" x14ac:dyDescent="0.25">
      <c r="A187" s="68">
        <v>207</v>
      </c>
      <c r="B187" s="78" t="s">
        <v>1640</v>
      </c>
      <c r="C187" s="2" t="s">
        <v>1643</v>
      </c>
      <c r="D187" s="68" t="s">
        <v>1279</v>
      </c>
      <c r="E187" s="68" t="s">
        <v>885</v>
      </c>
      <c r="F187" s="68" t="s">
        <v>1282</v>
      </c>
      <c r="G187" s="68" t="s">
        <v>17</v>
      </c>
      <c r="H187" s="68" t="s">
        <v>888</v>
      </c>
      <c r="I187" s="68">
        <v>1206</v>
      </c>
      <c r="J187" s="68" t="s">
        <v>1354</v>
      </c>
      <c r="K187" s="68" t="s">
        <v>1355</v>
      </c>
      <c r="L187" s="70"/>
      <c r="M187" s="71" t="s">
        <v>980</v>
      </c>
      <c r="N187" s="72" t="s">
        <v>814</v>
      </c>
      <c r="O187" s="68">
        <v>1</v>
      </c>
      <c r="P187" s="69" t="str">
        <f t="shared" si="37"/>
        <v>Plain Naan - Small - SOU001-03</v>
      </c>
      <c r="Q187" s="72"/>
      <c r="R187" s="72"/>
      <c r="S187" s="72"/>
      <c r="T187" s="72"/>
      <c r="U187" s="72"/>
      <c r="V187" s="72">
        <v>0</v>
      </c>
      <c r="W187" s="72" t="s">
        <v>1437</v>
      </c>
      <c r="X187" s="1" t="s">
        <v>1501</v>
      </c>
      <c r="Y187" s="1">
        <v>3</v>
      </c>
      <c r="Z187" s="1"/>
    </row>
    <row r="188" spans="1:26" ht="15" customHeight="1" x14ac:dyDescent="0.25">
      <c r="A188" s="68">
        <v>208</v>
      </c>
      <c r="B188" s="78" t="s">
        <v>182</v>
      </c>
      <c r="C188" s="68" t="s">
        <v>1409</v>
      </c>
      <c r="D188" s="68" t="s">
        <v>1359</v>
      </c>
      <c r="E188" s="68" t="s">
        <v>886</v>
      </c>
      <c r="F188" s="68" t="s">
        <v>128</v>
      </c>
      <c r="G188" s="68" t="s">
        <v>1417</v>
      </c>
      <c r="H188" s="68" t="s">
        <v>888</v>
      </c>
      <c r="I188" s="68">
        <v>1207</v>
      </c>
      <c r="J188" s="68" t="s">
        <v>1360</v>
      </c>
      <c r="K188" s="68" t="s">
        <v>1362</v>
      </c>
      <c r="L188" s="70"/>
      <c r="M188" s="71" t="s">
        <v>979</v>
      </c>
      <c r="N188" s="72" t="s">
        <v>809</v>
      </c>
      <c r="O188" s="68">
        <v>1</v>
      </c>
      <c r="P188" s="69" t="str">
        <f t="shared" si="37"/>
        <v>British sliced chicken breast  - 9cm x 1.5cm long - GFF161R</v>
      </c>
      <c r="Q188" s="72"/>
      <c r="R188" s="72"/>
      <c r="S188" s="72"/>
      <c r="T188" s="72"/>
      <c r="U188" s="72"/>
      <c r="V188" s="72">
        <v>0</v>
      </c>
      <c r="W188" s="72" t="s">
        <v>1435</v>
      </c>
      <c r="X188" s="72" t="s">
        <v>982</v>
      </c>
      <c r="Y188" s="72" t="s">
        <v>982</v>
      </c>
      <c r="Z188" s="72"/>
    </row>
    <row r="189" spans="1:26" ht="15" customHeight="1" x14ac:dyDescent="0.25">
      <c r="A189" s="68">
        <v>209</v>
      </c>
      <c r="B189" s="69" t="s">
        <v>182</v>
      </c>
      <c r="C189" s="68" t="s">
        <v>1375</v>
      </c>
      <c r="D189" s="68" t="s">
        <v>1377</v>
      </c>
      <c r="E189" s="68" t="s">
        <v>886</v>
      </c>
      <c r="F189" s="68" t="s">
        <v>62</v>
      </c>
      <c r="G189" s="68" t="s">
        <v>6</v>
      </c>
      <c r="H189" s="68" t="s">
        <v>888</v>
      </c>
      <c r="I189" s="68">
        <v>1208</v>
      </c>
      <c r="J189" s="68" t="s">
        <v>1376</v>
      </c>
      <c r="K189" s="68" t="s">
        <v>1377</v>
      </c>
      <c r="L189" s="70"/>
      <c r="M189" s="71" t="s">
        <v>979</v>
      </c>
      <c r="N189" s="72" t="s">
        <v>814</v>
      </c>
      <c r="O189" s="68">
        <v>1</v>
      </c>
      <c r="P189" s="69" t="str">
        <f t="shared" si="37"/>
        <v>Korma Sauce - R1 - GFF133R</v>
      </c>
      <c r="Q189" s="72"/>
      <c r="R189" s="72"/>
      <c r="S189" s="72"/>
      <c r="T189" s="72"/>
      <c r="U189" s="72"/>
      <c r="V189" s="72">
        <v>0</v>
      </c>
      <c r="W189" s="72" t="s">
        <v>1435</v>
      </c>
      <c r="X189" s="72" t="s">
        <v>1495</v>
      </c>
      <c r="Y189" s="72">
        <v>1</v>
      </c>
      <c r="Z189" s="72"/>
    </row>
    <row r="190" spans="1:26" ht="15" customHeight="1" x14ac:dyDescent="0.25">
      <c r="A190" s="68">
        <v>210</v>
      </c>
      <c r="B190" s="69" t="s">
        <v>182</v>
      </c>
      <c r="C190" s="68" t="s">
        <v>1378</v>
      </c>
      <c r="D190" s="68" t="s">
        <v>1380</v>
      </c>
      <c r="E190" s="68" t="s">
        <v>886</v>
      </c>
      <c r="F190" s="68" t="s">
        <v>62</v>
      </c>
      <c r="G190" s="68" t="s">
        <v>6</v>
      </c>
      <c r="H190" s="68" t="s">
        <v>888</v>
      </c>
      <c r="I190" s="68">
        <v>1209</v>
      </c>
      <c r="J190" s="68" t="s">
        <v>1379</v>
      </c>
      <c r="K190" s="68" t="s">
        <v>1380</v>
      </c>
      <c r="L190" s="70"/>
      <c r="M190" s="71" t="s">
        <v>979</v>
      </c>
      <c r="N190" s="72" t="s">
        <v>814</v>
      </c>
      <c r="O190" s="68">
        <v>1</v>
      </c>
      <c r="P190" s="69" t="str">
        <f t="shared" si="37"/>
        <v>Tikka Masala Sauce - R1 - GFF141R</v>
      </c>
      <c r="Q190" s="72"/>
      <c r="R190" s="72"/>
      <c r="S190" s="72"/>
      <c r="T190" s="72"/>
      <c r="U190" s="72"/>
      <c r="V190" s="72">
        <v>0</v>
      </c>
      <c r="W190" s="72" t="s">
        <v>1435</v>
      </c>
      <c r="X190" s="72" t="s">
        <v>1495</v>
      </c>
      <c r="Y190" s="72">
        <v>1</v>
      </c>
      <c r="Z190" s="72"/>
    </row>
    <row r="191" spans="1:26" ht="15" customHeight="1" x14ac:dyDescent="0.25">
      <c r="A191" s="68">
        <v>211</v>
      </c>
      <c r="B191" s="69" t="s">
        <v>182</v>
      </c>
      <c r="C191" s="68" t="s">
        <v>1381</v>
      </c>
      <c r="D191" s="68" t="s">
        <v>1383</v>
      </c>
      <c r="E191" s="68" t="s">
        <v>886</v>
      </c>
      <c r="F191" s="68" t="s">
        <v>62</v>
      </c>
      <c r="G191" s="68" t="s">
        <v>6</v>
      </c>
      <c r="H191" s="68" t="s">
        <v>888</v>
      </c>
      <c r="I191" s="68">
        <v>1210</v>
      </c>
      <c r="J191" s="68" t="s">
        <v>1382</v>
      </c>
      <c r="K191" s="68" t="s">
        <v>1383</v>
      </c>
      <c r="L191" s="70"/>
      <c r="M191" s="71" t="s">
        <v>979</v>
      </c>
      <c r="N191" s="72" t="s">
        <v>814</v>
      </c>
      <c r="O191" s="68">
        <v>1</v>
      </c>
      <c r="P191" s="69" t="str">
        <f t="shared" si="37"/>
        <v>Pilau Rice - R1 - GFF143R</v>
      </c>
      <c r="Q191" s="72"/>
      <c r="R191" s="72"/>
      <c r="S191" s="72"/>
      <c r="T191" s="72"/>
      <c r="U191" s="72"/>
      <c r="V191" s="72">
        <v>0</v>
      </c>
      <c r="W191" s="72" t="s">
        <v>1435</v>
      </c>
      <c r="X191" s="72" t="s">
        <v>982</v>
      </c>
      <c r="Y191" s="72" t="s">
        <v>982</v>
      </c>
      <c r="Z191" s="72"/>
    </row>
    <row r="192" spans="1:26" ht="15" customHeight="1" x14ac:dyDescent="0.25">
      <c r="A192" s="68">
        <v>212</v>
      </c>
      <c r="B192" s="69" t="s">
        <v>182</v>
      </c>
      <c r="C192" s="68" t="s">
        <v>1398</v>
      </c>
      <c r="D192" s="68" t="s">
        <v>1397</v>
      </c>
      <c r="E192" s="69" t="s">
        <v>886</v>
      </c>
      <c r="F192" s="68" t="s">
        <v>73</v>
      </c>
      <c r="G192" s="68" t="s">
        <v>6</v>
      </c>
      <c r="H192" s="68" t="s">
        <v>888</v>
      </c>
      <c r="I192" s="68">
        <v>1211</v>
      </c>
      <c r="J192" s="68" t="s">
        <v>1396</v>
      </c>
      <c r="K192" s="68" t="s">
        <v>1397</v>
      </c>
      <c r="L192" s="70"/>
      <c r="M192" s="71" t="s">
        <v>980</v>
      </c>
      <c r="N192" s="72" t="s">
        <v>814</v>
      </c>
      <c r="O192" s="68">
        <v>1</v>
      </c>
      <c r="P192" s="69" t="str">
        <f t="shared" si="37"/>
        <v>Jasmine Rice - R1 - GFF162R</v>
      </c>
      <c r="Q192" s="72"/>
      <c r="R192" s="72"/>
      <c r="S192" s="72"/>
      <c r="T192" s="72"/>
      <c r="U192" s="72"/>
      <c r="V192" s="72">
        <v>0</v>
      </c>
      <c r="W192" s="72" t="s">
        <v>1435</v>
      </c>
      <c r="X192" s="72" t="s">
        <v>1482</v>
      </c>
      <c r="Y192" s="72">
        <v>1</v>
      </c>
      <c r="Z192" s="72"/>
    </row>
    <row r="193" spans="1:26" ht="15" customHeight="1" x14ac:dyDescent="0.25">
      <c r="A193" s="68">
        <v>213</v>
      </c>
      <c r="B193" s="69" t="s">
        <v>182</v>
      </c>
      <c r="C193" s="68" t="s">
        <v>1403</v>
      </c>
      <c r="D193" s="68" t="s">
        <v>1401</v>
      </c>
      <c r="E193" s="69" t="s">
        <v>886</v>
      </c>
      <c r="F193" s="68" t="s">
        <v>73</v>
      </c>
      <c r="G193" s="68" t="s">
        <v>6</v>
      </c>
      <c r="H193" s="68" t="s">
        <v>888</v>
      </c>
      <c r="I193" s="68">
        <v>1212</v>
      </c>
      <c r="J193" s="68" t="s">
        <v>1402</v>
      </c>
      <c r="K193" s="68" t="s">
        <v>1401</v>
      </c>
      <c r="L193" s="70"/>
      <c r="M193" s="71" t="s">
        <v>980</v>
      </c>
      <c r="N193" s="72" t="s">
        <v>809</v>
      </c>
      <c r="O193" s="68">
        <v>1</v>
      </c>
      <c r="P193" s="69" t="str">
        <f t="shared" si="37"/>
        <v>Stir Fried Vegetables - R2 - GFF158R</v>
      </c>
      <c r="Q193" s="72"/>
      <c r="R193" s="72"/>
      <c r="S193" s="72"/>
      <c r="T193" s="72"/>
      <c r="U193" s="72"/>
      <c r="V193" s="72">
        <v>0</v>
      </c>
      <c r="W193" s="72" t="s">
        <v>1435</v>
      </c>
      <c r="X193" s="72" t="s">
        <v>982</v>
      </c>
      <c r="Y193" s="72" t="s">
        <v>982</v>
      </c>
      <c r="Z193" s="72"/>
    </row>
    <row r="194" spans="1:26" ht="15" customHeight="1" x14ac:dyDescent="0.25">
      <c r="A194" s="68">
        <v>214</v>
      </c>
      <c r="B194" s="69" t="s">
        <v>182</v>
      </c>
      <c r="C194" s="56" t="s">
        <v>1404</v>
      </c>
      <c r="D194" s="68" t="s">
        <v>1405</v>
      </c>
      <c r="E194" s="69" t="s">
        <v>886</v>
      </c>
      <c r="F194" s="68" t="s">
        <v>73</v>
      </c>
      <c r="G194" s="68" t="s">
        <v>6</v>
      </c>
      <c r="H194" s="68" t="s">
        <v>888</v>
      </c>
      <c r="I194" s="68">
        <v>1213</v>
      </c>
      <c r="J194" s="68" t="s">
        <v>1406</v>
      </c>
      <c r="K194" s="68" t="s">
        <v>1405</v>
      </c>
      <c r="L194" s="70"/>
      <c r="M194" s="71" t="s">
        <v>980</v>
      </c>
      <c r="N194" s="72" t="s">
        <v>809</v>
      </c>
      <c r="O194" s="68">
        <v>1</v>
      </c>
      <c r="P194" s="69" t="str">
        <f t="shared" si="37"/>
        <v>Stir Fried Vegetables - R3 - GFF157R</v>
      </c>
      <c r="Q194" s="72"/>
      <c r="R194" s="72"/>
      <c r="S194" s="72"/>
      <c r="T194" s="72"/>
      <c r="U194" s="72"/>
      <c r="V194" s="72">
        <v>0</v>
      </c>
      <c r="W194" s="72" t="s">
        <v>1435</v>
      </c>
      <c r="X194" s="72" t="s">
        <v>1496</v>
      </c>
      <c r="Y194" s="72">
        <v>1</v>
      </c>
      <c r="Z194" s="72"/>
    </row>
    <row r="195" spans="1:26" ht="15" customHeight="1" x14ac:dyDescent="0.25">
      <c r="A195" s="68">
        <v>215</v>
      </c>
      <c r="B195" s="69" t="s">
        <v>182</v>
      </c>
      <c r="C195" s="68" t="s">
        <v>1394</v>
      </c>
      <c r="D195" s="68" t="s">
        <v>1410</v>
      </c>
      <c r="E195" s="69" t="s">
        <v>886</v>
      </c>
      <c r="F195" s="68" t="s">
        <v>73</v>
      </c>
      <c r="G195" s="68" t="s">
        <v>6</v>
      </c>
      <c r="H195" s="68" t="s">
        <v>888</v>
      </c>
      <c r="I195" s="68">
        <v>1214</v>
      </c>
      <c r="J195" s="68" t="s">
        <v>1411</v>
      </c>
      <c r="K195" s="68" t="s">
        <v>1410</v>
      </c>
      <c r="L195" s="70"/>
      <c r="M195" s="71" t="s">
        <v>980</v>
      </c>
      <c r="N195" s="72" t="s">
        <v>814</v>
      </c>
      <c r="O195" s="68">
        <v>1</v>
      </c>
      <c r="P195" s="69" t="str">
        <f t="shared" si="37"/>
        <v>Cooked Egg - GFF154R</v>
      </c>
      <c r="Q195" s="72"/>
      <c r="R195" s="72"/>
      <c r="S195" s="72"/>
      <c r="T195" s="72"/>
      <c r="U195" s="72"/>
      <c r="V195" s="72">
        <v>0</v>
      </c>
      <c r="W195" s="72" t="s">
        <v>1435</v>
      </c>
      <c r="X195" s="72" t="s">
        <v>1497</v>
      </c>
      <c r="Y195" s="72">
        <v>2</v>
      </c>
      <c r="Z195" s="72"/>
    </row>
    <row r="196" spans="1:26" ht="15" customHeight="1" x14ac:dyDescent="0.25">
      <c r="A196" s="68">
        <v>216</v>
      </c>
      <c r="B196" s="69" t="s">
        <v>1423</v>
      </c>
      <c r="C196" s="68" t="s">
        <v>2559</v>
      </c>
      <c r="D196" s="68" t="s">
        <v>1258</v>
      </c>
      <c r="E196" s="68" t="s">
        <v>886</v>
      </c>
      <c r="F196" s="68" t="s">
        <v>62</v>
      </c>
      <c r="G196" s="68" t="s">
        <v>17</v>
      </c>
      <c r="H196" s="68" t="s">
        <v>888</v>
      </c>
      <c r="I196" s="68">
        <v>1215</v>
      </c>
      <c r="J196" s="68" t="s">
        <v>1412</v>
      </c>
      <c r="K196" s="68" t="s">
        <v>1416</v>
      </c>
      <c r="L196" s="70"/>
      <c r="M196" s="71" t="s">
        <v>980</v>
      </c>
      <c r="N196" s="72" t="s">
        <v>814</v>
      </c>
      <c r="O196" s="68">
        <v>1</v>
      </c>
      <c r="P196" s="69" t="str">
        <f t="shared" si="37"/>
        <v>Ready Fried Onions - GFF1215</v>
      </c>
      <c r="Q196" s="72"/>
      <c r="R196" s="72"/>
      <c r="S196" s="72"/>
      <c r="T196" s="72"/>
      <c r="U196" s="72"/>
      <c r="V196" s="72">
        <v>0</v>
      </c>
      <c r="W196" s="72" t="s">
        <v>1435</v>
      </c>
      <c r="X196" s="72" t="s">
        <v>982</v>
      </c>
      <c r="Y196" s="72" t="s">
        <v>982</v>
      </c>
      <c r="Z196" s="72"/>
    </row>
    <row r="197" spans="1:26" ht="15" customHeight="1" x14ac:dyDescent="0.25">
      <c r="A197" s="68">
        <v>217</v>
      </c>
      <c r="B197" s="78" t="s">
        <v>182</v>
      </c>
      <c r="C197" s="68" t="s">
        <v>1415</v>
      </c>
      <c r="D197" s="68" t="s">
        <v>1420</v>
      </c>
      <c r="E197" s="68" t="s">
        <v>886</v>
      </c>
      <c r="F197" s="68" t="s">
        <v>128</v>
      </c>
      <c r="G197" s="68" t="s">
        <v>1417</v>
      </c>
      <c r="H197" s="68" t="s">
        <v>888</v>
      </c>
      <c r="I197" s="68">
        <v>1216</v>
      </c>
      <c r="J197" s="68" t="s">
        <v>1413</v>
      </c>
      <c r="K197" s="68" t="s">
        <v>1433</v>
      </c>
      <c r="L197" s="70"/>
      <c r="M197" s="71" t="s">
        <v>979</v>
      </c>
      <c r="N197" s="72" t="s">
        <v>814</v>
      </c>
      <c r="O197" s="68">
        <v>1</v>
      </c>
      <c r="P197" s="69" t="str">
        <f t="shared" si="37"/>
        <v>British Diced Breast chicken 12-14g (Tikka Marinate) - GFF142R</v>
      </c>
      <c r="Q197" s="72"/>
      <c r="R197" s="72"/>
      <c r="S197" s="72"/>
      <c r="T197" s="72"/>
      <c r="U197" s="72"/>
      <c r="V197" s="72">
        <v>0</v>
      </c>
      <c r="W197" s="72" t="s">
        <v>1435</v>
      </c>
      <c r="X197" s="72" t="s">
        <v>1480</v>
      </c>
      <c r="Y197" s="72">
        <v>2</v>
      </c>
      <c r="Z197" s="72"/>
    </row>
    <row r="198" spans="1:26" ht="15" customHeight="1" x14ac:dyDescent="0.25">
      <c r="A198" s="68">
        <v>218</v>
      </c>
      <c r="B198" s="69" t="s">
        <v>182</v>
      </c>
      <c r="C198" s="68" t="s">
        <v>1554</v>
      </c>
      <c r="D198" s="68" t="s">
        <v>1555</v>
      </c>
      <c r="E198" s="68" t="s">
        <v>885</v>
      </c>
      <c r="F198" s="68" t="s">
        <v>56</v>
      </c>
      <c r="G198" s="68" t="s">
        <v>6</v>
      </c>
      <c r="H198" s="68" t="s">
        <v>888</v>
      </c>
      <c r="I198" s="68">
        <v>1217</v>
      </c>
      <c r="J198" s="68" t="s">
        <v>1425</v>
      </c>
      <c r="K198" s="68" t="s">
        <v>1556</v>
      </c>
      <c r="L198" s="70">
        <v>18</v>
      </c>
      <c r="M198" s="71" t="s">
        <v>979</v>
      </c>
      <c r="N198" s="72" t="s">
        <v>809</v>
      </c>
      <c r="O198" s="68">
        <v>400</v>
      </c>
      <c r="P198" s="69" t="str">
        <f t="shared" si="37"/>
        <v>Thai Chicken Money Bags FR 18G - GFF169R</v>
      </c>
      <c r="Q198" s="72"/>
      <c r="R198" s="72"/>
      <c r="S198" s="72"/>
      <c r="T198" s="72"/>
      <c r="U198" s="72"/>
      <c r="V198" s="72">
        <v>0</v>
      </c>
      <c r="W198" s="72" t="s">
        <v>1435</v>
      </c>
      <c r="X198" s="72" t="s">
        <v>1480</v>
      </c>
      <c r="Y198" s="72">
        <v>2</v>
      </c>
      <c r="Z198" s="72"/>
    </row>
    <row r="199" spans="1:26" ht="15" customHeight="1" x14ac:dyDescent="0.25">
      <c r="A199" s="68">
        <v>219</v>
      </c>
      <c r="B199" s="69" t="s">
        <v>182</v>
      </c>
      <c r="C199" s="68" t="s">
        <v>942</v>
      </c>
      <c r="D199" s="68" t="s">
        <v>1427</v>
      </c>
      <c r="E199" s="68" t="s">
        <v>885</v>
      </c>
      <c r="F199" s="68" t="s">
        <v>56</v>
      </c>
      <c r="G199" s="68" t="s">
        <v>6</v>
      </c>
      <c r="H199" s="68" t="s">
        <v>888</v>
      </c>
      <c r="I199" s="68">
        <v>1218</v>
      </c>
      <c r="J199" s="68" t="s">
        <v>1428</v>
      </c>
      <c r="K199" s="68" t="s">
        <v>1429</v>
      </c>
      <c r="L199" s="70">
        <v>150</v>
      </c>
      <c r="M199" s="71" t="s">
        <v>980</v>
      </c>
      <c r="N199" s="72" t="s">
        <v>809</v>
      </c>
      <c r="O199" s="68">
        <v>1</v>
      </c>
      <c r="P199" s="69" t="str">
        <f t="shared" si="37"/>
        <v>Macaroni &amp; Cheese Roll 150G - TBC</v>
      </c>
      <c r="Q199" s="72"/>
      <c r="R199" s="72">
        <f t="shared" ref="R199" si="42">($Q199/5)*4</f>
        <v>0</v>
      </c>
      <c r="S199" s="72">
        <f t="shared" ref="S199" si="43">($Q199/5)*3</f>
        <v>0</v>
      </c>
      <c r="T199" s="72">
        <f t="shared" ref="T199" si="44">($Q199/5)*2</f>
        <v>0</v>
      </c>
      <c r="U199" s="72">
        <f t="shared" ref="U199" si="45">($Q199/5)*1</f>
        <v>0</v>
      </c>
      <c r="V199" s="72">
        <v>0</v>
      </c>
      <c r="W199" s="72" t="s">
        <v>1436</v>
      </c>
      <c r="X199" s="72" t="s">
        <v>982</v>
      </c>
      <c r="Y199" s="72" t="s">
        <v>982</v>
      </c>
      <c r="Z199" s="72"/>
    </row>
    <row r="200" spans="1:26" ht="15" customHeight="1" x14ac:dyDescent="0.25">
      <c r="A200" s="68">
        <v>220</v>
      </c>
      <c r="B200" s="69" t="s">
        <v>182</v>
      </c>
      <c r="C200" s="68" t="s">
        <v>1438</v>
      </c>
      <c r="D200" s="68" t="s">
        <v>1440</v>
      </c>
      <c r="E200" s="68" t="s">
        <v>886</v>
      </c>
      <c r="F200" s="68" t="s">
        <v>1177</v>
      </c>
      <c r="G200" s="68" t="s">
        <v>6</v>
      </c>
      <c r="H200" s="68" t="s">
        <v>888</v>
      </c>
      <c r="I200" s="68">
        <v>1219</v>
      </c>
      <c r="J200" s="68" t="s">
        <v>1442</v>
      </c>
      <c r="K200" s="68" t="s">
        <v>1444</v>
      </c>
      <c r="L200" s="70"/>
      <c r="M200" s="71" t="s">
        <v>980</v>
      </c>
      <c r="N200" s="72" t="s">
        <v>809</v>
      </c>
      <c r="O200" s="68">
        <v>1</v>
      </c>
      <c r="P200" s="69" t="str">
        <f t="shared" si="37"/>
        <v>Rice Noodles - R1 - GFF176R</v>
      </c>
      <c r="Q200" s="72"/>
      <c r="R200" s="72"/>
      <c r="S200" s="72"/>
      <c r="T200" s="72"/>
      <c r="U200" s="72"/>
      <c r="V200" s="72">
        <v>0</v>
      </c>
      <c r="W200" s="72" t="s">
        <v>1435</v>
      </c>
      <c r="X200" s="72" t="s">
        <v>982</v>
      </c>
      <c r="Y200" s="72" t="s">
        <v>982</v>
      </c>
      <c r="Z200" s="72"/>
    </row>
    <row r="201" spans="1:26" ht="15" customHeight="1" x14ac:dyDescent="0.25">
      <c r="A201" s="68">
        <v>221</v>
      </c>
      <c r="B201" s="69" t="s">
        <v>182</v>
      </c>
      <c r="C201" s="68" t="s">
        <v>1439</v>
      </c>
      <c r="D201" s="68" t="s">
        <v>1441</v>
      </c>
      <c r="E201" s="68" t="s">
        <v>886</v>
      </c>
      <c r="F201" s="68" t="s">
        <v>1177</v>
      </c>
      <c r="G201" s="68" t="s">
        <v>6</v>
      </c>
      <c r="H201" s="68" t="s">
        <v>888</v>
      </c>
      <c r="I201" s="68">
        <v>1220</v>
      </c>
      <c r="J201" s="68" t="s">
        <v>1443</v>
      </c>
      <c r="K201" s="68" t="s">
        <v>1445</v>
      </c>
      <c r="L201" s="70"/>
      <c r="M201" s="71" t="s">
        <v>979</v>
      </c>
      <c r="N201" s="72" t="s">
        <v>809</v>
      </c>
      <c r="O201" s="68">
        <v>1</v>
      </c>
      <c r="P201" s="69" t="str">
        <f t="shared" si="37"/>
        <v>Egg Noodles - R1 - GFF177R</v>
      </c>
      <c r="Q201" s="72"/>
      <c r="R201" s="72"/>
      <c r="S201" s="72"/>
      <c r="T201" s="72"/>
      <c r="U201" s="72"/>
      <c r="V201" s="72">
        <v>0</v>
      </c>
      <c r="W201" s="72" t="s">
        <v>1435</v>
      </c>
      <c r="X201" s="72" t="s">
        <v>1497</v>
      </c>
      <c r="Y201" s="72">
        <v>2</v>
      </c>
      <c r="Z201" s="72"/>
    </row>
    <row r="202" spans="1:26" ht="15" customHeight="1" x14ac:dyDescent="0.25">
      <c r="A202" s="68">
        <v>222</v>
      </c>
      <c r="B202" s="69" t="s">
        <v>1449</v>
      </c>
      <c r="C202" s="2" t="s">
        <v>1624</v>
      </c>
      <c r="D202" s="68" t="s">
        <v>1448</v>
      </c>
      <c r="E202" s="2" t="s">
        <v>1628</v>
      </c>
      <c r="F202" s="68" t="s">
        <v>128</v>
      </c>
      <c r="G202" s="68" t="s">
        <v>17</v>
      </c>
      <c r="H202" s="68" t="s">
        <v>888</v>
      </c>
      <c r="I202" s="68">
        <v>1221</v>
      </c>
      <c r="J202" s="68" t="s">
        <v>1447</v>
      </c>
      <c r="K202" s="68" t="s">
        <v>1448</v>
      </c>
      <c r="L202" s="70"/>
      <c r="M202" s="71" t="s">
        <v>979</v>
      </c>
      <c r="N202" s="72" t="s">
        <v>809</v>
      </c>
      <c r="O202" s="68">
        <v>1</v>
      </c>
      <c r="P202" s="69" t="str">
        <f t="shared" si="37"/>
        <v>Chicken Goujons - GFF1221</v>
      </c>
      <c r="Q202" s="72"/>
      <c r="R202" s="72"/>
      <c r="S202" s="72"/>
      <c r="T202" s="72"/>
      <c r="U202" s="72"/>
      <c r="V202" s="72">
        <v>0</v>
      </c>
      <c r="W202" s="72" t="s">
        <v>1435</v>
      </c>
      <c r="X202" s="1" t="s">
        <v>1500</v>
      </c>
      <c r="Y202" s="1">
        <v>2</v>
      </c>
      <c r="Z202" s="1"/>
    </row>
    <row r="203" spans="1:26" x14ac:dyDescent="0.25">
      <c r="A203" s="68">
        <v>223</v>
      </c>
      <c r="B203" s="69" t="s">
        <v>182</v>
      </c>
      <c r="C203" s="68" t="s">
        <v>1339</v>
      </c>
      <c r="D203" s="68" t="s">
        <v>824</v>
      </c>
      <c r="E203" s="68" t="s">
        <v>885</v>
      </c>
      <c r="F203" s="68" t="s">
        <v>40</v>
      </c>
      <c r="G203" s="68" t="s">
        <v>6</v>
      </c>
      <c r="H203" s="68" t="s">
        <v>888</v>
      </c>
      <c r="I203" s="68">
        <v>1222</v>
      </c>
      <c r="J203" s="68" t="s">
        <v>1450</v>
      </c>
      <c r="K203" s="68" t="s">
        <v>1451</v>
      </c>
      <c r="L203" s="70">
        <v>30</v>
      </c>
      <c r="M203" s="71" t="s">
        <v>980</v>
      </c>
      <c r="N203" s="72" t="s">
        <v>814</v>
      </c>
      <c r="O203" s="68">
        <v>550</v>
      </c>
      <c r="P203" s="69" t="str">
        <f t="shared" si="37"/>
        <v>Onion Bhaji Cocktail 30G - Apetito - GFF009-4R</v>
      </c>
      <c r="Q203" s="72">
        <v>50</v>
      </c>
      <c r="R203" s="72">
        <f t="shared" ref="R203" si="46">($Q203/5)*4</f>
        <v>40</v>
      </c>
      <c r="S203" s="72">
        <f t="shared" ref="S203" si="47">($Q203/5)*3</f>
        <v>30</v>
      </c>
      <c r="T203" s="72">
        <f t="shared" ref="T203" si="48">($Q203/5)*2</f>
        <v>20</v>
      </c>
      <c r="U203" s="72">
        <f t="shared" ref="U203" si="49">($Q203/5)*1</f>
        <v>10</v>
      </c>
      <c r="V203" s="72">
        <v>0</v>
      </c>
      <c r="W203" s="72" t="s">
        <v>1435</v>
      </c>
      <c r="X203" s="72" t="s">
        <v>1501</v>
      </c>
      <c r="Y203" s="72">
        <v>3</v>
      </c>
      <c r="Z203" s="72"/>
    </row>
    <row r="204" spans="1:26" ht="15" customHeight="1" x14ac:dyDescent="0.25">
      <c r="A204" s="68">
        <v>224</v>
      </c>
      <c r="B204" s="69" t="s">
        <v>182</v>
      </c>
      <c r="C204" s="68" t="s">
        <v>896</v>
      </c>
      <c r="D204" s="68" t="s">
        <v>821</v>
      </c>
      <c r="E204" s="68" t="s">
        <v>885</v>
      </c>
      <c r="F204" s="68" t="s">
        <v>23</v>
      </c>
      <c r="G204" s="68" t="s">
        <v>6</v>
      </c>
      <c r="H204" s="68" t="s">
        <v>888</v>
      </c>
      <c r="I204" s="68">
        <v>1223</v>
      </c>
      <c r="J204" s="68" t="s">
        <v>1452</v>
      </c>
      <c r="K204" s="68" t="s">
        <v>1453</v>
      </c>
      <c r="L204" s="70">
        <v>50</v>
      </c>
      <c r="M204" s="71" t="s">
        <v>979</v>
      </c>
      <c r="N204" s="72" t="s">
        <v>809</v>
      </c>
      <c r="O204" s="68">
        <v>1800</v>
      </c>
      <c r="P204" s="69" t="str">
        <f t="shared" si="37"/>
        <v>Lamb Samosa Medium 50G - GFF005R</v>
      </c>
      <c r="Q204" s="72">
        <v>26</v>
      </c>
      <c r="R204" s="72">
        <v>20.8</v>
      </c>
      <c r="S204" s="72">
        <v>15.6</v>
      </c>
      <c r="T204" s="72">
        <v>10.4</v>
      </c>
      <c r="U204" s="72">
        <v>5.2</v>
      </c>
      <c r="V204" s="72">
        <v>1</v>
      </c>
      <c r="W204" s="72" t="s">
        <v>1435</v>
      </c>
      <c r="X204" s="72" t="s">
        <v>1502</v>
      </c>
      <c r="Y204" s="72">
        <v>3</v>
      </c>
      <c r="Z204" s="72"/>
    </row>
    <row r="205" spans="1:26" ht="15" customHeight="1" x14ac:dyDescent="0.25">
      <c r="A205" s="68">
        <v>225</v>
      </c>
      <c r="B205" s="69" t="s">
        <v>182</v>
      </c>
      <c r="C205" s="68" t="s">
        <v>894</v>
      </c>
      <c r="D205" s="68" t="s">
        <v>825</v>
      </c>
      <c r="E205" s="68" t="s">
        <v>885</v>
      </c>
      <c r="F205" s="68" t="s">
        <v>4</v>
      </c>
      <c r="G205" s="68" t="s">
        <v>6</v>
      </c>
      <c r="H205" s="68" t="s">
        <v>888</v>
      </c>
      <c r="I205" s="68">
        <v>1224</v>
      </c>
      <c r="J205" s="68" t="s">
        <v>1454</v>
      </c>
      <c r="K205" s="68" t="s">
        <v>1455</v>
      </c>
      <c r="L205" s="70">
        <v>50</v>
      </c>
      <c r="M205" s="71" t="s">
        <v>979</v>
      </c>
      <c r="N205" s="72" t="s">
        <v>809</v>
      </c>
      <c r="O205" s="68">
        <v>1500</v>
      </c>
      <c r="P205" s="69" t="str">
        <f t="shared" si="37"/>
        <v>Chicken Tikka Samosa Cocktail 50G - GFF004R</v>
      </c>
      <c r="Q205" s="72">
        <v>26</v>
      </c>
      <c r="R205" s="72">
        <v>20.8</v>
      </c>
      <c r="S205" s="72">
        <v>15.6</v>
      </c>
      <c r="T205" s="72">
        <v>10.4</v>
      </c>
      <c r="U205" s="72">
        <v>5.2</v>
      </c>
      <c r="V205" s="72">
        <v>1</v>
      </c>
      <c r="W205" s="72" t="s">
        <v>1435</v>
      </c>
      <c r="X205" s="72" t="s">
        <v>1499</v>
      </c>
      <c r="Y205" s="72">
        <v>3</v>
      </c>
      <c r="Z205" s="72"/>
    </row>
    <row r="206" spans="1:26" ht="15" customHeight="1" x14ac:dyDescent="0.25">
      <c r="A206" s="68">
        <v>226</v>
      </c>
      <c r="B206" s="69" t="s">
        <v>182</v>
      </c>
      <c r="C206" s="68" t="s">
        <v>890</v>
      </c>
      <c r="D206" s="68" t="s">
        <v>819</v>
      </c>
      <c r="E206" s="68" t="s">
        <v>885</v>
      </c>
      <c r="F206" s="68" t="s">
        <v>13</v>
      </c>
      <c r="G206" s="68" t="s">
        <v>6</v>
      </c>
      <c r="H206" s="68" t="s">
        <v>888</v>
      </c>
      <c r="I206" s="68">
        <v>1225</v>
      </c>
      <c r="J206" s="68" t="s">
        <v>1456</v>
      </c>
      <c r="K206" s="68" t="s">
        <v>1457</v>
      </c>
      <c r="L206" s="70">
        <v>50</v>
      </c>
      <c r="M206" s="71" t="s">
        <v>980</v>
      </c>
      <c r="N206" s="72" t="s">
        <v>809</v>
      </c>
      <c r="O206" s="68">
        <v>1600</v>
      </c>
      <c r="P206" s="69" t="str">
        <f t="shared" si="37"/>
        <v>Vegetable Samosa Cocktail 50G - GFF003R</v>
      </c>
      <c r="Q206" s="72">
        <v>26</v>
      </c>
      <c r="R206" s="72">
        <v>20.8</v>
      </c>
      <c r="S206" s="72">
        <v>15.6</v>
      </c>
      <c r="T206" s="72">
        <v>10.4</v>
      </c>
      <c r="U206" s="72">
        <v>5.2</v>
      </c>
      <c r="V206" s="72">
        <v>1</v>
      </c>
      <c r="W206" s="72" t="s">
        <v>1435</v>
      </c>
      <c r="X206" s="72" t="s">
        <v>1501</v>
      </c>
      <c r="Y206" s="72">
        <v>3</v>
      </c>
      <c r="Z206" s="72"/>
    </row>
    <row r="207" spans="1:26" ht="15" customHeight="1" x14ac:dyDescent="0.25">
      <c r="A207" s="68">
        <v>227</v>
      </c>
      <c r="B207" s="69" t="s">
        <v>1458</v>
      </c>
      <c r="C207" s="2" t="s">
        <v>1731</v>
      </c>
      <c r="D207" s="68" t="s">
        <v>1459</v>
      </c>
      <c r="E207" s="68" t="s">
        <v>885</v>
      </c>
      <c r="F207" s="68" t="s">
        <v>102</v>
      </c>
      <c r="G207" s="68" t="s">
        <v>17</v>
      </c>
      <c r="H207" s="68" t="s">
        <v>888</v>
      </c>
      <c r="I207" s="68">
        <v>1226</v>
      </c>
      <c r="J207" s="68" t="s">
        <v>1460</v>
      </c>
      <c r="K207" s="68" t="s">
        <v>1461</v>
      </c>
      <c r="L207" s="70">
        <v>50</v>
      </c>
      <c r="M207" s="71" t="s">
        <v>979</v>
      </c>
      <c r="N207" s="72" t="s">
        <v>809</v>
      </c>
      <c r="O207" s="68">
        <v>1</v>
      </c>
      <c r="P207" s="69" t="str">
        <f t="shared" si="37"/>
        <v>Chicken Charcoal Kebabs 50G - SUR001-01</v>
      </c>
      <c r="Q207" s="72"/>
      <c r="R207" s="72"/>
      <c r="S207" s="72"/>
      <c r="T207" s="72"/>
      <c r="U207" s="72"/>
      <c r="V207" s="72"/>
      <c r="W207" s="72" t="s">
        <v>1437</v>
      </c>
      <c r="X207" s="1" t="s">
        <v>982</v>
      </c>
      <c r="Y207" s="1" t="s">
        <v>982</v>
      </c>
      <c r="Z207" s="1" t="s">
        <v>2228</v>
      </c>
    </row>
    <row r="208" spans="1:26" ht="15" customHeight="1" x14ac:dyDescent="0.25">
      <c r="A208" s="68">
        <v>228</v>
      </c>
      <c r="B208" s="69" t="s">
        <v>1458</v>
      </c>
      <c r="C208" s="68" t="s">
        <v>1007</v>
      </c>
      <c r="D208" s="68" t="s">
        <v>1459</v>
      </c>
      <c r="E208" s="68" t="s">
        <v>885</v>
      </c>
      <c r="F208" s="68" t="s">
        <v>102</v>
      </c>
      <c r="G208" s="68" t="s">
        <v>17</v>
      </c>
      <c r="H208" s="68" t="s">
        <v>888</v>
      </c>
      <c r="I208" s="68">
        <v>1227</v>
      </c>
      <c r="J208" s="68" t="s">
        <v>1462</v>
      </c>
      <c r="K208" s="68" t="s">
        <v>1463</v>
      </c>
      <c r="L208" s="70">
        <v>25</v>
      </c>
      <c r="M208" s="71" t="s">
        <v>979</v>
      </c>
      <c r="N208" s="72" t="s">
        <v>809</v>
      </c>
      <c r="O208" s="68">
        <v>1</v>
      </c>
      <c r="P208" s="69" t="str">
        <f t="shared" si="37"/>
        <v>Chicken Charcoal Kebabs 25G - None</v>
      </c>
      <c r="Q208" s="72"/>
      <c r="R208" s="72"/>
      <c r="S208" s="72"/>
      <c r="T208" s="72"/>
      <c r="U208" s="72"/>
      <c r="V208" s="72"/>
      <c r="W208" s="72" t="s">
        <v>1437</v>
      </c>
      <c r="X208" s="1" t="s">
        <v>982</v>
      </c>
      <c r="Y208" s="1" t="s">
        <v>982</v>
      </c>
      <c r="Z208" s="1" t="s">
        <v>2228</v>
      </c>
    </row>
    <row r="209" spans="1:26" ht="15" customHeight="1" x14ac:dyDescent="0.25">
      <c r="A209" s="68">
        <v>229</v>
      </c>
      <c r="B209" s="69" t="s">
        <v>1458</v>
      </c>
      <c r="C209" s="2" t="s">
        <v>1732</v>
      </c>
      <c r="D209" s="68" t="s">
        <v>1464</v>
      </c>
      <c r="E209" s="68" t="s">
        <v>885</v>
      </c>
      <c r="F209" s="68" t="s">
        <v>102</v>
      </c>
      <c r="G209" s="68" t="s">
        <v>17</v>
      </c>
      <c r="H209" s="68" t="s">
        <v>888</v>
      </c>
      <c r="I209" s="68">
        <v>1228</v>
      </c>
      <c r="J209" s="68" t="s">
        <v>1465</v>
      </c>
      <c r="K209" s="68" t="s">
        <v>1466</v>
      </c>
      <c r="L209" s="70">
        <v>50</v>
      </c>
      <c r="M209" s="71" t="s">
        <v>979</v>
      </c>
      <c r="N209" s="72" t="s">
        <v>809</v>
      </c>
      <c r="O209" s="68">
        <v>1</v>
      </c>
      <c r="P209" s="69" t="str">
        <f t="shared" si="37"/>
        <v>Lamb Charcoal Kebabs 50G - SUR001-02</v>
      </c>
      <c r="Q209" s="72"/>
      <c r="R209" s="72"/>
      <c r="S209" s="72"/>
      <c r="T209" s="72"/>
      <c r="U209" s="72"/>
      <c r="V209" s="72"/>
      <c r="W209" s="72" t="s">
        <v>1437</v>
      </c>
      <c r="X209" s="1" t="s">
        <v>982</v>
      </c>
      <c r="Y209" s="1" t="s">
        <v>982</v>
      </c>
      <c r="Z209" s="1" t="s">
        <v>2227</v>
      </c>
    </row>
    <row r="210" spans="1:26" ht="15" customHeight="1" x14ac:dyDescent="0.25">
      <c r="A210" s="68">
        <v>230</v>
      </c>
      <c r="B210" s="69" t="s">
        <v>182</v>
      </c>
      <c r="C210" s="68" t="s">
        <v>1473</v>
      </c>
      <c r="D210" s="68" t="s">
        <v>1468</v>
      </c>
      <c r="E210" s="68" t="s">
        <v>886</v>
      </c>
      <c r="F210" s="68" t="s">
        <v>1414</v>
      </c>
      <c r="G210" s="68" t="s">
        <v>6</v>
      </c>
      <c r="H210" s="68" t="s">
        <v>888</v>
      </c>
      <c r="I210" s="68">
        <v>1229</v>
      </c>
      <c r="J210" s="68" t="s">
        <v>1469</v>
      </c>
      <c r="K210" s="68" t="s">
        <v>1468</v>
      </c>
      <c r="L210" s="70"/>
      <c r="M210" s="71" t="s">
        <v>979</v>
      </c>
      <c r="N210" s="72" t="s">
        <v>809</v>
      </c>
      <c r="O210" s="68">
        <v>1</v>
      </c>
      <c r="P210" s="69" t="str">
        <f t="shared" si="37"/>
        <v>Beef Keema Aloo - GFF178R</v>
      </c>
      <c r="Q210" s="72"/>
      <c r="R210" s="72"/>
      <c r="S210" s="72"/>
      <c r="T210" s="72"/>
      <c r="U210" s="72"/>
      <c r="V210" s="72"/>
      <c r="W210" s="72" t="s">
        <v>1435</v>
      </c>
      <c r="X210" s="72" t="s">
        <v>1480</v>
      </c>
      <c r="Y210" s="72">
        <v>2</v>
      </c>
      <c r="Z210" s="72"/>
    </row>
    <row r="211" spans="1:26" ht="15" customHeight="1" x14ac:dyDescent="0.25">
      <c r="A211" s="68">
        <v>231</v>
      </c>
      <c r="B211" s="69" t="s">
        <v>182</v>
      </c>
      <c r="C211" s="68" t="s">
        <v>1474</v>
      </c>
      <c r="D211" s="68" t="s">
        <v>1470</v>
      </c>
      <c r="E211" s="68" t="s">
        <v>886</v>
      </c>
      <c r="F211" s="68" t="s">
        <v>62</v>
      </c>
      <c r="G211" s="68" t="s">
        <v>6</v>
      </c>
      <c r="H211" s="68" t="s">
        <v>888</v>
      </c>
      <c r="I211" s="68">
        <v>1230</v>
      </c>
      <c r="J211" s="68" t="s">
        <v>1471</v>
      </c>
      <c r="K211" s="68" t="s">
        <v>1470</v>
      </c>
      <c r="L211" s="70"/>
      <c r="M211" s="71" t="s">
        <v>980</v>
      </c>
      <c r="N211" s="72" t="s">
        <v>809</v>
      </c>
      <c r="O211" s="68">
        <v>1</v>
      </c>
      <c r="P211" s="69" t="str">
        <f t="shared" si="37"/>
        <v>Chole Aloo - GFF179R</v>
      </c>
      <c r="Q211" s="72"/>
      <c r="R211" s="72"/>
      <c r="S211" s="72"/>
      <c r="T211" s="72"/>
      <c r="U211" s="72"/>
      <c r="V211" s="72"/>
      <c r="W211" s="72" t="s">
        <v>1435</v>
      </c>
      <c r="X211" s="72" t="s">
        <v>1498</v>
      </c>
      <c r="Y211" s="72">
        <v>3</v>
      </c>
      <c r="Z211" s="72"/>
    </row>
    <row r="212" spans="1:26" ht="15" customHeight="1" x14ac:dyDescent="0.25">
      <c r="A212" s="68">
        <v>232</v>
      </c>
      <c r="B212" s="69" t="s">
        <v>182</v>
      </c>
      <c r="C212" s="68" t="s">
        <v>1508</v>
      </c>
      <c r="D212" s="68" t="s">
        <v>1510</v>
      </c>
      <c r="E212" s="68" t="s">
        <v>886</v>
      </c>
      <c r="F212" s="68" t="s">
        <v>62</v>
      </c>
      <c r="G212" s="68" t="s">
        <v>6</v>
      </c>
      <c r="H212" s="68" t="s">
        <v>888</v>
      </c>
      <c r="I212" s="68">
        <v>1231</v>
      </c>
      <c r="J212" s="68" t="s">
        <v>1504</v>
      </c>
      <c r="K212" s="68" t="s">
        <v>1510</v>
      </c>
      <c r="L212" s="70"/>
      <c r="M212" s="71" t="s">
        <v>979</v>
      </c>
      <c r="N212" s="72" t="s">
        <v>809</v>
      </c>
      <c r="O212" s="68">
        <v>1</v>
      </c>
      <c r="P212" s="69" t="str">
        <f t="shared" si="37"/>
        <v>Chicken Saag Masala (Chapatiman) - GFF180R</v>
      </c>
      <c r="Q212" s="72"/>
      <c r="R212" s="72"/>
      <c r="S212" s="72"/>
      <c r="T212" s="72"/>
      <c r="U212" s="72"/>
      <c r="V212" s="72"/>
      <c r="W212" s="72" t="s">
        <v>1435</v>
      </c>
      <c r="X212" s="72" t="s">
        <v>1484</v>
      </c>
      <c r="Y212" s="72">
        <v>2</v>
      </c>
      <c r="Z212" s="72"/>
    </row>
    <row r="213" spans="1:26" ht="15" customHeight="1" x14ac:dyDescent="0.25">
      <c r="A213" s="68">
        <v>233</v>
      </c>
      <c r="B213" s="69" t="s">
        <v>182</v>
      </c>
      <c r="C213" s="68" t="s">
        <v>1509</v>
      </c>
      <c r="D213" s="68" t="s">
        <v>1511</v>
      </c>
      <c r="E213" s="68" t="s">
        <v>886</v>
      </c>
      <c r="F213" s="68" t="s">
        <v>62</v>
      </c>
      <c r="G213" s="68" t="s">
        <v>6</v>
      </c>
      <c r="H213" s="68" t="s">
        <v>888</v>
      </c>
      <c r="I213" s="68">
        <v>1232</v>
      </c>
      <c r="J213" s="68" t="s">
        <v>1505</v>
      </c>
      <c r="K213" s="68" t="s">
        <v>1511</v>
      </c>
      <c r="L213" s="70"/>
      <c r="M213" s="71" t="s">
        <v>979</v>
      </c>
      <c r="N213" s="72" t="s">
        <v>809</v>
      </c>
      <c r="O213" s="68">
        <v>1</v>
      </c>
      <c r="P213" s="69" t="str">
        <f t="shared" si="37"/>
        <v>Masala Chicken (Chapatiman) - GFF181R</v>
      </c>
      <c r="Q213" s="72"/>
      <c r="R213" s="72"/>
      <c r="S213" s="72"/>
      <c r="T213" s="72"/>
      <c r="U213" s="72"/>
      <c r="V213" s="72"/>
      <c r="W213" s="72" t="s">
        <v>1435</v>
      </c>
      <c r="X213" s="72" t="s">
        <v>1507</v>
      </c>
      <c r="Y213" s="72">
        <v>2</v>
      </c>
      <c r="Z213" s="72"/>
    </row>
    <row r="214" spans="1:26" ht="15" customHeight="1" x14ac:dyDescent="0.25">
      <c r="A214" s="68">
        <v>234</v>
      </c>
      <c r="B214" s="69" t="s">
        <v>182</v>
      </c>
      <c r="C214" s="68" t="s">
        <v>1543</v>
      </c>
      <c r="D214" s="68" t="s">
        <v>1516</v>
      </c>
      <c r="E214" s="68" t="s">
        <v>885</v>
      </c>
      <c r="F214" s="68" t="s">
        <v>23</v>
      </c>
      <c r="G214" s="68" t="s">
        <v>6</v>
      </c>
      <c r="H214" s="68" t="s">
        <v>888</v>
      </c>
      <c r="I214" s="68">
        <v>1233</v>
      </c>
      <c r="J214" s="68" t="s">
        <v>1517</v>
      </c>
      <c r="K214" s="68" t="s">
        <v>1518</v>
      </c>
      <c r="L214" s="70">
        <v>100</v>
      </c>
      <c r="M214" s="71" t="s">
        <v>979</v>
      </c>
      <c r="N214" s="72" t="s">
        <v>809</v>
      </c>
      <c r="O214" s="68">
        <v>340</v>
      </c>
      <c r="P214" s="69" t="str">
        <f t="shared" si="37"/>
        <v>Lamb Samosa Large 100G- R1 (British) - GFF182R</v>
      </c>
      <c r="Q214" s="72">
        <v>16</v>
      </c>
      <c r="R214" s="72">
        <v>12.8</v>
      </c>
      <c r="S214" s="72">
        <v>9.6</v>
      </c>
      <c r="T214" s="72">
        <v>6.4</v>
      </c>
      <c r="U214" s="72">
        <v>3.2</v>
      </c>
      <c r="V214" s="72">
        <v>4</v>
      </c>
      <c r="W214" s="72" t="s">
        <v>1435</v>
      </c>
      <c r="X214" s="72" t="s">
        <v>1502</v>
      </c>
      <c r="Y214" s="72">
        <v>3</v>
      </c>
      <c r="Z214" s="72"/>
    </row>
    <row r="215" spans="1:26" x14ac:dyDescent="0.25">
      <c r="A215" s="68">
        <v>235</v>
      </c>
      <c r="B215" s="69" t="s">
        <v>182</v>
      </c>
      <c r="C215" s="68" t="s">
        <v>1519</v>
      </c>
      <c r="D215" s="68" t="s">
        <v>1520</v>
      </c>
      <c r="E215" s="68" t="s">
        <v>885</v>
      </c>
      <c r="F215" s="68" t="s">
        <v>102</v>
      </c>
      <c r="G215" s="68" t="s">
        <v>6</v>
      </c>
      <c r="H215" s="68" t="s">
        <v>888</v>
      </c>
      <c r="I215" s="68">
        <v>1234</v>
      </c>
      <c r="J215" s="68" t="s">
        <v>1521</v>
      </c>
      <c r="K215" s="68" t="s">
        <v>1522</v>
      </c>
      <c r="L215" s="70">
        <v>12</v>
      </c>
      <c r="M215" s="71" t="s">
        <v>979</v>
      </c>
      <c r="N215" s="72" t="s">
        <v>809</v>
      </c>
      <c r="O215" s="68">
        <v>1034</v>
      </c>
      <c r="P215" s="69" t="str">
        <f t="shared" si="37"/>
        <v>Chicken Tikka Bites 12G - GFF183R</v>
      </c>
      <c r="Q215" s="72"/>
      <c r="R215" s="72"/>
      <c r="S215" s="72"/>
      <c r="T215" s="72"/>
      <c r="U215" s="72"/>
      <c r="V215" s="72"/>
      <c r="W215" s="72"/>
      <c r="X215" s="72" t="s">
        <v>982</v>
      </c>
      <c r="Y215" s="72" t="s">
        <v>982</v>
      </c>
      <c r="Z215" s="72"/>
    </row>
    <row r="216" spans="1:26" x14ac:dyDescent="0.25">
      <c r="A216" s="68">
        <v>236</v>
      </c>
      <c r="B216" s="69" t="s">
        <v>182</v>
      </c>
      <c r="C216" s="68" t="s">
        <v>1523</v>
      </c>
      <c r="D216" s="2" t="s">
        <v>1850</v>
      </c>
      <c r="E216" s="68" t="s">
        <v>885</v>
      </c>
      <c r="F216" s="68" t="s">
        <v>40</v>
      </c>
      <c r="G216" s="68" t="s">
        <v>6</v>
      </c>
      <c r="H216" s="68" t="s">
        <v>888</v>
      </c>
      <c r="I216" s="68">
        <v>1235</v>
      </c>
      <c r="J216" s="68" t="s">
        <v>1524</v>
      </c>
      <c r="K216" s="2" t="s">
        <v>1851</v>
      </c>
      <c r="L216" s="70">
        <v>20</v>
      </c>
      <c r="M216" s="71" t="s">
        <v>980</v>
      </c>
      <c r="N216" s="72" t="s">
        <v>814</v>
      </c>
      <c r="O216" s="68">
        <v>350</v>
      </c>
      <c r="P216" s="69" t="str">
        <f t="shared" si="37"/>
        <v>Carrot &amp; Coriander Bhaji 20G - R1 - GFF184R</v>
      </c>
      <c r="Q216" s="72">
        <v>75</v>
      </c>
      <c r="R216" s="72">
        <f t="shared" ref="R216:R217" si="50">($Q216/5)*4</f>
        <v>60</v>
      </c>
      <c r="S216" s="72">
        <f t="shared" ref="S216:S217" si="51">($Q216/5)*3</f>
        <v>45</v>
      </c>
      <c r="T216" s="72">
        <f t="shared" ref="T216:T217" si="52">($Q216/5)*2</f>
        <v>30</v>
      </c>
      <c r="U216" s="72">
        <f t="shared" ref="U216:U217" si="53">($Q216/5)*1</f>
        <v>15</v>
      </c>
      <c r="V216" s="72">
        <v>0</v>
      </c>
      <c r="W216" s="72" t="s">
        <v>1435</v>
      </c>
      <c r="X216" s="1" t="s">
        <v>1498</v>
      </c>
      <c r="Y216" s="79">
        <v>3</v>
      </c>
      <c r="Z216" s="79"/>
    </row>
    <row r="217" spans="1:26" x14ac:dyDescent="0.25">
      <c r="A217" s="68">
        <v>237</v>
      </c>
      <c r="B217" s="69" t="s">
        <v>182</v>
      </c>
      <c r="C217" s="68" t="s">
        <v>1525</v>
      </c>
      <c r="D217" s="68" t="s">
        <v>1526</v>
      </c>
      <c r="E217" s="68" t="s">
        <v>885</v>
      </c>
      <c r="F217" s="68" t="s">
        <v>40</v>
      </c>
      <c r="G217" s="68" t="s">
        <v>6</v>
      </c>
      <c r="H217" s="68" t="s">
        <v>888</v>
      </c>
      <c r="I217" s="68">
        <v>1236</v>
      </c>
      <c r="J217" s="68" t="s">
        <v>1527</v>
      </c>
      <c r="K217" s="68" t="s">
        <v>1528</v>
      </c>
      <c r="L217" s="70">
        <v>20</v>
      </c>
      <c r="M217" s="71" t="s">
        <v>980</v>
      </c>
      <c r="N217" s="72" t="s">
        <v>814</v>
      </c>
      <c r="O217" s="68">
        <v>950</v>
      </c>
      <c r="P217" s="69" t="str">
        <f t="shared" si="37"/>
        <v>Spinach Pakora 20G - GFF033R</v>
      </c>
      <c r="Q217" s="72">
        <v>75</v>
      </c>
      <c r="R217" s="72">
        <f t="shared" si="50"/>
        <v>60</v>
      </c>
      <c r="S217" s="72">
        <f t="shared" si="51"/>
        <v>45</v>
      </c>
      <c r="T217" s="72">
        <f t="shared" si="52"/>
        <v>30</v>
      </c>
      <c r="U217" s="72">
        <f t="shared" si="53"/>
        <v>15</v>
      </c>
      <c r="V217" s="72"/>
      <c r="W217" s="72" t="s">
        <v>1435</v>
      </c>
      <c r="X217" s="72" t="s">
        <v>1501</v>
      </c>
      <c r="Y217" s="72">
        <v>3</v>
      </c>
      <c r="Z217" s="72"/>
    </row>
    <row r="218" spans="1:26" x14ac:dyDescent="0.25">
      <c r="A218" s="68">
        <v>238</v>
      </c>
      <c r="B218" s="78" t="s">
        <v>1634</v>
      </c>
      <c r="C218" s="2" t="s">
        <v>1635</v>
      </c>
      <c r="D218" s="68" t="s">
        <v>863</v>
      </c>
      <c r="E218" s="68" t="s">
        <v>130</v>
      </c>
      <c r="F218" s="68" t="s">
        <v>130</v>
      </c>
      <c r="G218" s="68" t="s">
        <v>17</v>
      </c>
      <c r="H218" s="68" t="s">
        <v>888</v>
      </c>
      <c r="I218" s="68">
        <v>1237</v>
      </c>
      <c r="J218" s="68" t="s">
        <v>1530</v>
      </c>
      <c r="K218" s="68" t="s">
        <v>1532</v>
      </c>
      <c r="L218" s="70">
        <v>30</v>
      </c>
      <c r="M218" s="71" t="s">
        <v>980</v>
      </c>
      <c r="N218" s="72" t="s">
        <v>809</v>
      </c>
      <c r="O218" s="68">
        <v>1</v>
      </c>
      <c r="P218" s="69" t="str">
        <f t="shared" si="37"/>
        <v>Mint raita Dip 30G - P&amp;B001-01</v>
      </c>
      <c r="Q218" s="72"/>
      <c r="R218" s="72"/>
      <c r="S218" s="72"/>
      <c r="T218" s="72"/>
      <c r="U218" s="72"/>
      <c r="V218" s="72"/>
      <c r="W218" s="72" t="s">
        <v>1435</v>
      </c>
      <c r="X218" s="72" t="s">
        <v>982</v>
      </c>
      <c r="Y218" s="72" t="s">
        <v>982</v>
      </c>
      <c r="Z218" s="72"/>
    </row>
    <row r="219" spans="1:26" x14ac:dyDescent="0.25">
      <c r="A219" s="68">
        <v>239</v>
      </c>
      <c r="B219" s="78" t="s">
        <v>1634</v>
      </c>
      <c r="C219" s="2" t="s">
        <v>1636</v>
      </c>
      <c r="D219" s="68" t="s">
        <v>1529</v>
      </c>
      <c r="E219" s="68" t="s">
        <v>130</v>
      </c>
      <c r="F219" s="68" t="s">
        <v>130</v>
      </c>
      <c r="G219" s="68" t="s">
        <v>17</v>
      </c>
      <c r="H219" s="68" t="s">
        <v>888</v>
      </c>
      <c r="I219" s="68">
        <v>1238</v>
      </c>
      <c r="J219" s="68" t="s">
        <v>1531</v>
      </c>
      <c r="K219" s="68" t="s">
        <v>1533</v>
      </c>
      <c r="L219" s="70">
        <v>30</v>
      </c>
      <c r="M219" s="71" t="s">
        <v>980</v>
      </c>
      <c r="N219" s="72" t="s">
        <v>809</v>
      </c>
      <c r="O219" s="68">
        <v>1</v>
      </c>
      <c r="P219" s="69" t="str">
        <f t="shared" si="37"/>
        <v>Mango Dip 30G - P&amp;B001-02</v>
      </c>
      <c r="Q219" s="72"/>
      <c r="R219" s="72"/>
      <c r="S219" s="72"/>
      <c r="T219" s="72"/>
      <c r="U219" s="72"/>
      <c r="V219" s="72"/>
      <c r="W219" s="72" t="s">
        <v>1435</v>
      </c>
      <c r="X219" s="72" t="s">
        <v>982</v>
      </c>
      <c r="Y219" s="72" t="s">
        <v>982</v>
      </c>
      <c r="Z219" s="72"/>
    </row>
    <row r="220" spans="1:26" x14ac:dyDescent="0.25">
      <c r="A220" s="68">
        <v>240</v>
      </c>
      <c r="B220" s="69" t="s">
        <v>182</v>
      </c>
      <c r="C220" s="68" t="s">
        <v>1534</v>
      </c>
      <c r="D220" s="68" t="s">
        <v>1537</v>
      </c>
      <c r="E220" s="68" t="s">
        <v>886</v>
      </c>
      <c r="F220" s="68" t="s">
        <v>1414</v>
      </c>
      <c r="G220" s="68" t="s">
        <v>6</v>
      </c>
      <c r="H220" s="68" t="s">
        <v>888</v>
      </c>
      <c r="I220" s="68">
        <v>1239</v>
      </c>
      <c r="J220" s="68" t="s">
        <v>1535</v>
      </c>
      <c r="K220" s="68" t="s">
        <v>1536</v>
      </c>
      <c r="L220" s="70"/>
      <c r="M220" s="71" t="s">
        <v>979</v>
      </c>
      <c r="N220" s="72" t="s">
        <v>809</v>
      </c>
      <c r="O220" s="68">
        <v>1</v>
      </c>
      <c r="P220" s="69" t="str">
        <f t="shared" si="37"/>
        <v>Chilli Con Carne - GFF186R</v>
      </c>
      <c r="Q220" s="72"/>
      <c r="R220" s="72"/>
      <c r="S220" s="72"/>
      <c r="T220" s="72"/>
      <c r="U220" s="72"/>
      <c r="V220" s="72"/>
      <c r="W220" s="72" t="s">
        <v>1435</v>
      </c>
      <c r="X220" s="72" t="s">
        <v>982</v>
      </c>
      <c r="Y220" s="72" t="s">
        <v>982</v>
      </c>
      <c r="Z220" s="72"/>
    </row>
    <row r="221" spans="1:26" x14ac:dyDescent="0.25">
      <c r="A221" s="68">
        <v>241</v>
      </c>
      <c r="B221" s="69" t="s">
        <v>182</v>
      </c>
      <c r="C221" s="68" t="s">
        <v>1538</v>
      </c>
      <c r="D221" s="68" t="s">
        <v>1539</v>
      </c>
      <c r="E221" s="68" t="s">
        <v>886</v>
      </c>
      <c r="F221" s="68" t="s">
        <v>1540</v>
      </c>
      <c r="G221" s="68" t="s">
        <v>6</v>
      </c>
      <c r="H221" s="68" t="s">
        <v>888</v>
      </c>
      <c r="I221" s="68">
        <v>1240</v>
      </c>
      <c r="J221" s="68" t="s">
        <v>1541</v>
      </c>
      <c r="K221" s="68" t="s">
        <v>1539</v>
      </c>
      <c r="L221" s="70"/>
      <c r="M221" s="71" t="s">
        <v>980</v>
      </c>
      <c r="N221" s="72" t="s">
        <v>809</v>
      </c>
      <c r="O221" s="68">
        <v>1</v>
      </c>
      <c r="P221" s="69" t="str">
        <f t="shared" si="37"/>
        <v>Steamed Rice - GFF185R</v>
      </c>
      <c r="Q221" s="72"/>
      <c r="R221" s="72"/>
      <c r="S221" s="72"/>
      <c r="T221" s="72"/>
      <c r="U221" s="72"/>
      <c r="V221" s="72"/>
      <c r="W221" s="72" t="s">
        <v>1435</v>
      </c>
      <c r="X221" s="72" t="s">
        <v>982</v>
      </c>
      <c r="Y221" s="72" t="s">
        <v>982</v>
      </c>
      <c r="Z221" s="72"/>
    </row>
    <row r="222" spans="1:26" x14ac:dyDescent="0.25">
      <c r="A222" s="68">
        <v>242</v>
      </c>
      <c r="B222" s="69" t="s">
        <v>182</v>
      </c>
      <c r="C222" s="68" t="s">
        <v>1546</v>
      </c>
      <c r="D222" s="68" t="s">
        <v>1549</v>
      </c>
      <c r="E222" s="68" t="s">
        <v>885</v>
      </c>
      <c r="F222" s="68" t="s">
        <v>102</v>
      </c>
      <c r="G222" s="68" t="s">
        <v>6</v>
      </c>
      <c r="H222" s="68" t="s">
        <v>888</v>
      </c>
      <c r="I222" s="68">
        <v>1241</v>
      </c>
      <c r="J222" s="68" t="s">
        <v>1547</v>
      </c>
      <c r="K222" s="68" t="s">
        <v>1548</v>
      </c>
      <c r="L222" s="70">
        <v>20</v>
      </c>
      <c r="M222" s="71" t="s">
        <v>979</v>
      </c>
      <c r="N222" s="72" t="s">
        <v>809</v>
      </c>
      <c r="O222" s="68">
        <v>450</v>
      </c>
      <c r="P222" s="69" t="str">
        <f t="shared" si="37"/>
        <v>Chicken Tikka Skewers FR 20G - GFF167R</v>
      </c>
      <c r="Q222" s="72"/>
      <c r="R222" s="72"/>
      <c r="S222" s="72"/>
      <c r="T222" s="72"/>
      <c r="U222" s="72"/>
      <c r="V222" s="72"/>
      <c r="W222" s="72" t="s">
        <v>1435</v>
      </c>
      <c r="X222" s="72" t="s">
        <v>1480</v>
      </c>
      <c r="Y222" s="72">
        <v>2</v>
      </c>
      <c r="Z222" s="72"/>
    </row>
    <row r="223" spans="1:26" x14ac:dyDescent="0.25">
      <c r="A223" s="68">
        <v>243</v>
      </c>
      <c r="B223" s="69" t="s">
        <v>182</v>
      </c>
      <c r="C223" s="68" t="s">
        <v>1550</v>
      </c>
      <c r="D223" s="68" t="s">
        <v>1551</v>
      </c>
      <c r="E223" s="68" t="s">
        <v>885</v>
      </c>
      <c r="F223" s="68" t="s">
        <v>102</v>
      </c>
      <c r="G223" s="68" t="s">
        <v>6</v>
      </c>
      <c r="H223" s="68" t="s">
        <v>888</v>
      </c>
      <c r="I223" s="68">
        <v>1242</v>
      </c>
      <c r="J223" s="68" t="s">
        <v>1552</v>
      </c>
      <c r="K223" s="68" t="s">
        <v>1553</v>
      </c>
      <c r="L223" s="70">
        <v>20</v>
      </c>
      <c r="M223" s="71" t="s">
        <v>979</v>
      </c>
      <c r="N223" s="72" t="s">
        <v>809</v>
      </c>
      <c r="O223" s="68">
        <v>450</v>
      </c>
      <c r="P223" s="69" t="str">
        <f t="shared" si="37"/>
        <v>Chicken Korma Skewers FR 20G - GFF168R</v>
      </c>
      <c r="Q223" s="72"/>
      <c r="R223" s="72"/>
      <c r="S223" s="72"/>
      <c r="T223" s="72"/>
      <c r="U223" s="72"/>
      <c r="V223" s="72"/>
      <c r="W223" s="72" t="s">
        <v>1435</v>
      </c>
      <c r="X223" s="72" t="s">
        <v>1490</v>
      </c>
      <c r="Y223" s="72">
        <v>2</v>
      </c>
      <c r="Z223" s="72"/>
    </row>
    <row r="224" spans="1:26" x14ac:dyDescent="0.25">
      <c r="A224" s="68">
        <v>244</v>
      </c>
      <c r="B224" s="69" t="s">
        <v>153</v>
      </c>
      <c r="C224" s="68" t="s">
        <v>2159</v>
      </c>
      <c r="D224" s="68" t="s">
        <v>1559</v>
      </c>
      <c r="E224" s="68" t="s">
        <v>885</v>
      </c>
      <c r="F224" s="68" t="s">
        <v>1281</v>
      </c>
      <c r="G224" s="68" t="s">
        <v>17</v>
      </c>
      <c r="H224" s="68" t="s">
        <v>939</v>
      </c>
      <c r="I224" s="68">
        <v>1243</v>
      </c>
      <c r="J224" s="68" t="s">
        <v>1558</v>
      </c>
      <c r="K224" s="68" t="s">
        <v>1559</v>
      </c>
      <c r="L224" s="70">
        <v>20</v>
      </c>
      <c r="M224" s="71" t="s">
        <v>979</v>
      </c>
      <c r="N224" s="72" t="s">
        <v>814</v>
      </c>
      <c r="O224" s="68">
        <v>1</v>
      </c>
      <c r="P224" s="69" t="str">
        <f t="shared" si="37"/>
        <v>Penang Prawn Parcel 20G - TRA003-03</v>
      </c>
      <c r="Q224" s="72"/>
      <c r="R224" s="72"/>
      <c r="S224" s="72"/>
      <c r="T224" s="72"/>
      <c r="U224" s="72"/>
      <c r="V224" s="72"/>
      <c r="W224" s="72" t="s">
        <v>1437</v>
      </c>
      <c r="X224" s="72" t="s">
        <v>982</v>
      </c>
      <c r="Y224" s="72" t="s">
        <v>982</v>
      </c>
      <c r="Z224" s="72"/>
    </row>
    <row r="225" spans="1:26" x14ac:dyDescent="0.25">
      <c r="A225" s="68">
        <v>245</v>
      </c>
      <c r="B225" s="69" t="s">
        <v>182</v>
      </c>
      <c r="C225" s="68" t="s">
        <v>1560</v>
      </c>
      <c r="D225" s="2" t="s">
        <v>1721</v>
      </c>
      <c r="E225" s="68" t="s">
        <v>885</v>
      </c>
      <c r="F225" s="68" t="s">
        <v>128</v>
      </c>
      <c r="G225" s="68" t="s">
        <v>6</v>
      </c>
      <c r="H225" s="68" t="s">
        <v>939</v>
      </c>
      <c r="I225" s="68">
        <v>1244</v>
      </c>
      <c r="J225" s="68" t="s">
        <v>1561</v>
      </c>
      <c r="K225" s="2" t="s">
        <v>1717</v>
      </c>
      <c r="L225" s="70">
        <v>20</v>
      </c>
      <c r="M225" s="71" t="s">
        <v>979</v>
      </c>
      <c r="N225" s="72" t="s">
        <v>809</v>
      </c>
      <c r="O225" s="68">
        <v>450</v>
      </c>
      <c r="P225" s="69" t="str">
        <f t="shared" si="37"/>
        <v>British Chicken With Plum &amp; Hoisin 20G - GFF188R</v>
      </c>
      <c r="Q225" s="72"/>
      <c r="R225" s="72">
        <f t="shared" ref="R225:R226" si="54">($Q225/5)*4</f>
        <v>0</v>
      </c>
      <c r="S225" s="72">
        <f t="shared" ref="S225:S226" si="55">($Q225/5)*3</f>
        <v>0</v>
      </c>
      <c r="T225" s="72">
        <f t="shared" ref="T225:T226" si="56">($Q225/5)*2</f>
        <v>0</v>
      </c>
      <c r="U225" s="72">
        <f t="shared" ref="U225:U226" si="57">($Q225/5)*1</f>
        <v>0</v>
      </c>
      <c r="V225" s="72"/>
      <c r="W225" s="72" t="s">
        <v>1435</v>
      </c>
      <c r="X225" s="72" t="s">
        <v>1562</v>
      </c>
      <c r="Y225" s="72">
        <v>3</v>
      </c>
      <c r="Z225" s="72"/>
    </row>
    <row r="226" spans="1:26" x14ac:dyDescent="0.25">
      <c r="A226" s="68">
        <v>246</v>
      </c>
      <c r="B226" s="69" t="s">
        <v>182</v>
      </c>
      <c r="C226" s="68" t="s">
        <v>1563</v>
      </c>
      <c r="D226" s="2" t="s">
        <v>1722</v>
      </c>
      <c r="E226" s="68" t="s">
        <v>885</v>
      </c>
      <c r="F226" s="68" t="s">
        <v>128</v>
      </c>
      <c r="G226" s="68" t="s">
        <v>6</v>
      </c>
      <c r="H226" s="68" t="s">
        <v>939</v>
      </c>
      <c r="I226" s="68">
        <v>1245</v>
      </c>
      <c r="J226" s="68" t="s">
        <v>1564</v>
      </c>
      <c r="K226" s="2" t="s">
        <v>1718</v>
      </c>
      <c r="L226" s="70">
        <v>20</v>
      </c>
      <c r="M226" s="71" t="s">
        <v>979</v>
      </c>
      <c r="N226" s="72" t="s">
        <v>809</v>
      </c>
      <c r="O226" s="68">
        <v>450</v>
      </c>
      <c r="P226" s="69" t="str">
        <f t="shared" si="37"/>
        <v>British Chicken With Sweet Chilli &amp; Coriander 20G - GFF189R</v>
      </c>
      <c r="Q226" s="72"/>
      <c r="R226" s="72">
        <f t="shared" si="54"/>
        <v>0</v>
      </c>
      <c r="S226" s="72">
        <f t="shared" si="55"/>
        <v>0</v>
      </c>
      <c r="T226" s="72">
        <f t="shared" si="56"/>
        <v>0</v>
      </c>
      <c r="U226" s="72">
        <f t="shared" si="57"/>
        <v>0</v>
      </c>
      <c r="V226" s="72"/>
      <c r="W226" s="72" t="s">
        <v>1435</v>
      </c>
      <c r="X226" s="72" t="s">
        <v>1565</v>
      </c>
      <c r="Y226" s="72">
        <v>3</v>
      </c>
      <c r="Z226" s="72"/>
    </row>
    <row r="227" spans="1:26" x14ac:dyDescent="0.25">
      <c r="A227" s="68">
        <v>247</v>
      </c>
      <c r="B227" s="69" t="s">
        <v>182</v>
      </c>
      <c r="C227" s="68" t="s">
        <v>1566</v>
      </c>
      <c r="D227" s="68" t="s">
        <v>1567</v>
      </c>
      <c r="E227" s="68" t="s">
        <v>885</v>
      </c>
      <c r="F227" s="68" t="s">
        <v>128</v>
      </c>
      <c r="G227" s="68" t="s">
        <v>6</v>
      </c>
      <c r="H227" s="68" t="s">
        <v>939</v>
      </c>
      <c r="I227" s="68">
        <v>1246</v>
      </c>
      <c r="J227" s="68" t="s">
        <v>1568</v>
      </c>
      <c r="K227" s="68" t="s">
        <v>1569</v>
      </c>
      <c r="L227" s="70">
        <v>12</v>
      </c>
      <c r="M227" s="71" t="s">
        <v>979</v>
      </c>
      <c r="N227" s="72" t="s">
        <v>809</v>
      </c>
      <c r="O227" s="68">
        <v>1050</v>
      </c>
      <c r="P227" s="69" t="str">
        <f t="shared" si="37"/>
        <v>Chicken Mushroom Vol Au Vents 12G - GFF190R</v>
      </c>
      <c r="Q227" s="72"/>
      <c r="R227" s="72">
        <f>($Q227/5)*4</f>
        <v>0</v>
      </c>
      <c r="S227" s="72">
        <f>($Q227/5)*3</f>
        <v>0</v>
      </c>
      <c r="T227" s="72">
        <f>($Q227/5)*2</f>
        <v>0</v>
      </c>
      <c r="U227" s="72">
        <f>($Q227/5)*1</f>
        <v>0</v>
      </c>
      <c r="V227" s="72"/>
      <c r="W227" s="72" t="s">
        <v>1435</v>
      </c>
      <c r="X227" s="72" t="s">
        <v>1507</v>
      </c>
      <c r="Y227" s="72">
        <v>2</v>
      </c>
      <c r="Z227" s="72"/>
    </row>
    <row r="228" spans="1:26" x14ac:dyDescent="0.25">
      <c r="A228" s="68">
        <v>248</v>
      </c>
      <c r="B228" s="69" t="s">
        <v>182</v>
      </c>
      <c r="C228" s="68" t="s">
        <v>1570</v>
      </c>
      <c r="D228" s="68" t="s">
        <v>1571</v>
      </c>
      <c r="E228" s="68" t="s">
        <v>885</v>
      </c>
      <c r="F228" s="68" t="s">
        <v>128</v>
      </c>
      <c r="G228" s="68" t="s">
        <v>6</v>
      </c>
      <c r="H228" s="68" t="s">
        <v>939</v>
      </c>
      <c r="I228" s="68">
        <v>1247</v>
      </c>
      <c r="J228" s="68" t="s">
        <v>1573</v>
      </c>
      <c r="K228" s="68" t="s">
        <v>1572</v>
      </c>
      <c r="L228" s="70">
        <v>12</v>
      </c>
      <c r="M228" s="71" t="s">
        <v>979</v>
      </c>
      <c r="N228" s="72" t="s">
        <v>809</v>
      </c>
      <c r="O228" s="68">
        <v>800</v>
      </c>
      <c r="P228" s="69" t="str">
        <f t="shared" si="37"/>
        <v>Sundried Tomato &amp; Goat Cheese Vol Au Vents 12G - GFF192R</v>
      </c>
      <c r="Q228" s="72"/>
      <c r="R228" s="72">
        <f>($Q228/5)*4</f>
        <v>0</v>
      </c>
      <c r="S228" s="72">
        <f>($Q228/5)*3</f>
        <v>0</v>
      </c>
      <c r="T228" s="72">
        <f>($Q228/5)*2</f>
        <v>0</v>
      </c>
      <c r="U228" s="72">
        <f>($Q228/5)*1</f>
        <v>0</v>
      </c>
      <c r="V228" s="72"/>
      <c r="W228" s="72" t="s">
        <v>1435</v>
      </c>
      <c r="X228" s="72" t="s">
        <v>1480</v>
      </c>
      <c r="Y228" s="72">
        <v>2</v>
      </c>
      <c r="Z228" s="72"/>
    </row>
    <row r="229" spans="1:26" x14ac:dyDescent="0.25">
      <c r="A229" s="68">
        <v>249</v>
      </c>
      <c r="B229" s="69"/>
      <c r="C229" s="68" t="s">
        <v>1007</v>
      </c>
      <c r="D229" s="68" t="s">
        <v>1574</v>
      </c>
      <c r="E229" s="68" t="s">
        <v>885</v>
      </c>
      <c r="F229" s="68" t="s">
        <v>128</v>
      </c>
      <c r="G229" s="68" t="s">
        <v>17</v>
      </c>
      <c r="H229" s="68" t="s">
        <v>939</v>
      </c>
      <c r="I229" s="68">
        <v>1248</v>
      </c>
      <c r="J229" s="68" t="s">
        <v>1575</v>
      </c>
      <c r="K229" s="68" t="s">
        <v>1576</v>
      </c>
      <c r="L229" s="70">
        <v>45</v>
      </c>
      <c r="M229" s="71" t="s">
        <v>979</v>
      </c>
      <c r="N229" s="72" t="s">
        <v>809</v>
      </c>
      <c r="O229" s="68">
        <f>1505/45</f>
        <v>33.444444444444443</v>
      </c>
      <c r="P229" s="69" t="str">
        <f t="shared" si="37"/>
        <v>Crispy Battered Chicken 45G - None</v>
      </c>
      <c r="Q229" s="72"/>
      <c r="R229" s="72"/>
      <c r="S229" s="72"/>
      <c r="T229" s="72"/>
      <c r="U229" s="72"/>
      <c r="V229" s="72"/>
      <c r="W229" s="72" t="s">
        <v>1437</v>
      </c>
      <c r="X229" s="72" t="s">
        <v>982</v>
      </c>
      <c r="Y229" s="72" t="s">
        <v>982</v>
      </c>
      <c r="Z229" s="72"/>
    </row>
    <row r="230" spans="1:26" x14ac:dyDescent="0.25">
      <c r="A230" s="68">
        <v>250</v>
      </c>
      <c r="B230" s="78" t="s">
        <v>2456</v>
      </c>
      <c r="C230" s="2" t="s">
        <v>2721</v>
      </c>
      <c r="D230" s="68" t="s">
        <v>1583</v>
      </c>
      <c r="E230" s="68" t="s">
        <v>130</v>
      </c>
      <c r="F230" s="68" t="s">
        <v>130</v>
      </c>
      <c r="G230" s="68" t="s">
        <v>17</v>
      </c>
      <c r="H230" s="68" t="s">
        <v>939</v>
      </c>
      <c r="I230" s="68">
        <v>1249</v>
      </c>
      <c r="J230" s="68" t="s">
        <v>1577</v>
      </c>
      <c r="K230" s="68" t="s">
        <v>1582</v>
      </c>
      <c r="L230" s="70">
        <v>40</v>
      </c>
      <c r="M230" s="71" t="s">
        <v>979</v>
      </c>
      <c r="N230" s="72" t="s">
        <v>809</v>
      </c>
      <c r="O230" s="68">
        <v>1</v>
      </c>
      <c r="P230" s="69" t="str">
        <f t="shared" si="37"/>
        <v>Garlic Mayonnaise 40G - PIQ001-03</v>
      </c>
      <c r="Q230" s="72"/>
      <c r="R230" s="72"/>
      <c r="S230" s="72"/>
      <c r="T230" s="72"/>
      <c r="U230" s="72"/>
      <c r="V230" s="72">
        <v>0</v>
      </c>
      <c r="W230" s="72" t="s">
        <v>1435</v>
      </c>
      <c r="X230" s="72" t="s">
        <v>982</v>
      </c>
      <c r="Y230" s="72" t="s">
        <v>982</v>
      </c>
      <c r="Z230" s="72"/>
    </row>
    <row r="231" spans="1:26" x14ac:dyDescent="0.25">
      <c r="A231" s="68">
        <v>251</v>
      </c>
      <c r="B231" s="69" t="s">
        <v>182</v>
      </c>
      <c r="C231" s="68" t="s">
        <v>1578</v>
      </c>
      <c r="D231" s="68" t="s">
        <v>1464</v>
      </c>
      <c r="E231" s="68" t="s">
        <v>885</v>
      </c>
      <c r="F231" s="68" t="s">
        <v>102</v>
      </c>
      <c r="G231" s="68" t="s">
        <v>6</v>
      </c>
      <c r="H231" s="68" t="s">
        <v>939</v>
      </c>
      <c r="I231" s="68">
        <v>1250</v>
      </c>
      <c r="J231" s="68" t="s">
        <v>1579</v>
      </c>
      <c r="K231" s="2" t="s">
        <v>1715</v>
      </c>
      <c r="L231" s="70">
        <v>20</v>
      </c>
      <c r="M231" s="71" t="s">
        <v>979</v>
      </c>
      <c r="N231" s="72" t="s">
        <v>809</v>
      </c>
      <c r="O231" s="68">
        <v>1700</v>
      </c>
      <c r="P231" s="69" t="str">
        <f t="shared" si="37"/>
        <v>British Lamb Kebabs 20G - GFF187R</v>
      </c>
      <c r="Q231" s="72"/>
      <c r="R231" s="72">
        <f t="shared" ref="R231" si="58">($Q231/5)*4</f>
        <v>0</v>
      </c>
      <c r="S231" s="72">
        <f t="shared" ref="S231" si="59">($Q231/5)*3</f>
        <v>0</v>
      </c>
      <c r="T231" s="72">
        <f t="shared" ref="T231" si="60">($Q231/5)*2</f>
        <v>0</v>
      </c>
      <c r="U231" s="72">
        <f t="shared" ref="U231" si="61">($Q231/5)*1</f>
        <v>0</v>
      </c>
      <c r="V231" s="72"/>
      <c r="W231" s="72" t="s">
        <v>1435</v>
      </c>
      <c r="X231" s="72" t="s">
        <v>1507</v>
      </c>
      <c r="Y231" s="72">
        <v>2</v>
      </c>
      <c r="Z231" s="72"/>
    </row>
    <row r="232" spans="1:26" x14ac:dyDescent="0.25">
      <c r="A232" s="68">
        <v>252</v>
      </c>
      <c r="B232" s="69" t="s">
        <v>182</v>
      </c>
      <c r="C232" s="68" t="s">
        <v>1543</v>
      </c>
      <c r="D232" s="68" t="s">
        <v>1516</v>
      </c>
      <c r="E232" s="68" t="s">
        <v>885</v>
      </c>
      <c r="F232" s="68" t="s">
        <v>23</v>
      </c>
      <c r="G232" s="68" t="s">
        <v>6</v>
      </c>
      <c r="H232" s="68" t="s">
        <v>888</v>
      </c>
      <c r="I232" s="68">
        <v>1251</v>
      </c>
      <c r="J232" s="68" t="s">
        <v>1580</v>
      </c>
      <c r="K232" s="68" t="s">
        <v>1584</v>
      </c>
      <c r="L232" s="70">
        <v>25</v>
      </c>
      <c r="M232" s="71" t="s">
        <v>979</v>
      </c>
      <c r="N232" s="72" t="s">
        <v>809</v>
      </c>
      <c r="O232" s="68">
        <v>1960</v>
      </c>
      <c r="P232" s="69" t="str">
        <f t="shared" si="37"/>
        <v>Lamb Samosa Cocktail 25G- R1 (British) - GFF182R</v>
      </c>
      <c r="Q232" s="72">
        <v>26</v>
      </c>
      <c r="R232" s="72">
        <v>20.8</v>
      </c>
      <c r="S232" s="72">
        <v>15.6</v>
      </c>
      <c r="T232" s="72">
        <v>10.4</v>
      </c>
      <c r="U232" s="72">
        <v>5.2</v>
      </c>
      <c r="V232" s="72">
        <v>8</v>
      </c>
      <c r="W232" s="72" t="s">
        <v>1435</v>
      </c>
      <c r="X232" s="72" t="s">
        <v>1502</v>
      </c>
      <c r="Y232" s="72">
        <v>3</v>
      </c>
      <c r="Z232" s="72"/>
    </row>
    <row r="233" spans="1:26" x14ac:dyDescent="0.25">
      <c r="A233" s="68">
        <v>253</v>
      </c>
      <c r="B233" s="69" t="s">
        <v>182</v>
      </c>
      <c r="C233" s="68" t="s">
        <v>1585</v>
      </c>
      <c r="D233" s="2" t="s">
        <v>1420</v>
      </c>
      <c r="E233" s="68" t="s">
        <v>885</v>
      </c>
      <c r="F233" s="68" t="s">
        <v>102</v>
      </c>
      <c r="G233" s="68" t="s">
        <v>6</v>
      </c>
      <c r="H233" s="68" t="s">
        <v>939</v>
      </c>
      <c r="I233" s="68">
        <v>1252</v>
      </c>
      <c r="J233" s="68" t="s">
        <v>1586</v>
      </c>
      <c r="K233" s="68" t="s">
        <v>1587</v>
      </c>
      <c r="L233" s="70">
        <v>20</v>
      </c>
      <c r="M233" s="71" t="s">
        <v>979</v>
      </c>
      <c r="N233" s="72" t="s">
        <v>809</v>
      </c>
      <c r="O233" s="68">
        <v>480</v>
      </c>
      <c r="P233" s="69" t="str">
        <f t="shared" si="37"/>
        <v>Chicken Tikka Kebabs 20G - GFF012-1R</v>
      </c>
      <c r="Q233" s="72"/>
      <c r="R233" s="72">
        <f t="shared" ref="R233" si="62">($Q233/5)*4</f>
        <v>0</v>
      </c>
      <c r="S233" s="72">
        <f t="shared" ref="S233" si="63">($Q233/5)*3</f>
        <v>0</v>
      </c>
      <c r="T233" s="72">
        <f t="shared" ref="T233" si="64">($Q233/5)*2</f>
        <v>0</v>
      </c>
      <c r="U233" s="72">
        <f t="shared" ref="U233" si="65">($Q233/5)*1</f>
        <v>0</v>
      </c>
      <c r="V233" s="72"/>
      <c r="W233" s="72" t="s">
        <v>1435</v>
      </c>
      <c r="X233" s="72" t="s">
        <v>1507</v>
      </c>
      <c r="Y233" s="72">
        <v>2</v>
      </c>
      <c r="Z233" s="72"/>
    </row>
    <row r="234" spans="1:26" x14ac:dyDescent="0.25">
      <c r="A234" s="68">
        <v>254</v>
      </c>
      <c r="B234" s="69" t="s">
        <v>182</v>
      </c>
      <c r="C234" s="68" t="s">
        <v>1588</v>
      </c>
      <c r="D234" s="68" t="s">
        <v>1590</v>
      </c>
      <c r="E234" s="68" t="s">
        <v>886</v>
      </c>
      <c r="F234" s="68" t="s">
        <v>56</v>
      </c>
      <c r="G234" s="68" t="s">
        <v>6</v>
      </c>
      <c r="H234" s="68" t="s">
        <v>888</v>
      </c>
      <c r="I234" s="68">
        <v>1253</v>
      </c>
      <c r="J234" s="68" t="s">
        <v>1589</v>
      </c>
      <c r="K234" s="68" t="s">
        <v>1590</v>
      </c>
      <c r="L234" s="70"/>
      <c r="M234" s="71" t="s">
        <v>980</v>
      </c>
      <c r="N234" s="72" t="s">
        <v>809</v>
      </c>
      <c r="O234" s="68">
        <v>1</v>
      </c>
      <c r="P234" s="69" t="str">
        <f t="shared" si="37"/>
        <v>Roasted Sweet Potatoes - GFF194R</v>
      </c>
      <c r="Q234" s="72"/>
      <c r="R234" s="72"/>
      <c r="S234" s="72"/>
      <c r="T234" s="72"/>
      <c r="U234" s="72"/>
      <c r="V234" s="72"/>
      <c r="W234" s="72" t="s">
        <v>1435</v>
      </c>
      <c r="X234" s="72" t="s">
        <v>982</v>
      </c>
      <c r="Y234" s="72" t="s">
        <v>982</v>
      </c>
      <c r="Z234" s="72"/>
    </row>
    <row r="235" spans="1:26" x14ac:dyDescent="0.25">
      <c r="A235" s="68">
        <v>255</v>
      </c>
      <c r="B235" s="69" t="s">
        <v>182</v>
      </c>
      <c r="C235" s="2" t="s">
        <v>1597</v>
      </c>
      <c r="D235" s="2" t="s">
        <v>1598</v>
      </c>
      <c r="E235" s="68" t="s">
        <v>885</v>
      </c>
      <c r="F235" s="68" t="s">
        <v>51</v>
      </c>
      <c r="G235" s="68" t="s">
        <v>6</v>
      </c>
      <c r="H235" s="68" t="s">
        <v>939</v>
      </c>
      <c r="I235" s="68">
        <v>1254</v>
      </c>
      <c r="J235" s="2" t="s">
        <v>1599</v>
      </c>
      <c r="K235" s="2" t="s">
        <v>1600</v>
      </c>
      <c r="L235" s="70">
        <v>20</v>
      </c>
      <c r="M235" s="71" t="s">
        <v>979</v>
      </c>
      <c r="N235" s="72" t="s">
        <v>809</v>
      </c>
      <c r="O235" s="68">
        <v>400</v>
      </c>
      <c r="P235" s="69" t="str">
        <f t="shared" si="37"/>
        <v>British Chicken Pakora 18-20G - GFF195R</v>
      </c>
      <c r="Q235" s="72"/>
      <c r="R235" s="72"/>
      <c r="S235" s="72"/>
      <c r="T235" s="72">
        <v>1</v>
      </c>
      <c r="U235" s="72">
        <v>0.5</v>
      </c>
      <c r="V235" s="72">
        <v>0</v>
      </c>
      <c r="W235" s="72" t="s">
        <v>1435</v>
      </c>
      <c r="X235" s="72" t="s">
        <v>1481</v>
      </c>
      <c r="Y235" s="72">
        <v>3</v>
      </c>
      <c r="Z235" s="72"/>
    </row>
    <row r="236" spans="1:26" x14ac:dyDescent="0.25">
      <c r="A236" s="68">
        <v>256</v>
      </c>
      <c r="B236" s="78" t="s">
        <v>1607</v>
      </c>
      <c r="C236" s="2" t="s">
        <v>1625</v>
      </c>
      <c r="D236" s="2" t="s">
        <v>1603</v>
      </c>
      <c r="E236" s="68" t="s">
        <v>886</v>
      </c>
      <c r="F236" s="2" t="s">
        <v>1604</v>
      </c>
      <c r="G236" s="68" t="s">
        <v>17</v>
      </c>
      <c r="H236" s="68" t="s">
        <v>888</v>
      </c>
      <c r="I236" s="68">
        <v>1255</v>
      </c>
      <c r="J236" s="2" t="s">
        <v>1605</v>
      </c>
      <c r="K236" s="68" t="s">
        <v>1606</v>
      </c>
      <c r="L236" s="70"/>
      <c r="M236" s="71" t="s">
        <v>980</v>
      </c>
      <c r="N236" s="72" t="s">
        <v>809</v>
      </c>
      <c r="O236" s="68">
        <v>1</v>
      </c>
      <c r="P236" s="69" t="str">
        <f t="shared" si="37"/>
        <v>Cooked Pasta Gramigna IQF (Mac and Cheese) - GFF1255</v>
      </c>
      <c r="Q236" s="72"/>
      <c r="R236" s="72"/>
      <c r="S236" s="72"/>
      <c r="T236" s="72"/>
      <c r="U236" s="72"/>
      <c r="V236" s="72"/>
      <c r="W236" s="72" t="s">
        <v>1435</v>
      </c>
      <c r="X236" s="1" t="s">
        <v>1501</v>
      </c>
      <c r="Y236" s="1">
        <v>3</v>
      </c>
      <c r="Z236" s="1"/>
    </row>
    <row r="237" spans="1:26" x14ac:dyDescent="0.25">
      <c r="A237" s="68">
        <v>257</v>
      </c>
      <c r="B237" s="78" t="s">
        <v>1608</v>
      </c>
      <c r="C237" s="2" t="s">
        <v>1626</v>
      </c>
      <c r="D237" s="68" t="s">
        <v>1609</v>
      </c>
      <c r="E237" s="68" t="s">
        <v>886</v>
      </c>
      <c r="F237" s="2" t="s">
        <v>1610</v>
      </c>
      <c r="G237" s="68" t="s">
        <v>17</v>
      </c>
      <c r="H237" s="68" t="s">
        <v>888</v>
      </c>
      <c r="I237" s="68">
        <v>1256</v>
      </c>
      <c r="J237" s="2" t="s">
        <v>1611</v>
      </c>
      <c r="K237" s="68" t="s">
        <v>1609</v>
      </c>
      <c r="L237" s="70"/>
      <c r="M237" s="71" t="s">
        <v>980</v>
      </c>
      <c r="N237" s="72" t="s">
        <v>809</v>
      </c>
      <c r="O237" s="68">
        <v>1</v>
      </c>
      <c r="P237" s="69" t="str">
        <f t="shared" si="37"/>
        <v>Grated Butler Secret Cheddar Cheese - GFF1256</v>
      </c>
      <c r="Q237" s="72"/>
      <c r="R237" s="72"/>
      <c r="S237" s="72"/>
      <c r="T237" s="72"/>
      <c r="U237" s="72"/>
      <c r="V237" s="72"/>
      <c r="W237" s="72" t="s">
        <v>1435</v>
      </c>
      <c r="X237" s="1" t="s">
        <v>1480</v>
      </c>
      <c r="Y237" s="1">
        <v>2</v>
      </c>
      <c r="Z237" s="1"/>
    </row>
    <row r="238" spans="1:26" x14ac:dyDescent="0.25">
      <c r="A238" s="68">
        <v>258</v>
      </c>
      <c r="B238" s="78" t="s">
        <v>182</v>
      </c>
      <c r="C238" s="2" t="s">
        <v>1602</v>
      </c>
      <c r="D238" s="2" t="s">
        <v>1612</v>
      </c>
      <c r="E238" s="68" t="s">
        <v>886</v>
      </c>
      <c r="F238" s="2" t="s">
        <v>56</v>
      </c>
      <c r="G238" s="68" t="s">
        <v>6</v>
      </c>
      <c r="H238" s="68" t="s">
        <v>888</v>
      </c>
      <c r="I238" s="68">
        <v>1257</v>
      </c>
      <c r="J238" s="2" t="s">
        <v>1613</v>
      </c>
      <c r="K238" s="2" t="s">
        <v>1612</v>
      </c>
      <c r="L238" s="70"/>
      <c r="M238" s="71" t="s">
        <v>980</v>
      </c>
      <c r="N238" s="72" t="s">
        <v>809</v>
      </c>
      <c r="O238" s="68">
        <v>1</v>
      </c>
      <c r="P238" s="69" t="str">
        <f t="shared" si="37"/>
        <v>Cheese Sauce - GFF203R</v>
      </c>
      <c r="Q238" s="72"/>
      <c r="R238" s="72"/>
      <c r="S238" s="72"/>
      <c r="T238" s="72"/>
      <c r="U238" s="72"/>
      <c r="V238" s="72"/>
      <c r="W238" s="72" t="s">
        <v>1435</v>
      </c>
      <c r="X238" s="72" t="s">
        <v>1500</v>
      </c>
      <c r="Y238" s="1">
        <v>2</v>
      </c>
      <c r="Z238" s="1"/>
    </row>
    <row r="239" spans="1:26" x14ac:dyDescent="0.25">
      <c r="A239" s="68">
        <v>259</v>
      </c>
      <c r="B239" s="78" t="s">
        <v>1614</v>
      </c>
      <c r="C239" s="2" t="s">
        <v>1615</v>
      </c>
      <c r="D239" s="2" t="s">
        <v>1616</v>
      </c>
      <c r="E239" s="68" t="s">
        <v>886</v>
      </c>
      <c r="F239" s="2" t="s">
        <v>1281</v>
      </c>
      <c r="G239" s="68" t="s">
        <v>6</v>
      </c>
      <c r="H239" s="68" t="s">
        <v>888</v>
      </c>
      <c r="I239" s="68">
        <v>1258</v>
      </c>
      <c r="J239" s="2" t="s">
        <v>1617</v>
      </c>
      <c r="K239" s="2" t="s">
        <v>1620</v>
      </c>
      <c r="L239" s="70"/>
      <c r="M239" s="71" t="s">
        <v>979</v>
      </c>
      <c r="N239" s="72" t="s">
        <v>809</v>
      </c>
      <c r="O239" s="68">
        <v>1</v>
      </c>
      <c r="P239" s="69" t="str">
        <f t="shared" si="37"/>
        <v>Marinated King Prawns (Crustacean) - GFF196R</v>
      </c>
      <c r="Q239" s="72"/>
      <c r="R239" s="72"/>
      <c r="S239" s="72"/>
      <c r="T239" s="72"/>
      <c r="U239" s="72"/>
      <c r="V239" s="72"/>
      <c r="W239" s="72" t="s">
        <v>1435</v>
      </c>
      <c r="X239" s="1" t="s">
        <v>1618</v>
      </c>
      <c r="Y239" s="1">
        <v>1</v>
      </c>
      <c r="Z239" s="1" t="s">
        <v>2579</v>
      </c>
    </row>
    <row r="240" spans="1:26" x14ac:dyDescent="0.25">
      <c r="A240" s="68">
        <v>260</v>
      </c>
      <c r="B240" s="78" t="s">
        <v>182</v>
      </c>
      <c r="C240" s="2" t="s">
        <v>1645</v>
      </c>
      <c r="D240" s="2" t="s">
        <v>1646</v>
      </c>
      <c r="E240" s="68" t="s">
        <v>886</v>
      </c>
      <c r="F240" s="68" t="s">
        <v>73</v>
      </c>
      <c r="G240" s="68" t="s">
        <v>6</v>
      </c>
      <c r="H240" s="68" t="s">
        <v>888</v>
      </c>
      <c r="I240" s="68">
        <v>1259</v>
      </c>
      <c r="J240" s="2" t="s">
        <v>1647</v>
      </c>
      <c r="K240" s="2" t="s">
        <v>1646</v>
      </c>
      <c r="L240" s="70"/>
      <c r="M240" s="71" t="s">
        <v>979</v>
      </c>
      <c r="N240" s="72" t="s">
        <v>809</v>
      </c>
      <c r="O240" s="68">
        <v>1</v>
      </c>
      <c r="P240" s="69" t="str">
        <f t="shared" si="37"/>
        <v>Massaman Curry Sauce - GFF198R</v>
      </c>
      <c r="Q240" s="72"/>
      <c r="R240" s="72"/>
      <c r="S240" s="72"/>
      <c r="T240" s="72"/>
      <c r="U240" s="72"/>
      <c r="V240" s="72"/>
      <c r="W240" s="72" t="s">
        <v>1435</v>
      </c>
      <c r="X240" s="1" t="s">
        <v>1494</v>
      </c>
      <c r="Y240" s="1">
        <v>1</v>
      </c>
      <c r="Z240" s="1"/>
    </row>
    <row r="241" spans="1:26" x14ac:dyDescent="0.25">
      <c r="A241" s="68">
        <v>261</v>
      </c>
      <c r="B241" s="78" t="s">
        <v>182</v>
      </c>
      <c r="C241" s="2" t="s">
        <v>1648</v>
      </c>
      <c r="D241" s="2" t="s">
        <v>1649</v>
      </c>
      <c r="E241" s="68" t="s">
        <v>886</v>
      </c>
      <c r="F241" s="68" t="s">
        <v>73</v>
      </c>
      <c r="G241" s="68" t="s">
        <v>6</v>
      </c>
      <c r="H241" s="68" t="s">
        <v>888</v>
      </c>
      <c r="I241" s="68">
        <v>1260</v>
      </c>
      <c r="J241" s="2" t="s">
        <v>1650</v>
      </c>
      <c r="K241" s="2" t="s">
        <v>1649</v>
      </c>
      <c r="L241" s="70"/>
      <c r="M241" s="71" t="s">
        <v>979</v>
      </c>
      <c r="N241" s="72" t="s">
        <v>814</v>
      </c>
      <c r="O241" s="68">
        <v>1</v>
      </c>
      <c r="P241" s="69" t="str">
        <f t="shared" si="37"/>
        <v>Penang Curry Sauce - GFF199R</v>
      </c>
      <c r="Q241" s="72"/>
      <c r="R241" s="72"/>
      <c r="S241" s="72"/>
      <c r="T241" s="72"/>
      <c r="U241" s="72"/>
      <c r="V241" s="72"/>
      <c r="W241" s="72" t="s">
        <v>1435</v>
      </c>
      <c r="X241" s="1" t="s">
        <v>1651</v>
      </c>
      <c r="Y241" s="1">
        <v>1</v>
      </c>
      <c r="Z241" s="1"/>
    </row>
    <row r="242" spans="1:26" x14ac:dyDescent="0.25">
      <c r="A242" s="68">
        <v>262</v>
      </c>
      <c r="B242" s="78" t="s">
        <v>182</v>
      </c>
      <c r="C242" s="2" t="s">
        <v>1652</v>
      </c>
      <c r="D242" s="2" t="s">
        <v>1662</v>
      </c>
      <c r="E242" s="68" t="s">
        <v>886</v>
      </c>
      <c r="F242" s="2" t="s">
        <v>56</v>
      </c>
      <c r="G242" s="68" t="s">
        <v>6</v>
      </c>
      <c r="H242" s="68" t="s">
        <v>888</v>
      </c>
      <c r="I242" s="68">
        <v>1261</v>
      </c>
      <c r="J242" s="2" t="s">
        <v>1653</v>
      </c>
      <c r="K242" s="2" t="s">
        <v>1663</v>
      </c>
      <c r="L242" s="70"/>
      <c r="M242" s="71" t="s">
        <v>979</v>
      </c>
      <c r="N242" s="72" t="s">
        <v>809</v>
      </c>
      <c r="O242" s="68">
        <v>1</v>
      </c>
      <c r="P242" s="69" t="str">
        <f t="shared" si="37"/>
        <v>Stir Fried Diced Spring Onions  10MM - GFF200R</v>
      </c>
      <c r="Q242" s="72"/>
      <c r="R242" s="72"/>
      <c r="S242" s="72"/>
      <c r="T242" s="72"/>
      <c r="U242" s="72"/>
      <c r="V242" s="72"/>
      <c r="W242" s="72" t="s">
        <v>1435</v>
      </c>
      <c r="X242" s="72" t="s">
        <v>982</v>
      </c>
      <c r="Y242" s="72" t="s">
        <v>982</v>
      </c>
      <c r="Z242" s="72" t="s">
        <v>2926</v>
      </c>
    </row>
    <row r="243" spans="1:26" x14ac:dyDescent="0.25">
      <c r="A243" s="68">
        <v>263</v>
      </c>
      <c r="B243" s="78" t="s">
        <v>182</v>
      </c>
      <c r="C243" s="2" t="s">
        <v>1654</v>
      </c>
      <c r="D243" s="2" t="s">
        <v>1655</v>
      </c>
      <c r="E243" s="68" t="s">
        <v>886</v>
      </c>
      <c r="F243" s="2" t="s">
        <v>62</v>
      </c>
      <c r="G243" s="68" t="s">
        <v>6</v>
      </c>
      <c r="H243" s="68" t="s">
        <v>888</v>
      </c>
      <c r="I243" s="68">
        <v>1261</v>
      </c>
      <c r="J243" s="2" t="s">
        <v>1656</v>
      </c>
      <c r="K243" s="2" t="s">
        <v>1655</v>
      </c>
      <c r="L243" s="70"/>
      <c r="M243" s="71" t="s">
        <v>979</v>
      </c>
      <c r="N243" s="72" t="s">
        <v>814</v>
      </c>
      <c r="O243" s="68">
        <v>1</v>
      </c>
      <c r="P243" s="69" t="str">
        <f t="shared" si="37"/>
        <v>Goan Sauce - GFF201R</v>
      </c>
      <c r="Q243" s="72"/>
      <c r="R243" s="72"/>
      <c r="S243" s="72"/>
      <c r="T243" s="72"/>
      <c r="U243" s="72"/>
      <c r="V243" s="72"/>
      <c r="W243" s="72" t="s">
        <v>1435</v>
      </c>
      <c r="X243" s="1" t="s">
        <v>1481</v>
      </c>
      <c r="Y243" s="1">
        <v>3</v>
      </c>
      <c r="Z243" s="1"/>
    </row>
    <row r="244" spans="1:26" x14ac:dyDescent="0.25">
      <c r="A244" s="68">
        <v>264</v>
      </c>
      <c r="B244" s="78" t="s">
        <v>1614</v>
      </c>
      <c r="C244" s="2" t="s">
        <v>1657</v>
      </c>
      <c r="D244" s="2" t="s">
        <v>1678</v>
      </c>
      <c r="E244" s="68" t="s">
        <v>886</v>
      </c>
      <c r="F244" s="2" t="s">
        <v>1281</v>
      </c>
      <c r="G244" s="68" t="s">
        <v>6</v>
      </c>
      <c r="H244" s="68" t="s">
        <v>888</v>
      </c>
      <c r="I244" s="68">
        <v>1263</v>
      </c>
      <c r="J244" s="2" t="s">
        <v>1658</v>
      </c>
      <c r="K244" s="2" t="s">
        <v>1659</v>
      </c>
      <c r="L244" s="70"/>
      <c r="M244" s="71" t="s">
        <v>979</v>
      </c>
      <c r="N244" s="72" t="s">
        <v>809</v>
      </c>
      <c r="O244" s="68">
        <v>1</v>
      </c>
      <c r="P244" s="69" t="str">
        <f t="shared" si="37"/>
        <v>Marinated Cooked King Prawn R1 - GFF202R</v>
      </c>
      <c r="Q244" s="72"/>
      <c r="R244" s="72"/>
      <c r="S244" s="72"/>
      <c r="T244" s="72"/>
      <c r="U244" s="72"/>
      <c r="V244" s="72"/>
      <c r="W244" s="72" t="s">
        <v>1435</v>
      </c>
      <c r="X244" s="1" t="s">
        <v>1618</v>
      </c>
      <c r="Y244" s="1">
        <v>1</v>
      </c>
      <c r="Z244" s="1" t="s">
        <v>2579</v>
      </c>
    </row>
    <row r="245" spans="1:26" x14ac:dyDescent="0.25">
      <c r="A245" s="68">
        <v>265</v>
      </c>
      <c r="B245" s="78" t="s">
        <v>1660</v>
      </c>
      <c r="C245" s="2" t="s">
        <v>1668</v>
      </c>
      <c r="D245" s="2" t="s">
        <v>1664</v>
      </c>
      <c r="E245" s="68" t="s">
        <v>886</v>
      </c>
      <c r="F245" s="2" t="s">
        <v>1180</v>
      </c>
      <c r="G245" s="68" t="s">
        <v>17</v>
      </c>
      <c r="H245" s="68" t="s">
        <v>888</v>
      </c>
      <c r="I245" s="68">
        <v>1264</v>
      </c>
      <c r="J245" s="2" t="s">
        <v>1665</v>
      </c>
      <c r="K245" s="2" t="s">
        <v>1666</v>
      </c>
      <c r="L245" s="70"/>
      <c r="M245" s="71" t="s">
        <v>980</v>
      </c>
      <c r="N245" s="72" t="s">
        <v>809</v>
      </c>
      <c r="O245" s="68">
        <v>1</v>
      </c>
      <c r="P245" s="69" t="str">
        <f t="shared" si="37"/>
        <v>Crushed Cashew Nuts - GFF1264</v>
      </c>
      <c r="Q245" s="72"/>
      <c r="R245" s="72"/>
      <c r="S245" s="72"/>
      <c r="T245" s="72"/>
      <c r="U245" s="72"/>
      <c r="V245" s="72"/>
      <c r="W245" s="72" t="s">
        <v>1435</v>
      </c>
      <c r="X245" s="1" t="s">
        <v>1667</v>
      </c>
      <c r="Y245" s="1">
        <v>1</v>
      </c>
      <c r="Z245" s="1"/>
    </row>
    <row r="246" spans="1:26" x14ac:dyDescent="0.25">
      <c r="A246" s="68">
        <v>266</v>
      </c>
      <c r="B246" s="78" t="s">
        <v>182</v>
      </c>
      <c r="C246" s="2" t="s">
        <v>2341</v>
      </c>
      <c r="D246" s="2" t="s">
        <v>1675</v>
      </c>
      <c r="E246" s="68" t="s">
        <v>886</v>
      </c>
      <c r="F246" s="2" t="s">
        <v>56</v>
      </c>
      <c r="G246" s="68" t="s">
        <v>6</v>
      </c>
      <c r="H246" s="68" t="s">
        <v>888</v>
      </c>
      <c r="I246" s="68">
        <v>1265</v>
      </c>
      <c r="J246" s="2" t="s">
        <v>1670</v>
      </c>
      <c r="K246" s="2" t="s">
        <v>1675</v>
      </c>
      <c r="L246" s="70"/>
      <c r="M246" s="71" t="s">
        <v>980</v>
      </c>
      <c r="N246" s="72" t="s">
        <v>814</v>
      </c>
      <c r="O246" s="68">
        <v>1</v>
      </c>
      <c r="P246" s="69" t="str">
        <f t="shared" ref="P246:P309" si="66">K246&amp;" - "&amp; C246</f>
        <v>Steamed Green Beans - GFF204R</v>
      </c>
      <c r="Q246" s="72"/>
      <c r="R246" s="72"/>
      <c r="S246" s="72"/>
      <c r="T246" s="72"/>
      <c r="U246" s="72"/>
      <c r="V246" s="72"/>
      <c r="W246" s="72" t="s">
        <v>1435</v>
      </c>
      <c r="X246" s="72" t="s">
        <v>982</v>
      </c>
      <c r="Y246" s="72" t="s">
        <v>982</v>
      </c>
      <c r="Z246" s="72"/>
    </row>
    <row r="247" spans="1:26" x14ac:dyDescent="0.25">
      <c r="A247" s="68">
        <v>267</v>
      </c>
      <c r="B247" s="78" t="s">
        <v>1673</v>
      </c>
      <c r="C247" s="2" t="s">
        <v>1669</v>
      </c>
      <c r="D247" s="2" t="s">
        <v>1676</v>
      </c>
      <c r="E247" s="68" t="s">
        <v>886</v>
      </c>
      <c r="F247" s="2" t="s">
        <v>56</v>
      </c>
      <c r="G247" s="68" t="s">
        <v>17</v>
      </c>
      <c r="H247" s="68" t="s">
        <v>888</v>
      </c>
      <c r="I247" s="68">
        <v>1266</v>
      </c>
      <c r="J247" s="2" t="s">
        <v>1671</v>
      </c>
      <c r="K247" s="2" t="s">
        <v>1677</v>
      </c>
      <c r="L247" s="70"/>
      <c r="M247" s="71" t="s">
        <v>980</v>
      </c>
      <c r="N247" s="72" t="s">
        <v>809</v>
      </c>
      <c r="O247" s="68">
        <v>1</v>
      </c>
      <c r="P247" s="69" t="str">
        <f t="shared" si="66"/>
        <v>Grilled Roasted Red Peppers Diced 10MM - GFF1266</v>
      </c>
      <c r="Q247" s="72"/>
      <c r="R247" s="72"/>
      <c r="S247" s="72"/>
      <c r="T247" s="72"/>
      <c r="U247" s="72"/>
      <c r="V247" s="72"/>
      <c r="W247" s="72" t="s">
        <v>1435</v>
      </c>
      <c r="X247" s="72" t="s">
        <v>982</v>
      </c>
      <c r="Y247" s="72" t="s">
        <v>982</v>
      </c>
      <c r="Z247" s="72"/>
    </row>
    <row r="248" spans="1:26" x14ac:dyDescent="0.25">
      <c r="A248" s="68">
        <v>268</v>
      </c>
      <c r="B248" s="78" t="s">
        <v>1680</v>
      </c>
      <c r="C248" s="2" t="s">
        <v>1681</v>
      </c>
      <c r="D248" s="2" t="s">
        <v>1682</v>
      </c>
      <c r="E248" s="68" t="s">
        <v>885</v>
      </c>
      <c r="F248" s="2" t="s">
        <v>1688</v>
      </c>
      <c r="G248" s="68" t="s">
        <v>17</v>
      </c>
      <c r="H248" s="68" t="s">
        <v>888</v>
      </c>
      <c r="I248" s="68">
        <v>1267</v>
      </c>
      <c r="J248" s="2" t="s">
        <v>1683</v>
      </c>
      <c r="K248" s="2" t="s">
        <v>1684</v>
      </c>
      <c r="L248" s="70">
        <v>20</v>
      </c>
      <c r="M248" s="71" t="s">
        <v>980</v>
      </c>
      <c r="N248" s="72" t="s">
        <v>814</v>
      </c>
      <c r="O248" s="68">
        <v>1</v>
      </c>
      <c r="P248" s="69" t="str">
        <f t="shared" si="66"/>
        <v>Gyoza Tori Veg 20G - JAP001-01</v>
      </c>
      <c r="Q248" s="72"/>
      <c r="R248" s="72"/>
      <c r="S248" s="72"/>
      <c r="T248" s="72"/>
      <c r="U248" s="72"/>
      <c r="V248" s="72"/>
      <c r="W248" s="72" t="s">
        <v>1437</v>
      </c>
      <c r="X248" s="1" t="s">
        <v>1685</v>
      </c>
      <c r="Y248" s="1">
        <v>1</v>
      </c>
      <c r="Z248" s="1"/>
    </row>
    <row r="249" spans="1:26" x14ac:dyDescent="0.25">
      <c r="A249" s="68">
        <f t="shared" ref="A249:A280" si="67">A248+1</f>
        <v>269</v>
      </c>
      <c r="B249" s="78" t="s">
        <v>1680</v>
      </c>
      <c r="C249" s="2" t="s">
        <v>1686</v>
      </c>
      <c r="D249" s="2" t="s">
        <v>1687</v>
      </c>
      <c r="E249" s="68" t="s">
        <v>885</v>
      </c>
      <c r="F249" s="2" t="s">
        <v>1688</v>
      </c>
      <c r="G249" s="68" t="s">
        <v>17</v>
      </c>
      <c r="H249" s="68" t="s">
        <v>888</v>
      </c>
      <c r="I249" s="68">
        <v>1268</v>
      </c>
      <c r="J249" s="2" t="s">
        <v>1689</v>
      </c>
      <c r="K249" s="2" t="s">
        <v>1690</v>
      </c>
      <c r="L249" s="70">
        <v>20</v>
      </c>
      <c r="M249" s="71" t="s">
        <v>979</v>
      </c>
      <c r="N249" s="72" t="s">
        <v>809</v>
      </c>
      <c r="O249" s="68">
        <v>1</v>
      </c>
      <c r="P249" s="69" t="str">
        <f t="shared" si="66"/>
        <v>Gyoza Yasai Chicken 20G - JAP001-02</v>
      </c>
      <c r="Q249" s="72"/>
      <c r="R249" s="72"/>
      <c r="S249" s="72"/>
      <c r="T249" s="72"/>
      <c r="U249" s="72"/>
      <c r="V249" s="72"/>
      <c r="W249" s="72" t="s">
        <v>1437</v>
      </c>
      <c r="X249" s="1" t="s">
        <v>1691</v>
      </c>
      <c r="Y249" s="1">
        <v>3</v>
      </c>
      <c r="Z249" s="1"/>
    </row>
    <row r="250" spans="1:26" x14ac:dyDescent="0.25">
      <c r="A250" s="68">
        <f t="shared" si="67"/>
        <v>270</v>
      </c>
      <c r="B250" s="78" t="s">
        <v>1680</v>
      </c>
      <c r="C250" s="2" t="s">
        <v>1692</v>
      </c>
      <c r="D250" s="2" t="s">
        <v>1693</v>
      </c>
      <c r="E250" s="68" t="s">
        <v>885</v>
      </c>
      <c r="F250" s="2" t="s">
        <v>1688</v>
      </c>
      <c r="G250" s="68" t="s">
        <v>17</v>
      </c>
      <c r="H250" s="68" t="s">
        <v>888</v>
      </c>
      <c r="I250" s="68">
        <f t="shared" ref="I250:I313" si="68">I249+1</f>
        <v>1269</v>
      </c>
      <c r="J250" s="2" t="s">
        <v>1694</v>
      </c>
      <c r="K250" s="2" t="s">
        <v>1695</v>
      </c>
      <c r="L250" s="70">
        <v>20</v>
      </c>
      <c r="M250" s="71" t="s">
        <v>979</v>
      </c>
      <c r="N250" s="72" t="s">
        <v>809</v>
      </c>
      <c r="O250" s="68">
        <v>1</v>
      </c>
      <c r="P250" s="69" t="str">
        <f t="shared" si="66"/>
        <v>Gyoza EBI Prawn 20G - JAP001-03</v>
      </c>
      <c r="Q250" s="72"/>
      <c r="R250" s="72"/>
      <c r="S250" s="72"/>
      <c r="T250" s="72"/>
      <c r="U250" s="72"/>
      <c r="V250" s="72"/>
      <c r="W250" s="72" t="s">
        <v>1437</v>
      </c>
      <c r="X250" s="1" t="s">
        <v>1696</v>
      </c>
      <c r="Y250" s="1">
        <v>1</v>
      </c>
      <c r="Z250" s="1"/>
    </row>
    <row r="251" spans="1:26" x14ac:dyDescent="0.25">
      <c r="A251" s="68">
        <f t="shared" si="67"/>
        <v>271</v>
      </c>
      <c r="B251" s="78" t="s">
        <v>1697</v>
      </c>
      <c r="C251" s="2" t="s">
        <v>1698</v>
      </c>
      <c r="D251" s="2" t="s">
        <v>1699</v>
      </c>
      <c r="E251" s="68" t="s">
        <v>885</v>
      </c>
      <c r="F251" s="2" t="s">
        <v>1700</v>
      </c>
      <c r="G251" s="68" t="s">
        <v>17</v>
      </c>
      <c r="H251" s="68" t="s">
        <v>888</v>
      </c>
      <c r="I251" s="68">
        <f t="shared" si="68"/>
        <v>1270</v>
      </c>
      <c r="J251" s="2" t="s">
        <v>1701</v>
      </c>
      <c r="K251" s="2" t="s">
        <v>1702</v>
      </c>
      <c r="L251" s="70">
        <v>15</v>
      </c>
      <c r="M251" s="71" t="s">
        <v>980</v>
      </c>
      <c r="N251" s="72" t="s">
        <v>809</v>
      </c>
      <c r="O251" s="68">
        <v>1</v>
      </c>
      <c r="P251" s="69" t="str">
        <f t="shared" si="66"/>
        <v>Vegetable Wonton 15G - FUT001-35</v>
      </c>
      <c r="Q251" s="72"/>
      <c r="R251" s="72"/>
      <c r="S251" s="72"/>
      <c r="T251" s="72"/>
      <c r="U251" s="72"/>
      <c r="V251" s="72"/>
      <c r="W251" s="72" t="s">
        <v>1437</v>
      </c>
      <c r="X251" s="1" t="s">
        <v>1703</v>
      </c>
      <c r="Y251" s="1">
        <v>1</v>
      </c>
      <c r="Z251" s="1"/>
    </row>
    <row r="252" spans="1:26" x14ac:dyDescent="0.25">
      <c r="A252" s="68">
        <f t="shared" si="67"/>
        <v>272</v>
      </c>
      <c r="B252" s="78" t="s">
        <v>1704</v>
      </c>
      <c r="C252" s="2" t="s">
        <v>1705</v>
      </c>
      <c r="D252" s="2" t="s">
        <v>1707</v>
      </c>
      <c r="E252" s="68" t="s">
        <v>885</v>
      </c>
      <c r="F252" s="2" t="s">
        <v>1708</v>
      </c>
      <c r="G252" s="68" t="s">
        <v>17</v>
      </c>
      <c r="H252" s="68" t="s">
        <v>888</v>
      </c>
      <c r="I252" s="68">
        <f t="shared" si="68"/>
        <v>1271</v>
      </c>
      <c r="J252" s="2" t="s">
        <v>1709</v>
      </c>
      <c r="K252" s="2" t="s">
        <v>1710</v>
      </c>
      <c r="L252" s="70">
        <v>25</v>
      </c>
      <c r="M252" s="71" t="s">
        <v>979</v>
      </c>
      <c r="N252" s="72" t="s">
        <v>809</v>
      </c>
      <c r="O252" s="68">
        <v>1</v>
      </c>
      <c r="P252" s="69" t="str">
        <f t="shared" si="66"/>
        <v>Chicken Yakitori Skewers 25G - MEA001-02</v>
      </c>
      <c r="Q252" s="72"/>
      <c r="R252" s="72"/>
      <c r="S252" s="72"/>
      <c r="T252" s="72"/>
      <c r="U252" s="72"/>
      <c r="V252" s="72"/>
      <c r="W252" s="72" t="s">
        <v>1437</v>
      </c>
      <c r="X252" s="1" t="s">
        <v>1502</v>
      </c>
      <c r="Y252" s="1">
        <v>3</v>
      </c>
      <c r="Z252" s="1"/>
    </row>
    <row r="253" spans="1:26" x14ac:dyDescent="0.25">
      <c r="A253" s="68">
        <f t="shared" si="67"/>
        <v>273</v>
      </c>
      <c r="B253" s="78" t="s">
        <v>1704</v>
      </c>
      <c r="C253" s="2" t="s">
        <v>1706</v>
      </c>
      <c r="D253" s="2" t="s">
        <v>1712</v>
      </c>
      <c r="E253" s="68" t="s">
        <v>885</v>
      </c>
      <c r="F253" s="2" t="s">
        <v>1708</v>
      </c>
      <c r="G253" s="68" t="s">
        <v>17</v>
      </c>
      <c r="H253" s="68" t="s">
        <v>888</v>
      </c>
      <c r="I253" s="68">
        <f t="shared" si="68"/>
        <v>1272</v>
      </c>
      <c r="J253" s="2" t="s">
        <v>1713</v>
      </c>
      <c r="K253" s="2" t="s">
        <v>1711</v>
      </c>
      <c r="L253" s="70">
        <v>30</v>
      </c>
      <c r="M253" s="71" t="s">
        <v>979</v>
      </c>
      <c r="N253" s="72" t="s">
        <v>809</v>
      </c>
      <c r="O253" s="68">
        <v>1</v>
      </c>
      <c r="P253" s="69" t="str">
        <f t="shared" si="66"/>
        <v>Chicken Satay Skewers 30G - MEA001-03</v>
      </c>
      <c r="Q253" s="72"/>
      <c r="R253" s="72"/>
      <c r="S253" s="72"/>
      <c r="T253" s="72"/>
      <c r="U253" s="72"/>
      <c r="V253" s="72"/>
      <c r="W253" s="72" t="s">
        <v>1437</v>
      </c>
      <c r="X253" s="1" t="s">
        <v>1501</v>
      </c>
      <c r="Y253" s="1">
        <v>3</v>
      </c>
      <c r="Z253" s="1"/>
    </row>
    <row r="254" spans="1:26" x14ac:dyDescent="0.25">
      <c r="A254" s="68">
        <f t="shared" si="67"/>
        <v>274</v>
      </c>
      <c r="B254" s="78" t="s">
        <v>182</v>
      </c>
      <c r="C254" s="2" t="s">
        <v>1735</v>
      </c>
      <c r="D254" s="2" t="s">
        <v>1736</v>
      </c>
      <c r="E254" s="68" t="s">
        <v>886</v>
      </c>
      <c r="F254" s="2" t="s">
        <v>62</v>
      </c>
      <c r="G254" s="68" t="s">
        <v>6</v>
      </c>
      <c r="H254" s="68" t="s">
        <v>888</v>
      </c>
      <c r="I254" s="68">
        <f t="shared" si="68"/>
        <v>1273</v>
      </c>
      <c r="J254" s="2" t="s">
        <v>1737</v>
      </c>
      <c r="K254" s="2" t="s">
        <v>1736</v>
      </c>
      <c r="L254" s="70"/>
      <c r="M254" s="71" t="s">
        <v>980</v>
      </c>
      <c r="N254" s="72" t="s">
        <v>809</v>
      </c>
      <c r="O254" s="68">
        <v>1</v>
      </c>
      <c r="P254" s="69" t="str">
        <f t="shared" si="66"/>
        <v>Vegetable Balti Sauce - GFF205R</v>
      </c>
      <c r="Q254" s="72"/>
      <c r="R254" s="72"/>
      <c r="S254" s="72"/>
      <c r="T254" s="72"/>
      <c r="U254" s="72"/>
      <c r="V254" s="72"/>
      <c r="W254" s="72" t="s">
        <v>1435</v>
      </c>
      <c r="X254" s="1" t="s">
        <v>1484</v>
      </c>
      <c r="Y254" s="1">
        <v>2</v>
      </c>
      <c r="Z254" s="1"/>
    </row>
    <row r="255" spans="1:26" x14ac:dyDescent="0.25">
      <c r="A255" s="68">
        <f t="shared" si="67"/>
        <v>275</v>
      </c>
      <c r="B255" s="78" t="s">
        <v>182</v>
      </c>
      <c r="C255" s="2" t="s">
        <v>1738</v>
      </c>
      <c r="D255" s="2" t="s">
        <v>1739</v>
      </c>
      <c r="E255" s="68" t="s">
        <v>886</v>
      </c>
      <c r="F255" s="2" t="s">
        <v>62</v>
      </c>
      <c r="G255" s="68" t="s">
        <v>6</v>
      </c>
      <c r="H255" s="68" t="s">
        <v>888</v>
      </c>
      <c r="I255" s="68">
        <f t="shared" si="68"/>
        <v>1274</v>
      </c>
      <c r="J255" s="2" t="s">
        <v>1740</v>
      </c>
      <c r="K255" s="2" t="s">
        <v>1739</v>
      </c>
      <c r="L255" s="70"/>
      <c r="M255" s="71" t="s">
        <v>980</v>
      </c>
      <c r="N255" s="72" t="s">
        <v>814</v>
      </c>
      <c r="O255" s="68">
        <v>1</v>
      </c>
      <c r="P255" s="69" t="str">
        <f t="shared" si="66"/>
        <v>Tandoori Paneer - GFF206R</v>
      </c>
      <c r="Q255" s="72"/>
      <c r="R255" s="72"/>
      <c r="S255" s="72"/>
      <c r="T255" s="72"/>
      <c r="U255" s="72"/>
      <c r="V255" s="72"/>
      <c r="W255" s="72" t="s">
        <v>1435</v>
      </c>
      <c r="X255" s="72" t="s">
        <v>1480</v>
      </c>
      <c r="Y255" s="72">
        <v>2</v>
      </c>
      <c r="Z255" s="72"/>
    </row>
    <row r="256" spans="1:26" x14ac:dyDescent="0.25">
      <c r="A256" s="68">
        <f t="shared" si="67"/>
        <v>276</v>
      </c>
      <c r="B256" s="78" t="s">
        <v>182</v>
      </c>
      <c r="C256" s="2" t="s">
        <v>1741</v>
      </c>
      <c r="D256" s="2" t="s">
        <v>268</v>
      </c>
      <c r="E256" s="68" t="s">
        <v>886</v>
      </c>
      <c r="F256" s="2" t="s">
        <v>62</v>
      </c>
      <c r="G256" s="68" t="s">
        <v>6</v>
      </c>
      <c r="H256" s="68" t="s">
        <v>888</v>
      </c>
      <c r="I256" s="68">
        <f t="shared" si="68"/>
        <v>1275</v>
      </c>
      <c r="J256" s="2" t="s">
        <v>1742</v>
      </c>
      <c r="K256" s="2" t="s">
        <v>268</v>
      </c>
      <c r="L256" s="70"/>
      <c r="M256" s="71" t="s">
        <v>980</v>
      </c>
      <c r="N256" s="72" t="s">
        <v>814</v>
      </c>
      <c r="O256" s="68">
        <v>1</v>
      </c>
      <c r="P256" s="69" t="str">
        <f t="shared" si="66"/>
        <v>Steamed Peas - GFF207R</v>
      </c>
      <c r="Q256" s="72"/>
      <c r="R256" s="72"/>
      <c r="S256" s="72"/>
      <c r="T256" s="72"/>
      <c r="U256" s="72"/>
      <c r="V256" s="72"/>
      <c r="W256" s="72" t="s">
        <v>1435</v>
      </c>
      <c r="X256" s="72" t="s">
        <v>982</v>
      </c>
      <c r="Y256" s="72" t="s">
        <v>982</v>
      </c>
      <c r="Z256" s="72"/>
    </row>
    <row r="257" spans="1:26" x14ac:dyDescent="0.25">
      <c r="A257" s="68">
        <f t="shared" si="67"/>
        <v>277</v>
      </c>
      <c r="B257" s="78" t="s">
        <v>182</v>
      </c>
      <c r="C257" s="2" t="s">
        <v>1824</v>
      </c>
      <c r="D257" s="2" t="s">
        <v>3095</v>
      </c>
      <c r="E257" s="68" t="s">
        <v>885</v>
      </c>
      <c r="F257" s="2" t="s">
        <v>56</v>
      </c>
      <c r="G257" s="68" t="s">
        <v>6</v>
      </c>
      <c r="H257" s="68" t="s">
        <v>888</v>
      </c>
      <c r="I257" s="68">
        <f t="shared" si="68"/>
        <v>1276</v>
      </c>
      <c r="J257" s="2" t="s">
        <v>1743</v>
      </c>
      <c r="K257" s="2" t="s">
        <v>3098</v>
      </c>
      <c r="L257" s="70">
        <v>150</v>
      </c>
      <c r="M257" s="71" t="s">
        <v>980</v>
      </c>
      <c r="N257" s="72" t="s">
        <v>814</v>
      </c>
      <c r="O257" s="68">
        <v>550</v>
      </c>
      <c r="P257" s="69" t="str">
        <f t="shared" si="66"/>
        <v>Mushroom, Spinach &amp; Ricotta Filo Parcels 150G - GFF222R</v>
      </c>
      <c r="Q257" s="72">
        <v>20</v>
      </c>
      <c r="R257" s="72">
        <f t="shared" ref="R257:R260" si="69">($Q257/5)*4</f>
        <v>16</v>
      </c>
      <c r="S257" s="72">
        <f t="shared" ref="S257:S260" si="70">($Q257/5)*3</f>
        <v>12</v>
      </c>
      <c r="T257" s="72">
        <f t="shared" ref="T257:T260" si="71">($Q257/5)*2</f>
        <v>8</v>
      </c>
      <c r="U257" s="72">
        <f t="shared" ref="U257:U260" si="72">($Q257/5)*1</f>
        <v>4</v>
      </c>
      <c r="V257" s="72"/>
      <c r="W257" s="72" t="s">
        <v>1435</v>
      </c>
      <c r="X257" s="1" t="s">
        <v>1744</v>
      </c>
      <c r="Y257" s="1">
        <v>2</v>
      </c>
      <c r="Z257" s="1"/>
    </row>
    <row r="258" spans="1:26" x14ac:dyDescent="0.25">
      <c r="A258" s="68">
        <f t="shared" si="67"/>
        <v>278</v>
      </c>
      <c r="B258" s="78" t="s">
        <v>182</v>
      </c>
      <c r="C258" s="2" t="s">
        <v>1823</v>
      </c>
      <c r="D258" s="2" t="s">
        <v>1745</v>
      </c>
      <c r="E258" s="68" t="s">
        <v>885</v>
      </c>
      <c r="F258" s="2" t="s">
        <v>56</v>
      </c>
      <c r="G258" s="68" t="s">
        <v>6</v>
      </c>
      <c r="H258" s="68" t="s">
        <v>888</v>
      </c>
      <c r="I258" s="68">
        <f t="shared" si="68"/>
        <v>1277</v>
      </c>
      <c r="J258" s="2" t="s">
        <v>1746</v>
      </c>
      <c r="K258" s="2" t="s">
        <v>1745</v>
      </c>
      <c r="L258" s="70">
        <v>150</v>
      </c>
      <c r="M258" s="71" t="s">
        <v>980</v>
      </c>
      <c r="N258" s="72" t="s">
        <v>814</v>
      </c>
      <c r="O258" s="68">
        <v>40</v>
      </c>
      <c r="P258" s="69" t="str">
        <f t="shared" si="66"/>
        <v>Lancashire Cheese &amp; Damson Jelly Square Parcels 150G - GFF219R</v>
      </c>
      <c r="Q258" s="72">
        <v>20</v>
      </c>
      <c r="R258" s="72">
        <f t="shared" si="69"/>
        <v>16</v>
      </c>
      <c r="S258" s="72">
        <f t="shared" si="70"/>
        <v>12</v>
      </c>
      <c r="T258" s="72">
        <f t="shared" si="71"/>
        <v>8</v>
      </c>
      <c r="U258" s="72">
        <f t="shared" si="72"/>
        <v>4</v>
      </c>
      <c r="V258" s="72"/>
      <c r="W258" s="72" t="s">
        <v>1435</v>
      </c>
      <c r="X258" s="1" t="s">
        <v>1744</v>
      </c>
      <c r="Y258" s="1">
        <v>2</v>
      </c>
      <c r="Z258" s="1"/>
    </row>
    <row r="259" spans="1:26" x14ac:dyDescent="0.25">
      <c r="A259" s="68">
        <f t="shared" si="67"/>
        <v>279</v>
      </c>
      <c r="B259" s="78" t="s">
        <v>182</v>
      </c>
      <c r="C259" s="2" t="s">
        <v>1747</v>
      </c>
      <c r="D259" s="2" t="s">
        <v>1749</v>
      </c>
      <c r="E259" s="68" t="s">
        <v>885</v>
      </c>
      <c r="F259" s="2" t="s">
        <v>56</v>
      </c>
      <c r="G259" s="68" t="s">
        <v>6</v>
      </c>
      <c r="H259" s="68" t="s">
        <v>939</v>
      </c>
      <c r="I259" s="68">
        <f t="shared" si="68"/>
        <v>1278</v>
      </c>
      <c r="J259" s="2" t="s">
        <v>1748</v>
      </c>
      <c r="K259" s="2" t="s">
        <v>1750</v>
      </c>
      <c r="L259" s="70">
        <v>12</v>
      </c>
      <c r="M259" s="71" t="s">
        <v>979</v>
      </c>
      <c r="N259" s="72" t="s">
        <v>809</v>
      </c>
      <c r="O259" s="68">
        <v>240</v>
      </c>
      <c r="P259" s="69" t="str">
        <f t="shared" si="66"/>
        <v>Chicken Panang Cups 12G - GFF208R</v>
      </c>
      <c r="Q259" s="72"/>
      <c r="R259" s="72">
        <f t="shared" si="69"/>
        <v>0</v>
      </c>
      <c r="S259" s="72">
        <f t="shared" si="70"/>
        <v>0</v>
      </c>
      <c r="T259" s="72">
        <f t="shared" si="71"/>
        <v>0</v>
      </c>
      <c r="U259" s="72">
        <f t="shared" si="72"/>
        <v>0</v>
      </c>
      <c r="V259" s="72"/>
      <c r="W259" s="72" t="s">
        <v>1435</v>
      </c>
      <c r="X259" s="1" t="s">
        <v>1751</v>
      </c>
      <c r="Y259" s="1">
        <v>1</v>
      </c>
      <c r="Z259" s="1"/>
    </row>
    <row r="260" spans="1:26" x14ac:dyDescent="0.25">
      <c r="A260" s="68">
        <f t="shared" si="67"/>
        <v>280</v>
      </c>
      <c r="B260" s="78" t="s">
        <v>182</v>
      </c>
      <c r="C260" s="2" t="s">
        <v>2377</v>
      </c>
      <c r="D260" s="2" t="s">
        <v>1753</v>
      </c>
      <c r="E260" s="68" t="s">
        <v>885</v>
      </c>
      <c r="F260" s="2" t="s">
        <v>56</v>
      </c>
      <c r="G260" s="68" t="s">
        <v>6</v>
      </c>
      <c r="H260" s="68" t="s">
        <v>939</v>
      </c>
      <c r="I260" s="68">
        <f t="shared" si="68"/>
        <v>1279</v>
      </c>
      <c r="J260" s="2" t="s">
        <v>1754</v>
      </c>
      <c r="K260" s="2" t="s">
        <v>1755</v>
      </c>
      <c r="L260" s="70">
        <v>14</v>
      </c>
      <c r="M260" s="71" t="s">
        <v>979</v>
      </c>
      <c r="N260" s="72" t="s">
        <v>809</v>
      </c>
      <c r="O260" s="68">
        <v>270</v>
      </c>
      <c r="P260" s="69" t="str">
        <f t="shared" si="66"/>
        <v>Chilli Beef Taco 14G - GFF226R</v>
      </c>
      <c r="Q260" s="72">
        <v>10</v>
      </c>
      <c r="R260" s="72">
        <f t="shared" si="69"/>
        <v>8</v>
      </c>
      <c r="S260" s="72">
        <f t="shared" si="70"/>
        <v>6</v>
      </c>
      <c r="T260" s="72">
        <f t="shared" si="71"/>
        <v>4</v>
      </c>
      <c r="U260" s="72">
        <f t="shared" si="72"/>
        <v>2</v>
      </c>
      <c r="V260" s="72"/>
      <c r="W260" s="72" t="s">
        <v>1435</v>
      </c>
      <c r="X260" s="72" t="s">
        <v>982</v>
      </c>
      <c r="Y260" s="72" t="s">
        <v>982</v>
      </c>
      <c r="Z260" s="72"/>
    </row>
    <row r="261" spans="1:26" x14ac:dyDescent="0.25">
      <c r="A261" s="68">
        <f t="shared" si="67"/>
        <v>281</v>
      </c>
      <c r="B261" s="78" t="s">
        <v>1756</v>
      </c>
      <c r="C261" s="2" t="s">
        <v>1757</v>
      </c>
      <c r="D261" s="68" t="s">
        <v>1347</v>
      </c>
      <c r="E261" s="68" t="s">
        <v>885</v>
      </c>
      <c r="F261" s="2" t="s">
        <v>56</v>
      </c>
      <c r="G261" s="68" t="s">
        <v>17</v>
      </c>
      <c r="H261" s="68" t="s">
        <v>939</v>
      </c>
      <c r="I261" s="68">
        <f t="shared" si="68"/>
        <v>1280</v>
      </c>
      <c r="J261" s="2" t="s">
        <v>1758</v>
      </c>
      <c r="K261" s="2" t="s">
        <v>1759</v>
      </c>
      <c r="L261" s="70">
        <v>20</v>
      </c>
      <c r="M261" s="71" t="s">
        <v>980</v>
      </c>
      <c r="N261" s="72" t="s">
        <v>809</v>
      </c>
      <c r="O261" s="68">
        <v>1</v>
      </c>
      <c r="P261" s="69" t="str">
        <f t="shared" si="66"/>
        <v>Breaded Mozzarella Sticks 20G - R1 - SAL001-01</v>
      </c>
      <c r="Q261" s="72"/>
      <c r="R261" s="72"/>
      <c r="S261" s="72"/>
      <c r="T261" s="72"/>
      <c r="U261" s="72"/>
      <c r="V261" s="72"/>
      <c r="W261" s="72" t="s">
        <v>1437</v>
      </c>
      <c r="X261" s="1" t="s">
        <v>1744</v>
      </c>
      <c r="Y261" s="1">
        <v>2</v>
      </c>
      <c r="Z261" s="1"/>
    </row>
    <row r="262" spans="1:26" x14ac:dyDescent="0.25">
      <c r="A262" s="68">
        <f t="shared" si="67"/>
        <v>282</v>
      </c>
      <c r="B262" s="78" t="s">
        <v>1756</v>
      </c>
      <c r="C262" s="2" t="s">
        <v>1760</v>
      </c>
      <c r="D262" s="68" t="s">
        <v>1349</v>
      </c>
      <c r="E262" s="68" t="s">
        <v>885</v>
      </c>
      <c r="F262" s="2" t="s">
        <v>56</v>
      </c>
      <c r="G262" s="68" t="s">
        <v>17</v>
      </c>
      <c r="H262" s="68" t="s">
        <v>939</v>
      </c>
      <c r="I262" s="68">
        <f t="shared" si="68"/>
        <v>1281</v>
      </c>
      <c r="J262" s="2" t="s">
        <v>1761</v>
      </c>
      <c r="K262" s="2" t="s">
        <v>1762</v>
      </c>
      <c r="L262" s="70">
        <v>21.5</v>
      </c>
      <c r="M262" s="71" t="s">
        <v>980</v>
      </c>
      <c r="N262" s="72" t="s">
        <v>814</v>
      </c>
      <c r="O262" s="68">
        <v>1</v>
      </c>
      <c r="P262" s="69" t="str">
        <f t="shared" si="66"/>
        <v>Stuffed Jalapeno Peppers 21.5G - SAL001-02</v>
      </c>
      <c r="Q262" s="72"/>
      <c r="R262" s="72"/>
      <c r="S262" s="72"/>
      <c r="T262" s="72"/>
      <c r="U262" s="72"/>
      <c r="V262" s="72"/>
      <c r="W262" s="72" t="s">
        <v>1437</v>
      </c>
      <c r="X262" s="1" t="s">
        <v>1744</v>
      </c>
      <c r="Y262" s="1">
        <v>2</v>
      </c>
      <c r="Z262" s="1"/>
    </row>
    <row r="263" spans="1:26" x14ac:dyDescent="0.25">
      <c r="A263" s="68">
        <f t="shared" si="67"/>
        <v>283</v>
      </c>
      <c r="B263" s="78" t="s">
        <v>1763</v>
      </c>
      <c r="C263" s="2" t="s">
        <v>1771</v>
      </c>
      <c r="D263" s="2" t="s">
        <v>1765</v>
      </c>
      <c r="E263" s="68" t="s">
        <v>885</v>
      </c>
      <c r="F263" s="2" t="s">
        <v>56</v>
      </c>
      <c r="G263" s="68" t="s">
        <v>17</v>
      </c>
      <c r="H263" s="68" t="s">
        <v>888</v>
      </c>
      <c r="I263" s="68">
        <f t="shared" si="68"/>
        <v>1282</v>
      </c>
      <c r="J263" s="2" t="s">
        <v>1771</v>
      </c>
      <c r="K263" s="2" t="s">
        <v>1770</v>
      </c>
      <c r="L263" s="70">
        <v>200</v>
      </c>
      <c r="M263" s="71" t="s">
        <v>980</v>
      </c>
      <c r="N263" s="72" t="s">
        <v>809</v>
      </c>
      <c r="O263" s="68">
        <v>1</v>
      </c>
      <c r="P263" s="69" t="str">
        <f t="shared" si="66"/>
        <v>Breaded Cornish Camemebert W/Red Currant Compate | 200G (Ready Packed) - ABE001-03</v>
      </c>
      <c r="Q263" s="72"/>
      <c r="R263" s="72"/>
      <c r="S263" s="72"/>
      <c r="T263" s="72"/>
      <c r="U263" s="72"/>
      <c r="V263" s="72"/>
      <c r="W263" s="72" t="s">
        <v>1437</v>
      </c>
      <c r="X263" s="1" t="s">
        <v>1766</v>
      </c>
      <c r="Y263" s="1">
        <v>2</v>
      </c>
      <c r="Z263" s="1"/>
    </row>
    <row r="264" spans="1:26" x14ac:dyDescent="0.25">
      <c r="A264" s="68">
        <f t="shared" si="67"/>
        <v>284</v>
      </c>
      <c r="B264" s="78" t="s">
        <v>1763</v>
      </c>
      <c r="C264" s="2" t="s">
        <v>1764</v>
      </c>
      <c r="D264" s="2" t="s">
        <v>1768</v>
      </c>
      <c r="E264" s="68" t="s">
        <v>885</v>
      </c>
      <c r="F264" s="2" t="s">
        <v>56</v>
      </c>
      <c r="G264" s="68" t="s">
        <v>17</v>
      </c>
      <c r="H264" s="68" t="s">
        <v>888</v>
      </c>
      <c r="I264" s="68">
        <f t="shared" si="68"/>
        <v>1283</v>
      </c>
      <c r="J264" s="2" t="s">
        <v>1764</v>
      </c>
      <c r="K264" s="2" t="s">
        <v>1769</v>
      </c>
      <c r="L264" s="70">
        <v>240</v>
      </c>
      <c r="M264" s="71" t="s">
        <v>980</v>
      </c>
      <c r="N264" s="72" t="s">
        <v>809</v>
      </c>
      <c r="O264" s="68">
        <v>1</v>
      </c>
      <c r="P264" s="69" t="str">
        <f t="shared" si="66"/>
        <v>12 Tomato &amp; Mozzarella Arancine 20G | 240G (Ready Packed) - ABE001-01</v>
      </c>
      <c r="Q264" s="72"/>
      <c r="R264" s="72"/>
      <c r="S264" s="72"/>
      <c r="T264" s="72"/>
      <c r="U264" s="72"/>
      <c r="V264" s="72">
        <v>0</v>
      </c>
      <c r="W264" s="72" t="s">
        <v>1437</v>
      </c>
      <c r="X264" s="1" t="s">
        <v>1744</v>
      </c>
      <c r="Y264" s="1">
        <v>2</v>
      </c>
      <c r="Z264" s="1"/>
    </row>
    <row r="265" spans="1:26" x14ac:dyDescent="0.25">
      <c r="A265" s="68">
        <f t="shared" si="67"/>
        <v>285</v>
      </c>
      <c r="B265" s="78" t="s">
        <v>1763</v>
      </c>
      <c r="C265" s="2" t="s">
        <v>1767</v>
      </c>
      <c r="D265" s="2" t="s">
        <v>1772</v>
      </c>
      <c r="E265" s="68" t="s">
        <v>885</v>
      </c>
      <c r="F265" s="2" t="s">
        <v>56</v>
      </c>
      <c r="G265" s="68" t="s">
        <v>17</v>
      </c>
      <c r="H265" s="68" t="s">
        <v>888</v>
      </c>
      <c r="I265" s="68">
        <f t="shared" si="68"/>
        <v>1284</v>
      </c>
      <c r="J265" s="2" t="s">
        <v>1767</v>
      </c>
      <c r="K265" s="2" t="s">
        <v>1773</v>
      </c>
      <c r="L265" s="70">
        <v>200</v>
      </c>
      <c r="M265" s="71" t="s">
        <v>980</v>
      </c>
      <c r="N265" s="72" t="s">
        <v>809</v>
      </c>
      <c r="O265" s="68">
        <v>1</v>
      </c>
      <c r="P265" s="69" t="str">
        <f t="shared" si="66"/>
        <v>10 Mac &amp; Cheese Bites 20G | 200G - ABE001-02</v>
      </c>
      <c r="Q265" s="72"/>
      <c r="R265" s="72"/>
      <c r="S265" s="72"/>
      <c r="T265" s="72"/>
      <c r="U265" s="72"/>
      <c r="V265" s="72"/>
      <c r="W265" s="72" t="s">
        <v>1437</v>
      </c>
      <c r="X265" s="1" t="s">
        <v>1766</v>
      </c>
      <c r="Y265" s="1">
        <v>2</v>
      </c>
      <c r="Z265" s="1"/>
    </row>
    <row r="266" spans="1:26" x14ac:dyDescent="0.25">
      <c r="A266" s="68">
        <f t="shared" si="67"/>
        <v>286</v>
      </c>
      <c r="B266" s="78" t="s">
        <v>1776</v>
      </c>
      <c r="C266" s="2" t="s">
        <v>1777</v>
      </c>
      <c r="D266" s="2" t="s">
        <v>1778</v>
      </c>
      <c r="E266" s="68" t="s">
        <v>885</v>
      </c>
      <c r="F266" s="2" t="s">
        <v>56</v>
      </c>
      <c r="G266" s="68" t="s">
        <v>17</v>
      </c>
      <c r="H266" s="68" t="s">
        <v>939</v>
      </c>
      <c r="I266" s="68">
        <f t="shared" si="68"/>
        <v>1285</v>
      </c>
      <c r="J266" s="68" t="s">
        <v>1777</v>
      </c>
      <c r="K266" s="2" t="s">
        <v>1784</v>
      </c>
      <c r="L266" s="70">
        <v>240</v>
      </c>
      <c r="M266" s="71" t="s">
        <v>980</v>
      </c>
      <c r="N266" s="72" t="s">
        <v>809</v>
      </c>
      <c r="O266" s="68">
        <v>1</v>
      </c>
      <c r="P266" s="69" t="str">
        <f t="shared" si="66"/>
        <v>10 Goats Cheese &amp; Marmalade Crostini 24G | 240G - MRC001-01</v>
      </c>
      <c r="Q266" s="72"/>
      <c r="R266" s="72"/>
      <c r="S266" s="72"/>
      <c r="T266" s="72"/>
      <c r="U266" s="72"/>
      <c r="V266" s="72">
        <v>0</v>
      </c>
      <c r="W266" s="72" t="s">
        <v>1437</v>
      </c>
      <c r="X266" s="72" t="s">
        <v>982</v>
      </c>
      <c r="Y266" s="72" t="s">
        <v>982</v>
      </c>
      <c r="Z266" s="72"/>
    </row>
    <row r="267" spans="1:26" x14ac:dyDescent="0.25">
      <c r="A267" s="68">
        <f t="shared" si="67"/>
        <v>287</v>
      </c>
      <c r="B267" s="78" t="s">
        <v>1776</v>
      </c>
      <c r="C267" s="2" t="s">
        <v>1782</v>
      </c>
      <c r="D267" s="2" t="s">
        <v>1779</v>
      </c>
      <c r="E267" s="68" t="s">
        <v>885</v>
      </c>
      <c r="F267" s="2" t="s">
        <v>56</v>
      </c>
      <c r="G267" s="68" t="s">
        <v>17</v>
      </c>
      <c r="H267" s="68" t="s">
        <v>939</v>
      </c>
      <c r="I267" s="68">
        <f t="shared" si="68"/>
        <v>1286</v>
      </c>
      <c r="J267" s="68" t="s">
        <v>1782</v>
      </c>
      <c r="K267" s="2" t="s">
        <v>1785</v>
      </c>
      <c r="L267" s="70">
        <v>210</v>
      </c>
      <c r="M267" s="71" t="s">
        <v>980</v>
      </c>
      <c r="N267" s="72" t="s">
        <v>809</v>
      </c>
      <c r="O267" s="68">
        <v>1</v>
      </c>
      <c r="P267" s="69" t="str">
        <f t="shared" si="66"/>
        <v>10 Montery Jack &amp; Chorizo Crostini 21G | 210G - MRC001-02</v>
      </c>
      <c r="Q267" s="72"/>
      <c r="R267" s="72"/>
      <c r="S267" s="72"/>
      <c r="T267" s="72"/>
      <c r="U267" s="72"/>
      <c r="V267" s="72"/>
      <c r="W267" s="72" t="s">
        <v>1437</v>
      </c>
      <c r="X267" s="72" t="s">
        <v>982</v>
      </c>
      <c r="Y267" s="72" t="s">
        <v>982</v>
      </c>
      <c r="Z267" s="72"/>
    </row>
    <row r="268" spans="1:26" x14ac:dyDescent="0.25">
      <c r="A268" s="68">
        <f t="shared" si="67"/>
        <v>288</v>
      </c>
      <c r="B268" s="78" t="s">
        <v>1775</v>
      </c>
      <c r="C268" s="2" t="s">
        <v>1783</v>
      </c>
      <c r="D268" s="2" t="s">
        <v>1781</v>
      </c>
      <c r="E268" s="68" t="s">
        <v>885</v>
      </c>
      <c r="F268" s="2" t="s">
        <v>1281</v>
      </c>
      <c r="G268" s="68" t="s">
        <v>17</v>
      </c>
      <c r="H268" s="68" t="s">
        <v>939</v>
      </c>
      <c r="I268" s="68">
        <f t="shared" si="68"/>
        <v>1287</v>
      </c>
      <c r="J268" s="68" t="s">
        <v>1783</v>
      </c>
      <c r="K268" s="68" t="s">
        <v>1780</v>
      </c>
      <c r="L268" s="70">
        <v>180</v>
      </c>
      <c r="M268" s="71" t="s">
        <v>979</v>
      </c>
      <c r="N268" s="72" t="s">
        <v>814</v>
      </c>
      <c r="O268" s="68">
        <v>1</v>
      </c>
      <c r="P268" s="69" t="str">
        <f t="shared" si="66"/>
        <v>12 Tiger Prawn Platter | 180G - TRA003-01</v>
      </c>
      <c r="Q268" s="72"/>
      <c r="R268" s="72"/>
      <c r="S268" s="72"/>
      <c r="T268" s="72"/>
      <c r="U268" s="72"/>
      <c r="V268" s="72"/>
      <c r="W268" s="72" t="s">
        <v>1437</v>
      </c>
      <c r="X268" s="72" t="s">
        <v>982</v>
      </c>
      <c r="Y268" s="72" t="s">
        <v>982</v>
      </c>
      <c r="Z268" s="72"/>
    </row>
    <row r="269" spans="1:26" x14ac:dyDescent="0.25">
      <c r="A269" s="68">
        <f t="shared" si="67"/>
        <v>289</v>
      </c>
      <c r="B269" s="78" t="s">
        <v>182</v>
      </c>
      <c r="C269" s="2" t="s">
        <v>1543</v>
      </c>
      <c r="D269" s="68" t="s">
        <v>1516</v>
      </c>
      <c r="E269" s="68" t="s">
        <v>885</v>
      </c>
      <c r="F269" s="68" t="s">
        <v>23</v>
      </c>
      <c r="G269" s="68" t="s">
        <v>6</v>
      </c>
      <c r="H269" s="68" t="s">
        <v>888</v>
      </c>
      <c r="I269" s="68">
        <f t="shared" si="68"/>
        <v>1288</v>
      </c>
      <c r="J269" s="2" t="s">
        <v>1787</v>
      </c>
      <c r="K269" s="2" t="s">
        <v>1788</v>
      </c>
      <c r="L269" s="70">
        <v>40</v>
      </c>
      <c r="M269" s="71" t="s">
        <v>979</v>
      </c>
      <c r="N269" s="72" t="s">
        <v>809</v>
      </c>
      <c r="O269" s="68">
        <v>1078</v>
      </c>
      <c r="P269" s="69" t="str">
        <f t="shared" si="66"/>
        <v>Lamb Samosa Cocktail 40G- R1 (British) - GFF182R</v>
      </c>
      <c r="Q269" s="72">
        <v>27.5</v>
      </c>
      <c r="R269" s="72">
        <v>23.1</v>
      </c>
      <c r="S269" s="72">
        <v>20.9</v>
      </c>
      <c r="T269" s="72">
        <v>13.2</v>
      </c>
      <c r="U269" s="72">
        <v>6.6</v>
      </c>
      <c r="V269" s="72">
        <v>8</v>
      </c>
      <c r="W269" s="72" t="s">
        <v>1435</v>
      </c>
      <c r="X269" s="72" t="s">
        <v>1502</v>
      </c>
      <c r="Y269" s="72">
        <v>3</v>
      </c>
      <c r="Z269" s="72"/>
    </row>
    <row r="270" spans="1:26" x14ac:dyDescent="0.25">
      <c r="A270" s="68">
        <f t="shared" si="67"/>
        <v>290</v>
      </c>
      <c r="B270" s="78" t="s">
        <v>182</v>
      </c>
      <c r="C270" s="2" t="s">
        <v>1789</v>
      </c>
      <c r="D270" s="2" t="s">
        <v>1526</v>
      </c>
      <c r="E270" s="68" t="s">
        <v>885</v>
      </c>
      <c r="F270" s="2" t="s">
        <v>51</v>
      </c>
      <c r="G270" s="68" t="s">
        <v>6</v>
      </c>
      <c r="H270" s="68" t="s">
        <v>888</v>
      </c>
      <c r="I270" s="68">
        <f t="shared" si="68"/>
        <v>1289</v>
      </c>
      <c r="J270" s="2" t="s">
        <v>1790</v>
      </c>
      <c r="K270" s="2" t="s">
        <v>1791</v>
      </c>
      <c r="L270" s="70">
        <v>30</v>
      </c>
      <c r="M270" s="71" t="s">
        <v>980</v>
      </c>
      <c r="N270" s="72" t="s">
        <v>814</v>
      </c>
      <c r="O270" s="68">
        <v>100</v>
      </c>
      <c r="P270" s="69" t="str">
        <f t="shared" si="66"/>
        <v>Spinach Pakora 30G - GFF213R</v>
      </c>
      <c r="Q270" s="72">
        <v>50</v>
      </c>
      <c r="R270" s="72">
        <f t="shared" ref="R270:R271" si="73">($Q270/5)*4</f>
        <v>40</v>
      </c>
      <c r="S270" s="72">
        <f t="shared" ref="S270:S271" si="74">($Q270/5)*3</f>
        <v>30</v>
      </c>
      <c r="T270" s="72">
        <f t="shared" ref="T270:T271" si="75">($Q270/5)*2</f>
        <v>20</v>
      </c>
      <c r="U270" s="72">
        <f t="shared" ref="U270:U271" si="76">($Q270/5)*1</f>
        <v>10</v>
      </c>
      <c r="V270" s="72"/>
      <c r="W270" s="72" t="s">
        <v>1435</v>
      </c>
      <c r="X270" s="1" t="s">
        <v>982</v>
      </c>
      <c r="Y270" s="72" t="s">
        <v>982</v>
      </c>
      <c r="Z270" s="72"/>
    </row>
    <row r="271" spans="1:26" x14ac:dyDescent="0.25">
      <c r="A271" s="68">
        <f t="shared" si="67"/>
        <v>291</v>
      </c>
      <c r="B271" s="78" t="s">
        <v>182</v>
      </c>
      <c r="C271" s="2" t="s">
        <v>1792</v>
      </c>
      <c r="D271" s="2" t="s">
        <v>1793</v>
      </c>
      <c r="E271" s="68" t="s">
        <v>885</v>
      </c>
      <c r="F271" s="2" t="s">
        <v>51</v>
      </c>
      <c r="G271" s="68" t="s">
        <v>6</v>
      </c>
      <c r="H271" s="68" t="s">
        <v>888</v>
      </c>
      <c r="I271" s="68">
        <f t="shared" si="68"/>
        <v>1290</v>
      </c>
      <c r="J271" s="2" t="s">
        <v>1794</v>
      </c>
      <c r="K271" s="2" t="s">
        <v>1793</v>
      </c>
      <c r="L271" s="53" t="s">
        <v>799</v>
      </c>
      <c r="M271" s="71" t="s">
        <v>979</v>
      </c>
      <c r="N271" s="72" t="s">
        <v>809</v>
      </c>
      <c r="O271" s="74">
        <v>4.5</v>
      </c>
      <c r="P271" s="69" t="str">
        <f t="shared" si="66"/>
        <v>Keralan Masala Fried Chicken - GFF218R</v>
      </c>
      <c r="Q271" s="72"/>
      <c r="R271" s="72">
        <f t="shared" si="73"/>
        <v>0</v>
      </c>
      <c r="S271" s="72">
        <f t="shared" si="74"/>
        <v>0</v>
      </c>
      <c r="T271" s="72">
        <f t="shared" si="75"/>
        <v>0</v>
      </c>
      <c r="U271" s="72">
        <f t="shared" si="76"/>
        <v>0</v>
      </c>
      <c r="V271" s="72"/>
      <c r="W271" s="72" t="s">
        <v>1435</v>
      </c>
      <c r="X271" s="1" t="s">
        <v>982</v>
      </c>
      <c r="Y271" s="72" t="s">
        <v>982</v>
      </c>
      <c r="Z271" s="72"/>
    </row>
    <row r="272" spans="1:26" x14ac:dyDescent="0.25">
      <c r="A272" s="68">
        <f t="shared" si="67"/>
        <v>292</v>
      </c>
      <c r="B272" s="78" t="s">
        <v>182</v>
      </c>
      <c r="C272" s="2" t="s">
        <v>1795</v>
      </c>
      <c r="D272" s="2" t="s">
        <v>1796</v>
      </c>
      <c r="E272" s="68" t="s">
        <v>886</v>
      </c>
      <c r="F272" s="2" t="s">
        <v>73</v>
      </c>
      <c r="G272" s="68" t="s">
        <v>6</v>
      </c>
      <c r="H272" s="68" t="s">
        <v>888</v>
      </c>
      <c r="I272" s="68">
        <f t="shared" si="68"/>
        <v>1291</v>
      </c>
      <c r="J272" s="2" t="s">
        <v>1797</v>
      </c>
      <c r="K272" s="2" t="s">
        <v>1796</v>
      </c>
      <c r="L272" s="70"/>
      <c r="M272" s="71" t="s">
        <v>980</v>
      </c>
      <c r="N272" s="72" t="s">
        <v>809</v>
      </c>
      <c r="O272" s="68">
        <v>1</v>
      </c>
      <c r="P272" s="69" t="str">
        <f t="shared" si="66"/>
        <v>Spinach Sweet Corn Curry - GFF214R</v>
      </c>
      <c r="Q272" s="72"/>
      <c r="R272" s="72"/>
      <c r="S272" s="72"/>
      <c r="T272" s="72"/>
      <c r="U272" s="72"/>
      <c r="V272" s="72"/>
      <c r="W272" s="72" t="s">
        <v>1435</v>
      </c>
      <c r="X272" s="1" t="s">
        <v>1480</v>
      </c>
      <c r="Y272" s="1">
        <v>2</v>
      </c>
      <c r="Z272" s="1"/>
    </row>
    <row r="273" spans="1:26" x14ac:dyDescent="0.25">
      <c r="A273" s="68">
        <f t="shared" si="67"/>
        <v>293</v>
      </c>
      <c r="B273" s="78" t="s">
        <v>182</v>
      </c>
      <c r="C273" s="2" t="s">
        <v>1798</v>
      </c>
      <c r="D273" s="2" t="s">
        <v>1799</v>
      </c>
      <c r="E273" s="68" t="s">
        <v>886</v>
      </c>
      <c r="F273" s="2" t="s">
        <v>62</v>
      </c>
      <c r="G273" s="68" t="s">
        <v>6</v>
      </c>
      <c r="H273" s="68" t="s">
        <v>888</v>
      </c>
      <c r="I273" s="68">
        <f t="shared" si="68"/>
        <v>1292</v>
      </c>
      <c r="J273" s="2" t="s">
        <v>1800</v>
      </c>
      <c r="K273" s="2" t="s">
        <v>1799</v>
      </c>
      <c r="L273" s="70"/>
      <c r="M273" s="71" t="s">
        <v>980</v>
      </c>
      <c r="N273" s="72" t="s">
        <v>809</v>
      </c>
      <c r="O273" s="68">
        <v>1</v>
      </c>
      <c r="P273" s="69" t="str">
        <f t="shared" si="66"/>
        <v>Mughlai Handi Sauce - GFF215R</v>
      </c>
      <c r="Q273" s="72"/>
      <c r="R273" s="72"/>
      <c r="S273" s="72"/>
      <c r="T273" s="72"/>
      <c r="U273" s="72"/>
      <c r="V273" s="72"/>
      <c r="W273" s="72" t="s">
        <v>1435</v>
      </c>
      <c r="X273" s="1" t="s">
        <v>1801</v>
      </c>
      <c r="Y273" s="1">
        <v>2</v>
      </c>
      <c r="Z273" s="1" t="s">
        <v>2227</v>
      </c>
    </row>
    <row r="274" spans="1:26" x14ac:dyDescent="0.25">
      <c r="A274" s="68">
        <f t="shared" si="67"/>
        <v>294</v>
      </c>
      <c r="B274" s="78" t="s">
        <v>182</v>
      </c>
      <c r="C274" s="2" t="s">
        <v>1802</v>
      </c>
      <c r="D274" s="2" t="s">
        <v>1803</v>
      </c>
      <c r="E274" s="68" t="s">
        <v>886</v>
      </c>
      <c r="F274" s="2" t="s">
        <v>62</v>
      </c>
      <c r="G274" s="68" t="s">
        <v>6</v>
      </c>
      <c r="H274" s="68" t="s">
        <v>888</v>
      </c>
      <c r="I274" s="68">
        <f t="shared" si="68"/>
        <v>1293</v>
      </c>
      <c r="J274" s="2" t="s">
        <v>1804</v>
      </c>
      <c r="K274" s="2" t="s">
        <v>1803</v>
      </c>
      <c r="L274" s="70"/>
      <c r="M274" s="71" t="s">
        <v>980</v>
      </c>
      <c r="N274" s="72" t="s">
        <v>809</v>
      </c>
      <c r="O274" s="68">
        <v>1</v>
      </c>
      <c r="P274" s="69" t="str">
        <f t="shared" si="66"/>
        <v>Lahore Handi Sauce - GFF217R</v>
      </c>
      <c r="Q274" s="72"/>
      <c r="R274" s="72"/>
      <c r="S274" s="72"/>
      <c r="T274" s="72"/>
      <c r="U274" s="72"/>
      <c r="V274" s="72"/>
      <c r="W274" s="72" t="s">
        <v>1435</v>
      </c>
      <c r="X274" s="1" t="s">
        <v>1481</v>
      </c>
      <c r="Y274" s="1">
        <v>3</v>
      </c>
      <c r="Z274" s="1"/>
    </row>
    <row r="275" spans="1:26" x14ac:dyDescent="0.25">
      <c r="A275" s="68">
        <f t="shared" si="67"/>
        <v>295</v>
      </c>
      <c r="B275" s="78" t="s">
        <v>182</v>
      </c>
      <c r="C275" s="2" t="s">
        <v>1805</v>
      </c>
      <c r="D275" s="2" t="s">
        <v>1806</v>
      </c>
      <c r="E275" s="68" t="s">
        <v>886</v>
      </c>
      <c r="F275" s="2" t="s">
        <v>62</v>
      </c>
      <c r="G275" s="68" t="s">
        <v>6</v>
      </c>
      <c r="H275" s="68" t="s">
        <v>888</v>
      </c>
      <c r="I275" s="68">
        <f t="shared" si="68"/>
        <v>1294</v>
      </c>
      <c r="J275" s="2" t="s">
        <v>1807</v>
      </c>
      <c r="K275" s="68" t="s">
        <v>1806</v>
      </c>
      <c r="L275" s="70"/>
      <c r="M275" s="71" t="s">
        <v>980</v>
      </c>
      <c r="N275" s="72" t="s">
        <v>809</v>
      </c>
      <c r="O275" s="68">
        <v>1</v>
      </c>
      <c r="P275" s="69" t="str">
        <f t="shared" si="66"/>
        <v>Chettinad Sauce - GFF216R</v>
      </c>
      <c r="Q275" s="72"/>
      <c r="R275" s="72"/>
      <c r="S275" s="72"/>
      <c r="T275" s="72"/>
      <c r="U275" s="72"/>
      <c r="V275" s="72"/>
      <c r="W275" s="72" t="s">
        <v>1435</v>
      </c>
      <c r="X275" s="1" t="s">
        <v>1808</v>
      </c>
      <c r="Y275" s="1">
        <v>2</v>
      </c>
      <c r="Z275" s="1" t="s">
        <v>2227</v>
      </c>
    </row>
    <row r="276" spans="1:26" x14ac:dyDescent="0.25">
      <c r="A276" s="68">
        <f t="shared" si="67"/>
        <v>296</v>
      </c>
      <c r="B276" s="78" t="s">
        <v>182</v>
      </c>
      <c r="C276" s="2" t="s">
        <v>1811</v>
      </c>
      <c r="D276" s="2" t="s">
        <v>1812</v>
      </c>
      <c r="E276" s="68" t="s">
        <v>886</v>
      </c>
      <c r="F276" s="2" t="s">
        <v>73</v>
      </c>
      <c r="G276" s="68" t="s">
        <v>6</v>
      </c>
      <c r="H276" s="68" t="s">
        <v>888</v>
      </c>
      <c r="I276" s="68">
        <f t="shared" si="68"/>
        <v>1295</v>
      </c>
      <c r="J276" s="2" t="s">
        <v>1813</v>
      </c>
      <c r="K276" s="2" t="s">
        <v>1812</v>
      </c>
      <c r="L276" s="70"/>
      <c r="M276" s="71" t="s">
        <v>980</v>
      </c>
      <c r="N276" s="72" t="s">
        <v>814</v>
      </c>
      <c r="O276" s="68">
        <v>1</v>
      </c>
      <c r="P276" s="69" t="str">
        <f t="shared" si="66"/>
        <v>Red Thai Vegetable Curry Sauce - GFF210R</v>
      </c>
      <c r="Q276" s="72"/>
      <c r="R276" s="72"/>
      <c r="S276" s="72"/>
      <c r="T276" s="72"/>
      <c r="U276" s="72"/>
      <c r="V276" s="72"/>
      <c r="W276" s="72" t="s">
        <v>1435</v>
      </c>
      <c r="X276" s="1" t="s">
        <v>1814</v>
      </c>
      <c r="Y276" s="1">
        <v>3</v>
      </c>
      <c r="Z276" s="1"/>
    </row>
    <row r="277" spans="1:26" x14ac:dyDescent="0.25">
      <c r="A277" s="68">
        <f t="shared" si="67"/>
        <v>297</v>
      </c>
      <c r="B277" s="78" t="s">
        <v>182</v>
      </c>
      <c r="C277" s="2" t="s">
        <v>1815</v>
      </c>
      <c r="D277" s="2" t="s">
        <v>1816</v>
      </c>
      <c r="E277" s="68" t="s">
        <v>886</v>
      </c>
      <c r="F277" s="2" t="s">
        <v>73</v>
      </c>
      <c r="G277" s="68" t="s">
        <v>6</v>
      </c>
      <c r="H277" s="68" t="s">
        <v>888</v>
      </c>
      <c r="I277" s="68">
        <f t="shared" si="68"/>
        <v>1296</v>
      </c>
      <c r="J277" s="2" t="s">
        <v>1817</v>
      </c>
      <c r="K277" s="2" t="s">
        <v>1816</v>
      </c>
      <c r="L277" s="70"/>
      <c r="M277" s="71" t="s">
        <v>980</v>
      </c>
      <c r="N277" s="72" t="s">
        <v>809</v>
      </c>
      <c r="O277" s="68">
        <v>1</v>
      </c>
      <c r="P277" s="69" t="str">
        <f t="shared" si="66"/>
        <v>Vegetable Tagine - GFF211R</v>
      </c>
      <c r="Q277" s="72"/>
      <c r="R277" s="72"/>
      <c r="S277" s="72"/>
      <c r="T277" s="72"/>
      <c r="U277" s="72"/>
      <c r="V277" s="72"/>
      <c r="W277" s="72" t="s">
        <v>1435</v>
      </c>
      <c r="X277" s="1" t="s">
        <v>1498</v>
      </c>
      <c r="Y277" s="1">
        <v>3</v>
      </c>
      <c r="Z277" s="1"/>
    </row>
    <row r="278" spans="1:26" x14ac:dyDescent="0.25">
      <c r="A278" s="68">
        <f t="shared" si="67"/>
        <v>298</v>
      </c>
      <c r="B278" s="78" t="s">
        <v>182</v>
      </c>
      <c r="C278" s="2" t="s">
        <v>1818</v>
      </c>
      <c r="D278" s="2" t="s">
        <v>1820</v>
      </c>
      <c r="E278" s="68" t="s">
        <v>886</v>
      </c>
      <c r="F278" s="2" t="s">
        <v>73</v>
      </c>
      <c r="G278" s="68" t="s">
        <v>6</v>
      </c>
      <c r="H278" s="68" t="s">
        <v>888</v>
      </c>
      <c r="I278" s="68">
        <f t="shared" si="68"/>
        <v>1297</v>
      </c>
      <c r="J278" s="2" t="s">
        <v>1819</v>
      </c>
      <c r="K278" s="2" t="s">
        <v>1820</v>
      </c>
      <c r="L278" s="70"/>
      <c r="M278" s="71" t="s">
        <v>980</v>
      </c>
      <c r="N278" s="72" t="s">
        <v>809</v>
      </c>
      <c r="O278" s="68">
        <v>1</v>
      </c>
      <c r="P278" s="69" t="str">
        <f t="shared" si="66"/>
        <v>Cous Cous - GFF212R</v>
      </c>
      <c r="Q278" s="72"/>
      <c r="R278" s="72"/>
      <c r="S278" s="72"/>
      <c r="T278" s="72"/>
      <c r="U278" s="72"/>
      <c r="V278" s="72"/>
      <c r="W278" s="72" t="s">
        <v>1435</v>
      </c>
      <c r="X278" s="1" t="s">
        <v>1501</v>
      </c>
      <c r="Y278" s="1">
        <v>3</v>
      </c>
      <c r="Z278" s="1"/>
    </row>
    <row r="279" spans="1:26" x14ac:dyDescent="0.25">
      <c r="A279" s="68">
        <f t="shared" si="67"/>
        <v>299</v>
      </c>
      <c r="B279" s="78" t="s">
        <v>182</v>
      </c>
      <c r="C279" s="2" t="s">
        <v>1822</v>
      </c>
      <c r="D279" s="68" t="s">
        <v>3096</v>
      </c>
      <c r="E279" s="68" t="s">
        <v>886</v>
      </c>
      <c r="F279" s="2" t="s">
        <v>56</v>
      </c>
      <c r="G279" s="68" t="s">
        <v>6</v>
      </c>
      <c r="H279" s="68" t="s">
        <v>888</v>
      </c>
      <c r="I279" s="68">
        <f t="shared" si="68"/>
        <v>1298</v>
      </c>
      <c r="J279" s="2" t="s">
        <v>1827</v>
      </c>
      <c r="K279" s="68" t="s">
        <v>3096</v>
      </c>
      <c r="L279" s="70"/>
      <c r="M279" s="71" t="s">
        <v>980</v>
      </c>
      <c r="N279" s="72" t="s">
        <v>814</v>
      </c>
      <c r="O279" s="68">
        <v>1</v>
      </c>
      <c r="P279" s="69" t="str">
        <f t="shared" si="66"/>
        <v>Mushroom and Spinach Mix - GFF220R</v>
      </c>
      <c r="Q279" s="72"/>
      <c r="R279" s="72"/>
      <c r="S279" s="72"/>
      <c r="T279" s="72"/>
      <c r="U279" s="72"/>
      <c r="V279" s="72"/>
      <c r="W279" s="72" t="s">
        <v>1435</v>
      </c>
      <c r="X279" s="1" t="s">
        <v>1480</v>
      </c>
      <c r="Y279" s="1">
        <v>2</v>
      </c>
      <c r="Z279" s="1"/>
    </row>
    <row r="280" spans="1:26" x14ac:dyDescent="0.25">
      <c r="A280" s="68">
        <f t="shared" si="67"/>
        <v>300</v>
      </c>
      <c r="B280" s="78" t="s">
        <v>182</v>
      </c>
      <c r="C280" s="2" t="s">
        <v>1825</v>
      </c>
      <c r="D280" s="68" t="s">
        <v>3097</v>
      </c>
      <c r="E280" s="68" t="s">
        <v>886</v>
      </c>
      <c r="F280" s="2" t="s">
        <v>56</v>
      </c>
      <c r="G280" s="68" t="s">
        <v>6</v>
      </c>
      <c r="H280" s="68" t="s">
        <v>888</v>
      </c>
      <c r="I280" s="68">
        <f t="shared" si="68"/>
        <v>1299</v>
      </c>
      <c r="J280" s="2" t="s">
        <v>1826</v>
      </c>
      <c r="K280" s="68" t="s">
        <v>3097</v>
      </c>
      <c r="L280" s="70"/>
      <c r="M280" s="71" t="s">
        <v>980</v>
      </c>
      <c r="N280" s="72" t="s">
        <v>814</v>
      </c>
      <c r="O280" s="68">
        <v>1</v>
      </c>
      <c r="P280" s="69" t="str">
        <f t="shared" si="66"/>
        <v>Mushroom, Spinach &amp; Ricotta Cheese Mix - GFF221R</v>
      </c>
      <c r="Q280" s="72"/>
      <c r="R280" s="72"/>
      <c r="S280" s="72"/>
      <c r="T280" s="72"/>
      <c r="U280" s="72"/>
      <c r="V280" s="72"/>
      <c r="W280" s="72" t="s">
        <v>1435</v>
      </c>
      <c r="X280" s="72" t="s">
        <v>982</v>
      </c>
      <c r="Y280" s="72" t="s">
        <v>982</v>
      </c>
      <c r="Z280" s="72"/>
    </row>
    <row r="281" spans="1:26" x14ac:dyDescent="0.25">
      <c r="A281" s="68">
        <f t="shared" ref="A281:A300" si="77">A280+1</f>
        <v>301</v>
      </c>
      <c r="B281" s="78" t="s">
        <v>182</v>
      </c>
      <c r="C281" s="2" t="s">
        <v>1830</v>
      </c>
      <c r="D281" s="2" t="s">
        <v>1831</v>
      </c>
      <c r="E281" s="68" t="s">
        <v>886</v>
      </c>
      <c r="F281" s="2" t="s">
        <v>1832</v>
      </c>
      <c r="G281" s="68" t="s">
        <v>6</v>
      </c>
      <c r="H281" s="68" t="s">
        <v>888</v>
      </c>
      <c r="I281" s="68">
        <f t="shared" si="68"/>
        <v>1300</v>
      </c>
      <c r="J281" s="2" t="s">
        <v>1833</v>
      </c>
      <c r="K281" s="2" t="s">
        <v>1831</v>
      </c>
      <c r="L281" s="70"/>
      <c r="M281" s="71" t="s">
        <v>979</v>
      </c>
      <c r="N281" s="72" t="s">
        <v>809</v>
      </c>
      <c r="O281" s="68">
        <v>1</v>
      </c>
      <c r="P281" s="69" t="str">
        <f t="shared" si="66"/>
        <v>Turkey &amp; Leek Mix - GFF223R</v>
      </c>
      <c r="Q281" s="72"/>
      <c r="R281" s="72"/>
      <c r="S281" s="72"/>
      <c r="T281" s="72"/>
      <c r="U281" s="72"/>
      <c r="V281" s="72"/>
      <c r="W281" s="72" t="s">
        <v>1435</v>
      </c>
      <c r="X281" s="1" t="s">
        <v>1744</v>
      </c>
      <c r="Y281" s="1">
        <v>2</v>
      </c>
      <c r="Z281" s="1"/>
    </row>
    <row r="282" spans="1:26" x14ac:dyDescent="0.25">
      <c r="A282" s="68">
        <f t="shared" si="77"/>
        <v>302</v>
      </c>
      <c r="B282" s="78" t="s">
        <v>182</v>
      </c>
      <c r="C282" s="2" t="s">
        <v>1834</v>
      </c>
      <c r="D282" s="2" t="s">
        <v>1835</v>
      </c>
      <c r="E282" s="68" t="s">
        <v>886</v>
      </c>
      <c r="F282" s="2" t="s">
        <v>1832</v>
      </c>
      <c r="G282" s="68" t="s">
        <v>6</v>
      </c>
      <c r="H282" s="68" t="s">
        <v>888</v>
      </c>
      <c r="I282" s="68">
        <f t="shared" si="68"/>
        <v>1301</v>
      </c>
      <c r="J282" s="2" t="s">
        <v>1836</v>
      </c>
      <c r="K282" s="2" t="s">
        <v>1835</v>
      </c>
      <c r="L282" s="70"/>
      <c r="M282" s="71" t="s">
        <v>979</v>
      </c>
      <c r="N282" s="72" t="s">
        <v>809</v>
      </c>
      <c r="O282" s="68">
        <v>1</v>
      </c>
      <c r="P282" s="69" t="str">
        <f t="shared" si="66"/>
        <v>Baked Turkey 10mm - GFF224R</v>
      </c>
      <c r="Q282" s="72"/>
      <c r="R282" s="72"/>
      <c r="S282" s="72"/>
      <c r="T282" s="72"/>
      <c r="U282" s="72"/>
      <c r="V282" s="72"/>
      <c r="W282" s="72" t="s">
        <v>1435</v>
      </c>
      <c r="X282" s="72" t="s">
        <v>982</v>
      </c>
      <c r="Y282" s="72" t="s">
        <v>982</v>
      </c>
      <c r="Z282" s="72"/>
    </row>
    <row r="283" spans="1:26" x14ac:dyDescent="0.25">
      <c r="A283" s="68">
        <f t="shared" si="77"/>
        <v>303</v>
      </c>
      <c r="B283" s="78" t="s">
        <v>1837</v>
      </c>
      <c r="C283" s="2" t="s">
        <v>1839</v>
      </c>
      <c r="D283" s="2" t="s">
        <v>1838</v>
      </c>
      <c r="E283" s="68" t="s">
        <v>885</v>
      </c>
      <c r="F283" s="2" t="s">
        <v>1840</v>
      </c>
      <c r="G283" s="68" t="s">
        <v>17</v>
      </c>
      <c r="H283" s="68" t="s">
        <v>888</v>
      </c>
      <c r="I283" s="68">
        <f t="shared" si="68"/>
        <v>1302</v>
      </c>
      <c r="J283" s="2" t="s">
        <v>1839</v>
      </c>
      <c r="K283" s="2" t="s">
        <v>1841</v>
      </c>
      <c r="L283" s="70">
        <v>20</v>
      </c>
      <c r="M283" s="71" t="s">
        <v>979</v>
      </c>
      <c r="N283" s="72" t="s">
        <v>809</v>
      </c>
      <c r="O283" s="68">
        <v>1</v>
      </c>
      <c r="P283" s="69" t="str">
        <f t="shared" si="66"/>
        <v>Parsnip &amp; Carrot Fritters 20G - MED001-01</v>
      </c>
      <c r="Q283" s="72"/>
      <c r="R283" s="72"/>
      <c r="S283" s="72"/>
      <c r="T283" s="72"/>
      <c r="U283" s="72"/>
      <c r="V283" s="72"/>
      <c r="W283" s="72" t="s">
        <v>1435</v>
      </c>
      <c r="X283" s="72" t="s">
        <v>982</v>
      </c>
      <c r="Y283" s="72" t="s">
        <v>982</v>
      </c>
      <c r="Z283" s="72"/>
    </row>
    <row r="284" spans="1:26" x14ac:dyDescent="0.25">
      <c r="A284" s="68">
        <f t="shared" si="77"/>
        <v>304</v>
      </c>
      <c r="B284" s="78" t="s">
        <v>182</v>
      </c>
      <c r="C284" s="2" t="s">
        <v>1854</v>
      </c>
      <c r="D284" s="2" t="s">
        <v>1855</v>
      </c>
      <c r="E284" s="68" t="s">
        <v>886</v>
      </c>
      <c r="F284" s="2" t="s">
        <v>1414</v>
      </c>
      <c r="G284" s="68" t="s">
        <v>6</v>
      </c>
      <c r="H284" s="68" t="s">
        <v>888</v>
      </c>
      <c r="I284" s="68">
        <f t="shared" si="68"/>
        <v>1303</v>
      </c>
      <c r="J284" s="2" t="s">
        <v>1856</v>
      </c>
      <c r="K284" s="2" t="s">
        <v>1855</v>
      </c>
      <c r="L284" s="70"/>
      <c r="M284" s="71" t="s">
        <v>979</v>
      </c>
      <c r="N284" s="72" t="s">
        <v>809</v>
      </c>
      <c r="O284" s="68">
        <v>1</v>
      </c>
      <c r="P284" s="69" t="str">
        <f t="shared" si="66"/>
        <v>Beef Bolognaise - GFF228R</v>
      </c>
      <c r="Q284" s="72"/>
      <c r="R284" s="72"/>
      <c r="S284" s="72"/>
      <c r="T284" s="72"/>
      <c r="U284" s="72"/>
      <c r="V284" s="72"/>
      <c r="W284" s="72" t="s">
        <v>1435</v>
      </c>
      <c r="X284" s="1" t="s">
        <v>982</v>
      </c>
      <c r="Y284" s="72">
        <v>3</v>
      </c>
      <c r="Z284" s="72"/>
    </row>
    <row r="285" spans="1:26" x14ac:dyDescent="0.25">
      <c r="A285" s="68">
        <f t="shared" si="77"/>
        <v>305</v>
      </c>
      <c r="B285" s="78" t="s">
        <v>182</v>
      </c>
      <c r="C285" s="2" t="s">
        <v>1857</v>
      </c>
      <c r="D285" s="2" t="s">
        <v>1858</v>
      </c>
      <c r="E285" s="68" t="s">
        <v>886</v>
      </c>
      <c r="F285" s="2" t="s">
        <v>56</v>
      </c>
      <c r="G285" s="68" t="s">
        <v>6</v>
      </c>
      <c r="H285" s="68" t="s">
        <v>888</v>
      </c>
      <c r="I285" s="68">
        <f t="shared" si="68"/>
        <v>1304</v>
      </c>
      <c r="J285" s="2" t="s">
        <v>1859</v>
      </c>
      <c r="K285" s="68" t="s">
        <v>1858</v>
      </c>
      <c r="L285" s="70"/>
      <c r="M285" s="71" t="s">
        <v>979</v>
      </c>
      <c r="N285" s="72" t="s">
        <v>809</v>
      </c>
      <c r="O285" s="68">
        <v>1</v>
      </c>
      <c r="P285" s="69" t="str">
        <f t="shared" si="66"/>
        <v>Steamed Butternut Slices - GFF229R</v>
      </c>
      <c r="Q285" s="72"/>
      <c r="R285" s="72"/>
      <c r="S285" s="72"/>
      <c r="T285" s="72"/>
      <c r="U285" s="72"/>
      <c r="V285" s="72"/>
      <c r="W285" s="72" t="s">
        <v>1435</v>
      </c>
      <c r="X285" s="1" t="s">
        <v>982</v>
      </c>
      <c r="Y285" s="72" t="s">
        <v>982</v>
      </c>
      <c r="Z285" s="72"/>
    </row>
    <row r="286" spans="1:26" x14ac:dyDescent="0.25">
      <c r="A286" s="68">
        <f t="shared" si="77"/>
        <v>306</v>
      </c>
      <c r="B286" s="78" t="s">
        <v>1913</v>
      </c>
      <c r="C286" s="2" t="s">
        <v>1905</v>
      </c>
      <c r="D286" s="2" t="s">
        <v>1860</v>
      </c>
      <c r="E286" s="68" t="s">
        <v>886</v>
      </c>
      <c r="F286" s="2" t="s">
        <v>56</v>
      </c>
      <c r="G286" s="2" t="s">
        <v>17</v>
      </c>
      <c r="H286" s="68" t="s">
        <v>888</v>
      </c>
      <c r="I286" s="68">
        <f t="shared" si="68"/>
        <v>1305</v>
      </c>
      <c r="J286" s="2" t="s">
        <v>1911</v>
      </c>
      <c r="K286" s="2" t="s">
        <v>1860</v>
      </c>
      <c r="L286" s="70"/>
      <c r="M286" s="71" t="s">
        <v>980</v>
      </c>
      <c r="N286" s="72" t="s">
        <v>809</v>
      </c>
      <c r="O286" s="68">
        <v>1</v>
      </c>
      <c r="P286" s="69" t="str">
        <f t="shared" si="66"/>
        <v>Toasted Nut Mix - GFF1305</v>
      </c>
      <c r="Q286" s="72"/>
      <c r="R286" s="72"/>
      <c r="S286" s="72"/>
      <c r="T286" s="72"/>
      <c r="U286" s="72"/>
      <c r="V286" s="72"/>
      <c r="W286" s="72" t="s">
        <v>1435</v>
      </c>
      <c r="X286" s="1" t="s">
        <v>1862</v>
      </c>
      <c r="Y286" s="1">
        <v>1</v>
      </c>
      <c r="Z286" s="1"/>
    </row>
    <row r="287" spans="1:26" x14ac:dyDescent="0.25">
      <c r="A287" s="68">
        <f t="shared" si="77"/>
        <v>307</v>
      </c>
      <c r="B287" s="78" t="s">
        <v>1674</v>
      </c>
      <c r="C287" s="2" t="s">
        <v>1906</v>
      </c>
      <c r="D287" s="2" t="s">
        <v>1864</v>
      </c>
      <c r="E287" s="68" t="s">
        <v>886</v>
      </c>
      <c r="F287" s="2" t="s">
        <v>56</v>
      </c>
      <c r="G287" s="68" t="s">
        <v>17</v>
      </c>
      <c r="H287" s="68" t="s">
        <v>888</v>
      </c>
      <c r="I287" s="68">
        <f t="shared" si="68"/>
        <v>1306</v>
      </c>
      <c r="J287" s="2" t="s">
        <v>1863</v>
      </c>
      <c r="K287" s="2" t="s">
        <v>1864</v>
      </c>
      <c r="L287" s="70"/>
      <c r="M287" s="71" t="s">
        <v>980</v>
      </c>
      <c r="N287" s="72" t="s">
        <v>809</v>
      </c>
      <c r="O287" s="68">
        <v>1</v>
      </c>
      <c r="P287" s="69" t="str">
        <f t="shared" si="66"/>
        <v>Fresh Parsley - GFF1306</v>
      </c>
      <c r="Q287" s="72"/>
      <c r="R287" s="72"/>
      <c r="S287" s="72"/>
      <c r="T287" s="72"/>
      <c r="U287" s="72"/>
      <c r="V287" s="72"/>
      <c r="W287" s="72" t="s">
        <v>1435</v>
      </c>
      <c r="X287" s="1" t="s">
        <v>982</v>
      </c>
      <c r="Y287" s="1" t="s">
        <v>982</v>
      </c>
      <c r="Z287" s="1"/>
    </row>
    <row r="288" spans="1:26" x14ac:dyDescent="0.25">
      <c r="A288" s="68">
        <f t="shared" si="77"/>
        <v>308</v>
      </c>
      <c r="B288" s="78" t="s">
        <v>182</v>
      </c>
      <c r="C288" s="2" t="s">
        <v>1892</v>
      </c>
      <c r="D288" s="2" t="s">
        <v>1865</v>
      </c>
      <c r="E288" s="68" t="s">
        <v>886</v>
      </c>
      <c r="F288" s="2" t="s">
        <v>128</v>
      </c>
      <c r="G288" s="68" t="s">
        <v>6</v>
      </c>
      <c r="H288" s="68" t="s">
        <v>888</v>
      </c>
      <c r="I288" s="68">
        <f t="shared" si="68"/>
        <v>1307</v>
      </c>
      <c r="J288" s="2" t="s">
        <v>1861</v>
      </c>
      <c r="K288" s="2" t="s">
        <v>1865</v>
      </c>
      <c r="L288" s="70"/>
      <c r="M288" s="71" t="s">
        <v>980</v>
      </c>
      <c r="N288" s="72" t="s">
        <v>809</v>
      </c>
      <c r="O288" s="68">
        <v>1</v>
      </c>
      <c r="P288" s="69" t="str">
        <f t="shared" si="66"/>
        <v>Panang Chicken - GFF237R</v>
      </c>
      <c r="Q288" s="72"/>
      <c r="R288" s="72"/>
      <c r="S288" s="72"/>
      <c r="T288" s="72"/>
      <c r="U288" s="72"/>
      <c r="V288" s="72"/>
      <c r="W288" s="72" t="s">
        <v>1435</v>
      </c>
      <c r="X288" s="1" t="s">
        <v>1618</v>
      </c>
      <c r="Y288" s="1">
        <v>1</v>
      </c>
      <c r="Z288" s="1"/>
    </row>
    <row r="289" spans="1:26" x14ac:dyDescent="0.25">
      <c r="A289" s="68">
        <f t="shared" si="77"/>
        <v>309</v>
      </c>
      <c r="B289" s="78" t="s">
        <v>182</v>
      </c>
      <c r="C289" s="2" t="s">
        <v>1893</v>
      </c>
      <c r="D289" s="2" t="s">
        <v>1866</v>
      </c>
      <c r="E289" s="68" t="s">
        <v>886</v>
      </c>
      <c r="F289" s="2" t="s">
        <v>128</v>
      </c>
      <c r="G289" s="68" t="s">
        <v>6</v>
      </c>
      <c r="H289" s="68" t="s">
        <v>888</v>
      </c>
      <c r="I289" s="68">
        <f t="shared" si="68"/>
        <v>1308</v>
      </c>
      <c r="J289" s="2" t="s">
        <v>1878</v>
      </c>
      <c r="K289" s="2" t="s">
        <v>1866</v>
      </c>
      <c r="L289" s="70"/>
      <c r="M289" s="71" t="s">
        <v>979</v>
      </c>
      <c r="N289" s="72" t="s">
        <v>809</v>
      </c>
      <c r="O289" s="68">
        <v>1</v>
      </c>
      <c r="P289" s="69" t="str">
        <f t="shared" si="66"/>
        <v>Panang Curry - R1 - GFF236R</v>
      </c>
      <c r="Q289" s="72"/>
      <c r="R289" s="72"/>
      <c r="S289" s="72"/>
      <c r="T289" s="72"/>
      <c r="U289" s="72"/>
      <c r="V289" s="72"/>
      <c r="W289" s="72" t="s">
        <v>1435</v>
      </c>
      <c r="X289" s="1" t="s">
        <v>1618</v>
      </c>
      <c r="Y289" s="1">
        <v>1</v>
      </c>
      <c r="Z289" s="1"/>
    </row>
    <row r="290" spans="1:26" x14ac:dyDescent="0.25">
      <c r="A290" s="68">
        <f t="shared" si="77"/>
        <v>310</v>
      </c>
      <c r="B290" s="78" t="s">
        <v>182</v>
      </c>
      <c r="C290" s="2" t="s">
        <v>1894</v>
      </c>
      <c r="D290" s="2" t="s">
        <v>2922</v>
      </c>
      <c r="E290" s="68" t="s">
        <v>886</v>
      </c>
      <c r="F290" s="2" t="s">
        <v>1540</v>
      </c>
      <c r="G290" s="68" t="s">
        <v>6</v>
      </c>
      <c r="H290" s="68" t="s">
        <v>888</v>
      </c>
      <c r="I290" s="68">
        <f t="shared" si="68"/>
        <v>1309</v>
      </c>
      <c r="J290" s="2" t="s">
        <v>1879</v>
      </c>
      <c r="K290" s="2" t="s">
        <v>2922</v>
      </c>
      <c r="L290" s="70"/>
      <c r="M290" s="71" t="s">
        <v>980</v>
      </c>
      <c r="N290" s="72" t="s">
        <v>814</v>
      </c>
      <c r="O290" s="68">
        <v>1</v>
      </c>
      <c r="P290" s="69" t="str">
        <f t="shared" si="66"/>
        <v>Coriander Black Rice (MC) - GFF238R</v>
      </c>
      <c r="Q290" s="72"/>
      <c r="R290" s="72"/>
      <c r="S290" s="72"/>
      <c r="T290" s="72"/>
      <c r="U290" s="72"/>
      <c r="V290" s="72"/>
      <c r="W290" s="72" t="s">
        <v>1435</v>
      </c>
      <c r="X290" s="1" t="s">
        <v>982</v>
      </c>
      <c r="Y290" s="1" t="s">
        <v>982</v>
      </c>
      <c r="Z290" s="1"/>
    </row>
    <row r="291" spans="1:26" x14ac:dyDescent="0.25">
      <c r="A291" s="68">
        <f t="shared" si="77"/>
        <v>311</v>
      </c>
      <c r="B291" s="78" t="s">
        <v>1674</v>
      </c>
      <c r="C291" s="2" t="s">
        <v>1907</v>
      </c>
      <c r="D291" s="2" t="s">
        <v>1868</v>
      </c>
      <c r="E291" s="68" t="s">
        <v>886</v>
      </c>
      <c r="F291" s="2" t="s">
        <v>56</v>
      </c>
      <c r="G291" s="68" t="s">
        <v>17</v>
      </c>
      <c r="H291" s="68" t="s">
        <v>888</v>
      </c>
      <c r="I291" s="68">
        <f t="shared" si="68"/>
        <v>1310</v>
      </c>
      <c r="J291" s="2" t="s">
        <v>1867</v>
      </c>
      <c r="K291" s="2" t="s">
        <v>1868</v>
      </c>
      <c r="L291" s="70"/>
      <c r="M291" s="71" t="s">
        <v>980</v>
      </c>
      <c r="N291" s="72" t="s">
        <v>814</v>
      </c>
      <c r="O291" s="68">
        <v>1</v>
      </c>
      <c r="P291" s="69" t="str">
        <f t="shared" si="66"/>
        <v>Cherry Tomato - GFF1310</v>
      </c>
      <c r="Q291" s="72"/>
      <c r="R291" s="72"/>
      <c r="S291" s="72"/>
      <c r="T291" s="72"/>
      <c r="U291" s="72"/>
      <c r="V291" s="72"/>
      <c r="W291" s="72" t="s">
        <v>1435</v>
      </c>
      <c r="X291" s="1" t="s">
        <v>982</v>
      </c>
      <c r="Y291" s="1" t="s">
        <v>982</v>
      </c>
      <c r="Z291" s="1"/>
    </row>
    <row r="292" spans="1:26" x14ac:dyDescent="0.25">
      <c r="A292" s="68">
        <f t="shared" si="77"/>
        <v>312</v>
      </c>
      <c r="B292" s="78" t="s">
        <v>182</v>
      </c>
      <c r="C292" s="2" t="s">
        <v>1895</v>
      </c>
      <c r="D292" s="2" t="s">
        <v>1869</v>
      </c>
      <c r="E292" s="68" t="s">
        <v>886</v>
      </c>
      <c r="F292" s="2" t="s">
        <v>1483</v>
      </c>
      <c r="G292" s="68" t="s">
        <v>6</v>
      </c>
      <c r="H292" s="68" t="s">
        <v>888</v>
      </c>
      <c r="I292" s="68">
        <f t="shared" si="68"/>
        <v>1311</v>
      </c>
      <c r="J292" s="2" t="s">
        <v>1880</v>
      </c>
      <c r="K292" s="2" t="s">
        <v>1869</v>
      </c>
      <c r="L292" s="70"/>
      <c r="M292" s="71" t="s">
        <v>979</v>
      </c>
      <c r="N292" s="72" t="s">
        <v>809</v>
      </c>
      <c r="O292" s="68">
        <v>1</v>
      </c>
      <c r="P292" s="69" t="str">
        <f t="shared" si="66"/>
        <v>Fish Pie Mix - GFF230R</v>
      </c>
      <c r="Q292" s="72"/>
      <c r="R292" s="72"/>
      <c r="S292" s="72"/>
      <c r="T292" s="72"/>
      <c r="U292" s="72"/>
      <c r="V292" s="72"/>
      <c r="W292" s="72" t="s">
        <v>1435</v>
      </c>
      <c r="X292" s="1" t="s">
        <v>1876</v>
      </c>
      <c r="Y292" s="1">
        <v>1</v>
      </c>
      <c r="Z292" s="1"/>
    </row>
    <row r="293" spans="1:26" x14ac:dyDescent="0.25">
      <c r="A293" s="68">
        <f t="shared" si="77"/>
        <v>313</v>
      </c>
      <c r="B293" s="78" t="s">
        <v>182</v>
      </c>
      <c r="C293" s="2" t="s">
        <v>1896</v>
      </c>
      <c r="D293" s="2" t="s">
        <v>1870</v>
      </c>
      <c r="E293" s="68" t="s">
        <v>886</v>
      </c>
      <c r="F293" s="2" t="s">
        <v>56</v>
      </c>
      <c r="G293" s="68" t="s">
        <v>6</v>
      </c>
      <c r="H293" s="68" t="s">
        <v>888</v>
      </c>
      <c r="I293" s="68">
        <f t="shared" si="68"/>
        <v>1312</v>
      </c>
      <c r="J293" s="2" t="s">
        <v>1881</v>
      </c>
      <c r="K293" s="2" t="s">
        <v>1870</v>
      </c>
      <c r="L293" s="70"/>
      <c r="M293" s="71" t="s">
        <v>980</v>
      </c>
      <c r="N293" s="72" t="s">
        <v>814</v>
      </c>
      <c r="O293" s="68">
        <v>1</v>
      </c>
      <c r="P293" s="69" t="str">
        <f t="shared" si="66"/>
        <v>Sweet Potato Mash - GFF232R</v>
      </c>
      <c r="Q293" s="72"/>
      <c r="R293" s="72"/>
      <c r="S293" s="72"/>
      <c r="T293" s="72"/>
      <c r="U293" s="72"/>
      <c r="V293" s="72"/>
      <c r="W293" s="72" t="s">
        <v>1435</v>
      </c>
      <c r="X293" s="1" t="s">
        <v>982</v>
      </c>
      <c r="Y293" s="1" t="s">
        <v>982</v>
      </c>
      <c r="Z293" s="1"/>
    </row>
    <row r="294" spans="1:26" x14ac:dyDescent="0.25">
      <c r="A294" s="68">
        <f t="shared" si="77"/>
        <v>314</v>
      </c>
      <c r="B294" s="78" t="s">
        <v>1871</v>
      </c>
      <c r="C294" s="2" t="s">
        <v>1908</v>
      </c>
      <c r="D294" s="2" t="s">
        <v>1873</v>
      </c>
      <c r="E294" s="68" t="s">
        <v>886</v>
      </c>
      <c r="F294" s="2" t="s">
        <v>56</v>
      </c>
      <c r="G294" s="68" t="s">
        <v>17</v>
      </c>
      <c r="H294" s="68" t="s">
        <v>888</v>
      </c>
      <c r="I294" s="68">
        <f t="shared" si="68"/>
        <v>1313</v>
      </c>
      <c r="J294" s="2" t="s">
        <v>1872</v>
      </c>
      <c r="K294" s="2" t="s">
        <v>1873</v>
      </c>
      <c r="L294" s="70"/>
      <c r="M294" s="71" t="s">
        <v>980</v>
      </c>
      <c r="N294" s="72" t="s">
        <v>809</v>
      </c>
      <c r="O294" s="68">
        <v>1</v>
      </c>
      <c r="P294" s="69" t="str">
        <f t="shared" si="66"/>
        <v>IQF Curly Parsley Medium STD - GFF1313</v>
      </c>
      <c r="Q294" s="72"/>
      <c r="R294" s="72"/>
      <c r="S294" s="72"/>
      <c r="T294" s="72"/>
      <c r="U294" s="72"/>
      <c r="V294" s="72"/>
      <c r="W294" s="72" t="s">
        <v>1435</v>
      </c>
      <c r="X294" s="1" t="s">
        <v>982</v>
      </c>
      <c r="Y294" s="1" t="s">
        <v>982</v>
      </c>
      <c r="Z294" s="1"/>
    </row>
    <row r="295" spans="1:26" x14ac:dyDescent="0.25">
      <c r="A295" s="68">
        <f t="shared" si="77"/>
        <v>315</v>
      </c>
      <c r="B295" s="78" t="s">
        <v>1423</v>
      </c>
      <c r="C295" s="2" t="s">
        <v>1909</v>
      </c>
      <c r="D295" s="2" t="s">
        <v>1875</v>
      </c>
      <c r="E295" s="68" t="s">
        <v>886</v>
      </c>
      <c r="F295" s="2" t="s">
        <v>56</v>
      </c>
      <c r="G295" s="68" t="s">
        <v>17</v>
      </c>
      <c r="H295" s="68" t="s">
        <v>888</v>
      </c>
      <c r="I295" s="68">
        <f t="shared" si="68"/>
        <v>1314</v>
      </c>
      <c r="J295" s="2" t="s">
        <v>1874</v>
      </c>
      <c r="K295" s="2" t="s">
        <v>451</v>
      </c>
      <c r="L295" s="70"/>
      <c r="M295" s="71" t="s">
        <v>980</v>
      </c>
      <c r="N295" s="72" t="s">
        <v>809</v>
      </c>
      <c r="O295" s="68">
        <v>1</v>
      </c>
      <c r="P295" s="69" t="str">
        <f t="shared" si="66"/>
        <v>Paprika Powder - GFF1314</v>
      </c>
      <c r="Q295" s="72"/>
      <c r="R295" s="72"/>
      <c r="S295" s="72"/>
      <c r="T295" s="72"/>
      <c r="U295" s="72"/>
      <c r="V295" s="72"/>
      <c r="W295" s="72" t="s">
        <v>1435</v>
      </c>
      <c r="X295" s="1" t="s">
        <v>982</v>
      </c>
      <c r="Y295" s="1" t="s">
        <v>982</v>
      </c>
      <c r="Z295" s="1"/>
    </row>
    <row r="296" spans="1:26" x14ac:dyDescent="0.25">
      <c r="A296" s="68">
        <f t="shared" si="77"/>
        <v>316</v>
      </c>
      <c r="B296" s="78" t="s">
        <v>182</v>
      </c>
      <c r="C296" s="2" t="s">
        <v>1903</v>
      </c>
      <c r="D296" s="2" t="s">
        <v>1877</v>
      </c>
      <c r="E296" s="68" t="s">
        <v>886</v>
      </c>
      <c r="F296" s="2" t="s">
        <v>56</v>
      </c>
      <c r="G296" s="68" t="s">
        <v>6</v>
      </c>
      <c r="H296" s="68" t="s">
        <v>888</v>
      </c>
      <c r="I296" s="68">
        <f t="shared" si="68"/>
        <v>1315</v>
      </c>
      <c r="J296" s="2" t="s">
        <v>1882</v>
      </c>
      <c r="K296" s="2" t="s">
        <v>1877</v>
      </c>
      <c r="L296" s="70"/>
      <c r="M296" s="71" t="s">
        <v>980</v>
      </c>
      <c r="N296" s="72" t="s">
        <v>809</v>
      </c>
      <c r="O296" s="68">
        <v>1</v>
      </c>
      <c r="P296" s="69" t="str">
        <f t="shared" si="66"/>
        <v>Rice &amp; Bean Mix - GFF234R</v>
      </c>
      <c r="Q296" s="72"/>
      <c r="R296" s="72"/>
      <c r="S296" s="72"/>
      <c r="T296" s="72"/>
      <c r="U296" s="72"/>
      <c r="V296" s="72"/>
      <c r="W296" s="72" t="s">
        <v>1435</v>
      </c>
      <c r="X296" s="1" t="s">
        <v>982</v>
      </c>
      <c r="Y296" s="1" t="s">
        <v>982</v>
      </c>
      <c r="Z296" s="1"/>
    </row>
    <row r="297" spans="1:26" x14ac:dyDescent="0.25">
      <c r="A297" s="68">
        <f t="shared" si="77"/>
        <v>317</v>
      </c>
      <c r="B297" s="78" t="s">
        <v>182</v>
      </c>
      <c r="C297" s="2" t="s">
        <v>1904</v>
      </c>
      <c r="D297" s="2" t="s">
        <v>1883</v>
      </c>
      <c r="E297" s="68" t="s">
        <v>886</v>
      </c>
      <c r="F297" s="2" t="s">
        <v>56</v>
      </c>
      <c r="G297" s="68" t="s">
        <v>6</v>
      </c>
      <c r="H297" s="68" t="s">
        <v>888</v>
      </c>
      <c r="I297" s="68">
        <f t="shared" si="68"/>
        <v>1316</v>
      </c>
      <c r="J297" s="2" t="s">
        <v>1884</v>
      </c>
      <c r="K297" s="2" t="s">
        <v>1883</v>
      </c>
      <c r="L297" s="70"/>
      <c r="M297" s="71" t="s">
        <v>980</v>
      </c>
      <c r="N297" s="72" t="s">
        <v>809</v>
      </c>
      <c r="O297" s="68">
        <v>1</v>
      </c>
      <c r="P297" s="69" t="str">
        <f t="shared" si="66"/>
        <v>Jackfruit Salsa - GFF235R</v>
      </c>
      <c r="Q297" s="72"/>
      <c r="R297" s="72"/>
      <c r="S297" s="72"/>
      <c r="T297" s="72"/>
      <c r="U297" s="72"/>
      <c r="V297" s="72"/>
      <c r="W297" s="72" t="s">
        <v>1435</v>
      </c>
      <c r="X297" s="1" t="s">
        <v>982</v>
      </c>
      <c r="Y297" s="1" t="s">
        <v>982</v>
      </c>
      <c r="Z297" s="1"/>
    </row>
    <row r="298" spans="1:26" x14ac:dyDescent="0.25">
      <c r="A298" s="68">
        <f t="shared" si="77"/>
        <v>318</v>
      </c>
      <c r="B298" s="78" t="s">
        <v>182</v>
      </c>
      <c r="C298" s="2" t="s">
        <v>1901</v>
      </c>
      <c r="D298" s="2" t="s">
        <v>1902</v>
      </c>
      <c r="E298" s="68" t="s">
        <v>886</v>
      </c>
      <c r="F298" s="2" t="s">
        <v>56</v>
      </c>
      <c r="G298" s="68" t="s">
        <v>6</v>
      </c>
      <c r="H298" s="68" t="s">
        <v>888</v>
      </c>
      <c r="I298" s="68">
        <f t="shared" si="68"/>
        <v>1317</v>
      </c>
      <c r="J298" s="2" t="s">
        <v>1886</v>
      </c>
      <c r="K298" s="2" t="s">
        <v>1885</v>
      </c>
      <c r="L298" s="70"/>
      <c r="M298" s="71" t="s">
        <v>980</v>
      </c>
      <c r="N298" s="72" t="s">
        <v>809</v>
      </c>
      <c r="O298" s="68">
        <v>1</v>
      </c>
      <c r="P298" s="69" t="str">
        <f t="shared" si="66"/>
        <v>Charred Corn - GFF233R</v>
      </c>
      <c r="Q298" s="72"/>
      <c r="R298" s="72"/>
      <c r="S298" s="72"/>
      <c r="T298" s="72"/>
      <c r="U298" s="72"/>
      <c r="V298" s="72"/>
      <c r="W298" s="72" t="s">
        <v>1435</v>
      </c>
      <c r="X298" s="1" t="s">
        <v>982</v>
      </c>
      <c r="Y298" s="1" t="s">
        <v>982</v>
      </c>
      <c r="Z298" s="1"/>
    </row>
    <row r="299" spans="1:26" x14ac:dyDescent="0.25">
      <c r="A299" s="68">
        <f t="shared" si="77"/>
        <v>319</v>
      </c>
      <c r="B299" s="78" t="s">
        <v>182</v>
      </c>
      <c r="C299" s="2" t="s">
        <v>1938</v>
      </c>
      <c r="D299" s="2" t="s">
        <v>1888</v>
      </c>
      <c r="E299" s="68" t="s">
        <v>886</v>
      </c>
      <c r="F299" s="2" t="s">
        <v>56</v>
      </c>
      <c r="G299" s="68" t="s">
        <v>6</v>
      </c>
      <c r="H299" s="68" t="s">
        <v>888</v>
      </c>
      <c r="I299" s="68">
        <f t="shared" si="68"/>
        <v>1318</v>
      </c>
      <c r="J299" s="2" t="s">
        <v>1889</v>
      </c>
      <c r="K299" s="2" t="s">
        <v>1888</v>
      </c>
      <c r="L299" s="70"/>
      <c r="M299" s="71" t="s">
        <v>980</v>
      </c>
      <c r="N299" s="72" t="s">
        <v>814</v>
      </c>
      <c r="O299" s="68">
        <v>1</v>
      </c>
      <c r="P299" s="69" t="str">
        <f t="shared" si="66"/>
        <v>Red Thai Chicken Skewers - GFF245R</v>
      </c>
      <c r="Q299" s="72"/>
      <c r="R299" s="72"/>
      <c r="S299" s="72"/>
      <c r="T299" s="72"/>
      <c r="U299" s="72"/>
      <c r="V299" s="72"/>
      <c r="W299" s="72" t="s">
        <v>1435</v>
      </c>
      <c r="X299" s="1" t="s">
        <v>982</v>
      </c>
      <c r="Y299" s="1" t="s">
        <v>982</v>
      </c>
      <c r="Z299" s="1"/>
    </row>
    <row r="300" spans="1:26" x14ac:dyDescent="0.25">
      <c r="A300" s="68">
        <f t="shared" si="77"/>
        <v>320</v>
      </c>
      <c r="B300" s="78" t="s">
        <v>182</v>
      </c>
      <c r="C300" s="2" t="s">
        <v>1897</v>
      </c>
      <c r="D300" s="2" t="s">
        <v>1898</v>
      </c>
      <c r="E300" s="68" t="s">
        <v>886</v>
      </c>
      <c r="F300" s="2" t="s">
        <v>56</v>
      </c>
      <c r="G300" s="68" t="s">
        <v>6</v>
      </c>
      <c r="H300" s="68" t="s">
        <v>888</v>
      </c>
      <c r="I300" s="68">
        <f t="shared" si="68"/>
        <v>1319</v>
      </c>
      <c r="J300" s="2" t="s">
        <v>1899</v>
      </c>
      <c r="K300" s="2" t="s">
        <v>1900</v>
      </c>
      <c r="L300" s="70"/>
      <c r="M300" s="71" t="s">
        <v>980</v>
      </c>
      <c r="N300" s="72" t="s">
        <v>814</v>
      </c>
      <c r="O300" s="68">
        <v>1</v>
      </c>
      <c r="P300" s="69" t="str">
        <f t="shared" si="66"/>
        <v>Steamed Sweet Potato Diced 10MM - GFF231R</v>
      </c>
      <c r="Q300" s="72"/>
      <c r="R300" s="72"/>
      <c r="S300" s="72"/>
      <c r="T300" s="72"/>
      <c r="U300" s="72"/>
      <c r="V300" s="72"/>
      <c r="W300" s="72" t="s">
        <v>1435</v>
      </c>
      <c r="X300" s="1" t="s">
        <v>982</v>
      </c>
      <c r="Y300" s="1" t="s">
        <v>982</v>
      </c>
      <c r="Z300" s="1"/>
    </row>
    <row r="301" spans="1:26" x14ac:dyDescent="0.25">
      <c r="A301" s="68">
        <v>321</v>
      </c>
      <c r="B301" s="78" t="s">
        <v>1913</v>
      </c>
      <c r="C301" s="2" t="s">
        <v>1914</v>
      </c>
      <c r="D301" s="2" t="s">
        <v>1917</v>
      </c>
      <c r="E301" s="68" t="s">
        <v>886</v>
      </c>
      <c r="F301" s="2" t="s">
        <v>1180</v>
      </c>
      <c r="G301" s="68" t="s">
        <v>17</v>
      </c>
      <c r="H301" s="68" t="s">
        <v>888</v>
      </c>
      <c r="I301" s="68">
        <f t="shared" si="68"/>
        <v>1320</v>
      </c>
      <c r="J301" s="2" t="s">
        <v>1915</v>
      </c>
      <c r="K301" s="2" t="s">
        <v>1916</v>
      </c>
      <c r="L301" s="70"/>
      <c r="M301" s="71" t="s">
        <v>980</v>
      </c>
      <c r="N301" s="72" t="s">
        <v>814</v>
      </c>
      <c r="O301" s="68">
        <v>1</v>
      </c>
      <c r="P301" s="69" t="str">
        <f t="shared" si="66"/>
        <v>Roasted Cashews - GFF1320</v>
      </c>
      <c r="Q301" s="72"/>
      <c r="R301" s="72"/>
      <c r="S301" s="72"/>
      <c r="T301" s="72"/>
      <c r="U301" s="72"/>
      <c r="V301" s="72"/>
      <c r="W301" s="72" t="s">
        <v>1435</v>
      </c>
      <c r="X301" s="1" t="s">
        <v>1862</v>
      </c>
      <c r="Y301" s="1">
        <v>1</v>
      </c>
      <c r="Z301" s="1"/>
    </row>
    <row r="302" spans="1:26" x14ac:dyDescent="0.25">
      <c r="A302" s="68">
        <v>322</v>
      </c>
      <c r="B302" s="78" t="s">
        <v>182</v>
      </c>
      <c r="C302" s="2" t="s">
        <v>1919</v>
      </c>
      <c r="D302" s="2" t="s">
        <v>819</v>
      </c>
      <c r="E302" s="68" t="s">
        <v>885</v>
      </c>
      <c r="F302" s="68" t="s">
        <v>13</v>
      </c>
      <c r="G302" s="68" t="s">
        <v>6</v>
      </c>
      <c r="H302" s="68" t="s">
        <v>888</v>
      </c>
      <c r="I302" s="68">
        <f t="shared" si="68"/>
        <v>1321</v>
      </c>
      <c r="J302" s="2" t="s">
        <v>1920</v>
      </c>
      <c r="K302" s="2" t="s">
        <v>1921</v>
      </c>
      <c r="L302" s="70">
        <v>100</v>
      </c>
      <c r="M302" s="71" t="s">
        <v>980</v>
      </c>
      <c r="N302" s="72" t="s">
        <v>814</v>
      </c>
      <c r="O302" s="68">
        <v>307</v>
      </c>
      <c r="P302" s="69" t="str">
        <f t="shared" si="66"/>
        <v>Vegetable Samosa Large 100G Seeded- R1 - GFF239R</v>
      </c>
      <c r="Q302" s="72">
        <v>30</v>
      </c>
      <c r="R302" s="72">
        <f t="shared" ref="R302:R303" si="78">($Q302/5)*4</f>
        <v>24</v>
      </c>
      <c r="S302" s="72">
        <f t="shared" ref="S302:S303" si="79">($Q302/5)*3</f>
        <v>18</v>
      </c>
      <c r="T302" s="72">
        <f t="shared" ref="T302:T303" si="80">($Q302/5)*2</f>
        <v>12</v>
      </c>
      <c r="U302" s="72">
        <f t="shared" ref="U302:U303" si="81">($Q302/5)*1</f>
        <v>6</v>
      </c>
      <c r="V302" s="72">
        <v>4</v>
      </c>
      <c r="W302" s="72" t="s">
        <v>1435</v>
      </c>
      <c r="X302" s="1" t="s">
        <v>1501</v>
      </c>
      <c r="Y302" s="72">
        <v>3</v>
      </c>
      <c r="Z302" s="72"/>
    </row>
    <row r="303" spans="1:26" x14ac:dyDescent="0.25">
      <c r="A303" s="68">
        <f>A302+1</f>
        <v>323</v>
      </c>
      <c r="B303" s="78" t="s">
        <v>182</v>
      </c>
      <c r="C303" s="2" t="s">
        <v>1922</v>
      </c>
      <c r="D303" s="2" t="s">
        <v>825</v>
      </c>
      <c r="E303" s="68" t="s">
        <v>885</v>
      </c>
      <c r="F303" s="2" t="s">
        <v>4</v>
      </c>
      <c r="G303" s="68" t="s">
        <v>6</v>
      </c>
      <c r="H303" s="68" t="s">
        <v>888</v>
      </c>
      <c r="I303" s="68">
        <f t="shared" si="68"/>
        <v>1322</v>
      </c>
      <c r="J303" s="2" t="s">
        <v>1937</v>
      </c>
      <c r="K303" s="2" t="s">
        <v>1923</v>
      </c>
      <c r="L303" s="70">
        <v>100</v>
      </c>
      <c r="M303" s="71" t="s">
        <v>979</v>
      </c>
      <c r="N303" s="72" t="s">
        <v>814</v>
      </c>
      <c r="O303" s="68">
        <v>311</v>
      </c>
      <c r="P303" s="69" t="str">
        <f t="shared" si="66"/>
        <v>Chicken Tikka Samosa Large 100G- R1 - GFF240R</v>
      </c>
      <c r="Q303" s="72">
        <v>30</v>
      </c>
      <c r="R303" s="72">
        <f t="shared" si="78"/>
        <v>24</v>
      </c>
      <c r="S303" s="72">
        <f t="shared" si="79"/>
        <v>18</v>
      </c>
      <c r="T303" s="72">
        <f t="shared" si="80"/>
        <v>12</v>
      </c>
      <c r="U303" s="72">
        <f t="shared" si="81"/>
        <v>6</v>
      </c>
      <c r="V303" s="72">
        <v>3</v>
      </c>
      <c r="W303" s="72" t="s">
        <v>1435</v>
      </c>
      <c r="X303" s="1" t="s">
        <v>1501</v>
      </c>
      <c r="Y303" s="72">
        <v>3</v>
      </c>
      <c r="Z303" s="72"/>
    </row>
    <row r="304" spans="1:26" x14ac:dyDescent="0.25">
      <c r="A304" s="68">
        <f t="shared" ref="A304:A335" si="82">+A303+1</f>
        <v>324</v>
      </c>
      <c r="B304" s="78" t="s">
        <v>182</v>
      </c>
      <c r="C304" s="2" t="s">
        <v>1924</v>
      </c>
      <c r="D304" s="2" t="s">
        <v>873</v>
      </c>
      <c r="E304" s="68" t="s">
        <v>886</v>
      </c>
      <c r="F304" s="2" t="s">
        <v>128</v>
      </c>
      <c r="G304" s="68" t="s">
        <v>6</v>
      </c>
      <c r="H304" s="68" t="s">
        <v>888</v>
      </c>
      <c r="I304" s="68">
        <f t="shared" si="68"/>
        <v>1323</v>
      </c>
      <c r="J304" s="2" t="s">
        <v>1925</v>
      </c>
      <c r="K304" s="2" t="s">
        <v>1256</v>
      </c>
      <c r="L304" s="70"/>
      <c r="M304" s="71" t="s">
        <v>979</v>
      </c>
      <c r="N304" s="72" t="s">
        <v>814</v>
      </c>
      <c r="O304" s="68">
        <v>1</v>
      </c>
      <c r="P304" s="69" t="str">
        <f t="shared" si="66"/>
        <v>Tandoori Chicken - GFF243R</v>
      </c>
      <c r="Q304" s="72"/>
      <c r="R304" s="72"/>
      <c r="S304" s="72"/>
      <c r="T304" s="72"/>
      <c r="U304" s="72"/>
      <c r="V304" s="72"/>
      <c r="W304" s="72" t="s">
        <v>1435</v>
      </c>
      <c r="X304" s="72" t="s">
        <v>1507</v>
      </c>
      <c r="Y304" s="72">
        <v>2</v>
      </c>
      <c r="Z304" s="72"/>
    </row>
    <row r="305" spans="1:26" x14ac:dyDescent="0.25">
      <c r="A305" s="68">
        <f t="shared" si="82"/>
        <v>325</v>
      </c>
      <c r="B305" s="78" t="s">
        <v>182</v>
      </c>
      <c r="C305" s="2" t="s">
        <v>1926</v>
      </c>
      <c r="D305" s="68" t="s">
        <v>1736</v>
      </c>
      <c r="E305" s="68" t="s">
        <v>886</v>
      </c>
      <c r="F305" s="2" t="s">
        <v>62</v>
      </c>
      <c r="G305" s="68" t="s">
        <v>6</v>
      </c>
      <c r="H305" s="68" t="s">
        <v>888</v>
      </c>
      <c r="I305" s="68">
        <f t="shared" si="68"/>
        <v>1324</v>
      </c>
      <c r="J305" s="2" t="s">
        <v>1927</v>
      </c>
      <c r="K305" s="2" t="s">
        <v>1936</v>
      </c>
      <c r="L305" s="70"/>
      <c r="M305" s="71" t="s">
        <v>980</v>
      </c>
      <c r="N305" s="72" t="s">
        <v>814</v>
      </c>
      <c r="O305" s="68">
        <v>1</v>
      </c>
      <c r="P305" s="69" t="str">
        <f t="shared" si="66"/>
        <v>Vegetable Balti Sauce- R1 - GFF244R</v>
      </c>
      <c r="Q305" s="72"/>
      <c r="R305" s="72"/>
      <c r="S305" s="72"/>
      <c r="T305" s="72"/>
      <c r="U305" s="72"/>
      <c r="V305" s="72"/>
      <c r="W305" s="72" t="s">
        <v>1435</v>
      </c>
      <c r="X305" s="1" t="s">
        <v>1808</v>
      </c>
      <c r="Y305" s="1">
        <v>2</v>
      </c>
      <c r="Z305" s="1"/>
    </row>
    <row r="306" spans="1:26" x14ac:dyDescent="0.25">
      <c r="A306" s="68">
        <f t="shared" si="82"/>
        <v>326</v>
      </c>
      <c r="B306" s="78" t="s">
        <v>182</v>
      </c>
      <c r="C306" s="2" t="s">
        <v>1928</v>
      </c>
      <c r="D306" s="2" t="s">
        <v>1929</v>
      </c>
      <c r="E306" s="68" t="s">
        <v>886</v>
      </c>
      <c r="F306" s="2" t="s">
        <v>56</v>
      </c>
      <c r="G306" s="68" t="s">
        <v>6</v>
      </c>
      <c r="H306" s="68" t="s">
        <v>888</v>
      </c>
      <c r="I306" s="68">
        <f t="shared" si="68"/>
        <v>1325</v>
      </c>
      <c r="J306" s="2" t="s">
        <v>1932</v>
      </c>
      <c r="K306" s="2" t="s">
        <v>1934</v>
      </c>
      <c r="L306" s="70"/>
      <c r="M306" s="71" t="s">
        <v>980</v>
      </c>
      <c r="N306" s="72" t="s">
        <v>814</v>
      </c>
      <c r="O306" s="68">
        <v>1</v>
      </c>
      <c r="P306" s="69" t="str">
        <f t="shared" si="66"/>
        <v>Steamed Potato Diced 10MM - GFF241R</v>
      </c>
      <c r="Q306" s="72"/>
      <c r="R306" s="72"/>
      <c r="S306" s="72"/>
      <c r="T306" s="72"/>
      <c r="U306" s="72"/>
      <c r="V306" s="72"/>
      <c r="W306" s="72" t="s">
        <v>1435</v>
      </c>
      <c r="X306" s="1" t="s">
        <v>982</v>
      </c>
      <c r="Y306" s="1" t="s">
        <v>982</v>
      </c>
      <c r="Z306" s="1"/>
    </row>
    <row r="307" spans="1:26" x14ac:dyDescent="0.25">
      <c r="A307" s="68">
        <f t="shared" si="82"/>
        <v>327</v>
      </c>
      <c r="B307" s="78" t="s">
        <v>182</v>
      </c>
      <c r="C307" s="2" t="s">
        <v>1930</v>
      </c>
      <c r="D307" s="2" t="s">
        <v>1931</v>
      </c>
      <c r="E307" s="68" t="s">
        <v>886</v>
      </c>
      <c r="F307" s="2" t="s">
        <v>56</v>
      </c>
      <c r="G307" s="68" t="s">
        <v>6</v>
      </c>
      <c r="H307" s="68" t="s">
        <v>888</v>
      </c>
      <c r="I307" s="68">
        <f t="shared" si="68"/>
        <v>1326</v>
      </c>
      <c r="J307" s="2" t="s">
        <v>1933</v>
      </c>
      <c r="K307" s="2" t="s">
        <v>1935</v>
      </c>
      <c r="L307" s="70"/>
      <c r="M307" s="71" t="s">
        <v>980</v>
      </c>
      <c r="N307" s="72" t="s">
        <v>814</v>
      </c>
      <c r="O307" s="68">
        <v>1</v>
      </c>
      <c r="P307" s="69" t="str">
        <f t="shared" si="66"/>
        <v>Steamed Carrot Diced 10MM - GFF242R</v>
      </c>
      <c r="Q307" s="72"/>
      <c r="R307" s="72"/>
      <c r="S307" s="72"/>
      <c r="T307" s="72"/>
      <c r="U307" s="72"/>
      <c r="V307" s="72"/>
      <c r="W307" s="72" t="s">
        <v>1435</v>
      </c>
      <c r="X307" s="1" t="s">
        <v>982</v>
      </c>
      <c r="Y307" s="1" t="s">
        <v>982</v>
      </c>
      <c r="Z307" s="1"/>
    </row>
    <row r="308" spans="1:26" x14ac:dyDescent="0.25">
      <c r="A308" s="68">
        <f t="shared" si="82"/>
        <v>328</v>
      </c>
      <c r="B308" s="78" t="s">
        <v>182</v>
      </c>
      <c r="C308" s="2" t="s">
        <v>1944</v>
      </c>
      <c r="D308" s="2" t="s">
        <v>1941</v>
      </c>
      <c r="E308" s="68" t="s">
        <v>886</v>
      </c>
      <c r="F308" s="2" t="s">
        <v>62</v>
      </c>
      <c r="G308" s="68" t="s">
        <v>6</v>
      </c>
      <c r="H308" s="68" t="s">
        <v>888</v>
      </c>
      <c r="I308" s="68">
        <f t="shared" si="68"/>
        <v>1327</v>
      </c>
      <c r="J308" s="2" t="s">
        <v>1942</v>
      </c>
      <c r="K308" s="2" t="s">
        <v>1941</v>
      </c>
      <c r="L308" s="70"/>
      <c r="M308" s="71" t="s">
        <v>980</v>
      </c>
      <c r="N308" s="72" t="s">
        <v>809</v>
      </c>
      <c r="O308" s="68">
        <v>1</v>
      </c>
      <c r="P308" s="69" t="str">
        <f t="shared" si="66"/>
        <v>Vegetable Dopiaza - GFF246R</v>
      </c>
      <c r="Q308" s="72"/>
      <c r="R308" s="72"/>
      <c r="S308" s="72"/>
      <c r="T308" s="72"/>
      <c r="U308" s="72"/>
      <c r="V308" s="72"/>
      <c r="W308" s="72" t="s">
        <v>1436</v>
      </c>
      <c r="X308" s="72" t="s">
        <v>1481</v>
      </c>
      <c r="Y308" s="72">
        <v>3</v>
      </c>
      <c r="Z308" s="72" t="s">
        <v>2227</v>
      </c>
    </row>
    <row r="309" spans="1:26" x14ac:dyDescent="0.25">
      <c r="A309" s="68">
        <f t="shared" si="82"/>
        <v>329</v>
      </c>
      <c r="B309" s="69" t="s">
        <v>182</v>
      </c>
      <c r="C309" s="68" t="s">
        <v>1752</v>
      </c>
      <c r="D309" s="68" t="s">
        <v>1947</v>
      </c>
      <c r="E309" s="68" t="s">
        <v>886</v>
      </c>
      <c r="F309" s="68" t="s">
        <v>56</v>
      </c>
      <c r="G309" s="68" t="s">
        <v>6</v>
      </c>
      <c r="H309" s="68" t="s">
        <v>888</v>
      </c>
      <c r="I309" s="68">
        <f t="shared" si="68"/>
        <v>1328</v>
      </c>
      <c r="J309" s="68" t="s">
        <v>1948</v>
      </c>
      <c r="K309" s="68" t="s">
        <v>1947</v>
      </c>
      <c r="L309" s="70"/>
      <c r="M309" s="71" t="s">
        <v>979</v>
      </c>
      <c r="N309" s="72" t="s">
        <v>809</v>
      </c>
      <c r="O309" s="68">
        <v>1</v>
      </c>
      <c r="P309" s="69" t="str">
        <f t="shared" si="66"/>
        <v>Beef Taco Mix - GFF209R</v>
      </c>
      <c r="Q309" s="72"/>
      <c r="R309" s="72"/>
      <c r="S309" s="72"/>
      <c r="T309" s="72"/>
      <c r="U309" s="72"/>
      <c r="V309" s="72"/>
      <c r="W309" s="72" t="s">
        <v>1435</v>
      </c>
      <c r="X309" s="72" t="s">
        <v>982</v>
      </c>
      <c r="Y309" s="72" t="s">
        <v>982</v>
      </c>
      <c r="Z309" s="80">
        <v>43602</v>
      </c>
    </row>
    <row r="310" spans="1:26" x14ac:dyDescent="0.25">
      <c r="A310" s="68">
        <f t="shared" si="82"/>
        <v>330</v>
      </c>
      <c r="B310" s="69" t="s">
        <v>182</v>
      </c>
      <c r="C310" s="68" t="s">
        <v>1946</v>
      </c>
      <c r="D310" s="68" t="s">
        <v>1950</v>
      </c>
      <c r="E310" s="68" t="s">
        <v>885</v>
      </c>
      <c r="F310" s="68" t="s">
        <v>56</v>
      </c>
      <c r="G310" s="68" t="s">
        <v>6</v>
      </c>
      <c r="H310" s="68" t="s">
        <v>888</v>
      </c>
      <c r="I310" s="68">
        <f t="shared" si="68"/>
        <v>1329</v>
      </c>
      <c r="J310" s="68" t="s">
        <v>1951</v>
      </c>
      <c r="K310" s="68" t="s">
        <v>1952</v>
      </c>
      <c r="L310" s="70">
        <v>18</v>
      </c>
      <c r="M310" s="71" t="s">
        <v>979</v>
      </c>
      <c r="N310" s="72" t="s">
        <v>809</v>
      </c>
      <c r="O310" s="68">
        <v>495</v>
      </c>
      <c r="P310" s="69" t="str">
        <f t="shared" ref="P310:P373" si="83">K310&amp;" - "&amp; C310</f>
        <v>Beef Empanada 18G - GFF247R</v>
      </c>
      <c r="Q310" s="72">
        <v>6</v>
      </c>
      <c r="R310" s="72">
        <f t="shared" ref="R310" si="84">($Q310/5)*4</f>
        <v>4.8</v>
      </c>
      <c r="S310" s="72">
        <f t="shared" ref="S310" si="85">($Q310/5)*3</f>
        <v>3.5999999999999996</v>
      </c>
      <c r="T310" s="72">
        <f t="shared" ref="T310" si="86">($Q310/5)*2</f>
        <v>2.4</v>
      </c>
      <c r="U310" s="72">
        <f t="shared" ref="U310" si="87">($Q310/5)*1</f>
        <v>1.2</v>
      </c>
      <c r="V310" s="72"/>
      <c r="W310" s="72" t="s">
        <v>1435</v>
      </c>
      <c r="X310" s="72" t="s">
        <v>1501</v>
      </c>
      <c r="Y310" s="72">
        <v>3</v>
      </c>
      <c r="Z310" s="80">
        <v>43602</v>
      </c>
    </row>
    <row r="311" spans="1:26" x14ac:dyDescent="0.25">
      <c r="A311" s="68">
        <f t="shared" si="82"/>
        <v>331</v>
      </c>
      <c r="B311" s="69" t="s">
        <v>182</v>
      </c>
      <c r="C311" s="68" t="s">
        <v>1953</v>
      </c>
      <c r="D311" s="68" t="s">
        <v>1954</v>
      </c>
      <c r="E311" s="68" t="s">
        <v>886</v>
      </c>
      <c r="F311" s="68" t="s">
        <v>56</v>
      </c>
      <c r="G311" s="68" t="s">
        <v>6</v>
      </c>
      <c r="H311" s="68" t="s">
        <v>888</v>
      </c>
      <c r="I311" s="68">
        <f t="shared" si="68"/>
        <v>1330</v>
      </c>
      <c r="J311" s="68" t="s">
        <v>1956</v>
      </c>
      <c r="K311" s="68" t="s">
        <v>1954</v>
      </c>
      <c r="L311" s="70"/>
      <c r="M311" s="71" t="s">
        <v>979</v>
      </c>
      <c r="N311" s="72" t="s">
        <v>809</v>
      </c>
      <c r="O311" s="68">
        <v>1</v>
      </c>
      <c r="P311" s="69" t="str">
        <f t="shared" si="83"/>
        <v>Chicken Flauta Mix - GFF248R</v>
      </c>
      <c r="Q311" s="72"/>
      <c r="R311" s="72"/>
      <c r="S311" s="72"/>
      <c r="T311" s="72"/>
      <c r="U311" s="72"/>
      <c r="V311" s="72"/>
      <c r="W311" s="72" t="s">
        <v>1435</v>
      </c>
      <c r="X311" s="72" t="s">
        <v>1814</v>
      </c>
      <c r="Y311" s="72">
        <v>3</v>
      </c>
      <c r="Z311" s="80">
        <v>43602</v>
      </c>
    </row>
    <row r="312" spans="1:26" x14ac:dyDescent="0.25">
      <c r="A312" s="68">
        <f t="shared" si="82"/>
        <v>332</v>
      </c>
      <c r="B312" s="69" t="s">
        <v>182</v>
      </c>
      <c r="C312" s="68" t="s">
        <v>1959</v>
      </c>
      <c r="D312" s="68" t="s">
        <v>1960</v>
      </c>
      <c r="E312" s="68" t="s">
        <v>886</v>
      </c>
      <c r="F312" s="68" t="s">
        <v>56</v>
      </c>
      <c r="G312" s="68" t="s">
        <v>6</v>
      </c>
      <c r="H312" s="68" t="s">
        <v>888</v>
      </c>
      <c r="I312" s="68">
        <f t="shared" si="68"/>
        <v>1331</v>
      </c>
      <c r="J312" s="68" t="s">
        <v>1962</v>
      </c>
      <c r="K312" s="68" t="s">
        <v>1960</v>
      </c>
      <c r="L312" s="70"/>
      <c r="M312" s="71" t="s">
        <v>980</v>
      </c>
      <c r="N312" s="72" t="s">
        <v>809</v>
      </c>
      <c r="O312" s="68">
        <v>1</v>
      </c>
      <c r="P312" s="69" t="str">
        <f t="shared" si="83"/>
        <v>Bean &amp; Corn Mix - GFF250R</v>
      </c>
      <c r="Q312" s="72"/>
      <c r="R312" s="72"/>
      <c r="S312" s="72"/>
      <c r="T312" s="72"/>
      <c r="U312" s="72"/>
      <c r="V312" s="72"/>
      <c r="W312" s="72" t="s">
        <v>1435</v>
      </c>
      <c r="X312" s="72" t="s">
        <v>982</v>
      </c>
      <c r="Y312" s="72" t="s">
        <v>982</v>
      </c>
      <c r="Z312" s="80">
        <v>43602</v>
      </c>
    </row>
    <row r="313" spans="1:26" x14ac:dyDescent="0.25">
      <c r="A313" s="68">
        <f t="shared" si="82"/>
        <v>333</v>
      </c>
      <c r="B313" s="69" t="s">
        <v>182</v>
      </c>
      <c r="C313" s="68" t="s">
        <v>1963</v>
      </c>
      <c r="D313" s="68" t="s">
        <v>2029</v>
      </c>
      <c r="E313" s="68" t="s">
        <v>885</v>
      </c>
      <c r="F313" s="68" t="s">
        <v>1840</v>
      </c>
      <c r="G313" s="68" t="s">
        <v>6</v>
      </c>
      <c r="H313" s="68" t="s">
        <v>888</v>
      </c>
      <c r="I313" s="68">
        <f t="shared" si="68"/>
        <v>1332</v>
      </c>
      <c r="J313" s="68" t="s">
        <v>1964</v>
      </c>
      <c r="K313" s="68" t="s">
        <v>2030</v>
      </c>
      <c r="L313" s="70">
        <v>22</v>
      </c>
      <c r="M313" s="71" t="s">
        <v>980</v>
      </c>
      <c r="N313" s="72" t="s">
        <v>809</v>
      </c>
      <c r="O313" s="68">
        <v>188</v>
      </c>
      <c r="P313" s="69" t="str">
        <f t="shared" si="83"/>
        <v>Courgette Peas &amp; Lemon Fritter 22G - GFF252R</v>
      </c>
      <c r="Q313" s="72">
        <v>38.5</v>
      </c>
      <c r="R313" s="72">
        <v>30.8</v>
      </c>
      <c r="S313" s="72">
        <v>23.1</v>
      </c>
      <c r="T313" s="72">
        <v>15.4</v>
      </c>
      <c r="U313" s="72">
        <v>7.7</v>
      </c>
      <c r="V313" s="72"/>
      <c r="W313" s="72" t="s">
        <v>1435</v>
      </c>
      <c r="X313" s="72" t="s">
        <v>1498</v>
      </c>
      <c r="Y313" s="1">
        <v>3</v>
      </c>
      <c r="Z313" s="80" t="s">
        <v>2454</v>
      </c>
    </row>
    <row r="314" spans="1:26" x14ac:dyDescent="0.25">
      <c r="A314" s="68">
        <f t="shared" si="82"/>
        <v>334</v>
      </c>
      <c r="B314" s="69" t="s">
        <v>182</v>
      </c>
      <c r="C314" s="68" t="s">
        <v>1965</v>
      </c>
      <c r="D314" s="68" t="s">
        <v>1968</v>
      </c>
      <c r="E314" s="68" t="s">
        <v>885</v>
      </c>
      <c r="F314" s="68" t="s">
        <v>1840</v>
      </c>
      <c r="G314" s="68" t="s">
        <v>6</v>
      </c>
      <c r="H314" s="68" t="s">
        <v>888</v>
      </c>
      <c r="I314" s="68">
        <f t="shared" ref="I314:I377" si="88">I313+1</f>
        <v>1333</v>
      </c>
      <c r="J314" s="68" t="s">
        <v>1966</v>
      </c>
      <c r="K314" s="68" t="s">
        <v>1967</v>
      </c>
      <c r="L314" s="70">
        <v>22</v>
      </c>
      <c r="M314" s="71" t="s">
        <v>980</v>
      </c>
      <c r="N314" s="72" t="s">
        <v>809</v>
      </c>
      <c r="O314" s="68">
        <v>470</v>
      </c>
      <c r="P314" s="69" t="str">
        <f t="shared" si="83"/>
        <v>Sweet Potato &amp; Bean Fritter 22G - GFF253R</v>
      </c>
      <c r="Q314" s="72">
        <v>38.5</v>
      </c>
      <c r="R314" s="72">
        <v>30.8</v>
      </c>
      <c r="S314" s="72">
        <v>23.1</v>
      </c>
      <c r="T314" s="72">
        <v>15.4</v>
      </c>
      <c r="U314" s="72">
        <v>7.7</v>
      </c>
      <c r="V314" s="72"/>
      <c r="W314" s="72" t="s">
        <v>1435</v>
      </c>
      <c r="X314" s="72" t="s">
        <v>982</v>
      </c>
      <c r="Y314" s="72" t="s">
        <v>982</v>
      </c>
      <c r="Z314" s="80" t="s">
        <v>2454</v>
      </c>
    </row>
    <row r="315" spans="1:26" x14ac:dyDescent="0.25">
      <c r="A315" s="68">
        <f t="shared" si="82"/>
        <v>335</v>
      </c>
      <c r="B315" s="69" t="s">
        <v>182</v>
      </c>
      <c r="C315" s="68" t="s">
        <v>1969</v>
      </c>
      <c r="D315" s="68" t="s">
        <v>1970</v>
      </c>
      <c r="E315" s="68" t="s">
        <v>885</v>
      </c>
      <c r="F315" s="68" t="s">
        <v>1840</v>
      </c>
      <c r="G315" s="68" t="s">
        <v>6</v>
      </c>
      <c r="H315" s="68" t="s">
        <v>888</v>
      </c>
      <c r="I315" s="68">
        <f t="shared" si="88"/>
        <v>1334</v>
      </c>
      <c r="J315" s="68" t="s">
        <v>1971</v>
      </c>
      <c r="K315" s="68" t="s">
        <v>1972</v>
      </c>
      <c r="L315" s="70">
        <v>25</v>
      </c>
      <c r="M315" s="71" t="s">
        <v>980</v>
      </c>
      <c r="N315" s="72" t="s">
        <v>809</v>
      </c>
      <c r="O315" s="68">
        <v>415</v>
      </c>
      <c r="P315" s="69" t="str">
        <f t="shared" si="83"/>
        <v>Mushroom &amp; Onion Fritter 25G - GFF254R</v>
      </c>
      <c r="Q315" s="72">
        <v>38.5</v>
      </c>
      <c r="R315" s="72">
        <v>30.8</v>
      </c>
      <c r="S315" s="72">
        <v>23.1</v>
      </c>
      <c r="T315" s="72">
        <v>15.4</v>
      </c>
      <c r="U315" s="72">
        <v>7.7</v>
      </c>
      <c r="V315" s="72"/>
      <c r="W315" s="72" t="s">
        <v>1435</v>
      </c>
      <c r="X315" s="72" t="s">
        <v>1501</v>
      </c>
      <c r="Y315" s="72">
        <v>3</v>
      </c>
      <c r="Z315" s="80" t="s">
        <v>2454</v>
      </c>
    </row>
    <row r="316" spans="1:26" x14ac:dyDescent="0.25">
      <c r="A316" s="68">
        <f t="shared" si="82"/>
        <v>336</v>
      </c>
      <c r="B316" s="69" t="s">
        <v>182</v>
      </c>
      <c r="C316" s="68" t="s">
        <v>1979</v>
      </c>
      <c r="D316" s="68" t="s">
        <v>2923</v>
      </c>
      <c r="E316" s="68" t="s">
        <v>886</v>
      </c>
      <c r="F316" s="68" t="s">
        <v>1540</v>
      </c>
      <c r="G316" s="68" t="s">
        <v>6</v>
      </c>
      <c r="H316" s="68" t="s">
        <v>888</v>
      </c>
      <c r="I316" s="68">
        <f t="shared" si="88"/>
        <v>1335</v>
      </c>
      <c r="J316" s="68" t="s">
        <v>1980</v>
      </c>
      <c r="K316" s="68" t="s">
        <v>2923</v>
      </c>
      <c r="L316" s="70"/>
      <c r="M316" s="71" t="s">
        <v>980</v>
      </c>
      <c r="N316" s="72" t="s">
        <v>814</v>
      </c>
      <c r="O316" s="68">
        <v>1</v>
      </c>
      <c r="P316" s="69" t="str">
        <f t="shared" si="83"/>
        <v>Coriander Brown Rice (MC) - GFF255R</v>
      </c>
      <c r="Q316" s="72"/>
      <c r="R316" s="72"/>
      <c r="S316" s="72"/>
      <c r="T316" s="72"/>
      <c r="U316" s="72"/>
      <c r="V316" s="72"/>
      <c r="W316" s="72" t="s">
        <v>1435</v>
      </c>
      <c r="X316" s="72" t="s">
        <v>982</v>
      </c>
      <c r="Y316" s="72" t="s">
        <v>982</v>
      </c>
      <c r="Z316" s="80">
        <v>43634</v>
      </c>
    </row>
    <row r="317" spans="1:26" x14ac:dyDescent="0.25">
      <c r="A317" s="68">
        <f t="shared" si="82"/>
        <v>337</v>
      </c>
      <c r="B317" s="69" t="s">
        <v>182</v>
      </c>
      <c r="C317" s="68" t="s">
        <v>1981</v>
      </c>
      <c r="D317" s="68" t="s">
        <v>1982</v>
      </c>
      <c r="E317" s="68" t="s">
        <v>886</v>
      </c>
      <c r="F317" s="68" t="s">
        <v>62</v>
      </c>
      <c r="G317" s="68" t="s">
        <v>6</v>
      </c>
      <c r="H317" s="68" t="s">
        <v>888</v>
      </c>
      <c r="I317" s="68">
        <f t="shared" si="88"/>
        <v>1336</v>
      </c>
      <c r="J317" s="68" t="s">
        <v>1983</v>
      </c>
      <c r="K317" s="68" t="s">
        <v>1982</v>
      </c>
      <c r="L317" s="70"/>
      <c r="M317" s="71" t="s">
        <v>980</v>
      </c>
      <c r="N317" s="72" t="s">
        <v>809</v>
      </c>
      <c r="O317" s="68">
        <v>1</v>
      </c>
      <c r="P317" s="69" t="str">
        <f t="shared" si="83"/>
        <v>Tikka Masala Sauce (MC) - GFF256R</v>
      </c>
      <c r="Q317" s="72"/>
      <c r="R317" s="72"/>
      <c r="S317" s="72"/>
      <c r="T317" s="72"/>
      <c r="U317" s="72"/>
      <c r="V317" s="72"/>
      <c r="W317" s="72" t="s">
        <v>1435</v>
      </c>
      <c r="X317" s="72" t="s">
        <v>982</v>
      </c>
      <c r="Y317" s="72" t="s">
        <v>982</v>
      </c>
      <c r="Z317" s="80" t="s">
        <v>2613</v>
      </c>
    </row>
    <row r="318" spans="1:26" x14ac:dyDescent="0.25">
      <c r="A318" s="68">
        <f t="shared" si="82"/>
        <v>338</v>
      </c>
      <c r="B318" s="69" t="s">
        <v>182</v>
      </c>
      <c r="C318" s="68" t="s">
        <v>1984</v>
      </c>
      <c r="D318" s="68" t="s">
        <v>1985</v>
      </c>
      <c r="E318" s="68" t="s">
        <v>886</v>
      </c>
      <c r="F318" s="68" t="s">
        <v>62</v>
      </c>
      <c r="G318" s="68" t="s">
        <v>6</v>
      </c>
      <c r="H318" s="68" t="s">
        <v>888</v>
      </c>
      <c r="I318" s="68">
        <f t="shared" si="88"/>
        <v>1337</v>
      </c>
      <c r="J318" s="68" t="s">
        <v>1986</v>
      </c>
      <c r="K318" s="68" t="s">
        <v>1985</v>
      </c>
      <c r="L318" s="70"/>
      <c r="M318" s="71" t="s">
        <v>979</v>
      </c>
      <c r="N318" s="72" t="s">
        <v>809</v>
      </c>
      <c r="O318" s="68">
        <v>1</v>
      </c>
      <c r="P318" s="69" t="str">
        <f t="shared" si="83"/>
        <v>Marinated Chicken Tikka (MC) - GFF257R</v>
      </c>
      <c r="Q318" s="72"/>
      <c r="R318" s="72"/>
      <c r="S318" s="72"/>
      <c r="T318" s="72"/>
      <c r="U318" s="72"/>
      <c r="V318" s="72"/>
      <c r="W318" s="72" t="s">
        <v>1435</v>
      </c>
      <c r="X318" s="72" t="s">
        <v>982</v>
      </c>
      <c r="Y318" s="72" t="s">
        <v>982</v>
      </c>
      <c r="Z318" s="80" t="s">
        <v>2613</v>
      </c>
    </row>
    <row r="319" spans="1:26" x14ac:dyDescent="0.25">
      <c r="A319" s="68">
        <f t="shared" si="82"/>
        <v>339</v>
      </c>
      <c r="B319" s="69" t="s">
        <v>1913</v>
      </c>
      <c r="C319" s="68" t="s">
        <v>1990</v>
      </c>
      <c r="D319" s="68" t="s">
        <v>1987</v>
      </c>
      <c r="E319" s="68" t="s">
        <v>886</v>
      </c>
      <c r="F319" s="68" t="s">
        <v>56</v>
      </c>
      <c r="G319" s="68" t="s">
        <v>17</v>
      </c>
      <c r="H319" s="68" t="s">
        <v>888</v>
      </c>
      <c r="I319" s="68">
        <f t="shared" si="88"/>
        <v>1338</v>
      </c>
      <c r="J319" s="68" t="s">
        <v>1988</v>
      </c>
      <c r="K319" s="68" t="s">
        <v>1987</v>
      </c>
      <c r="L319" s="70"/>
      <c r="M319" s="71" t="s">
        <v>980</v>
      </c>
      <c r="N319" s="72" t="s">
        <v>814</v>
      </c>
      <c r="O319" s="68">
        <v>1</v>
      </c>
      <c r="P319" s="69" t="str">
        <f t="shared" si="83"/>
        <v>Raw Coconut Chips - GFF1338</v>
      </c>
      <c r="Q319" s="72"/>
      <c r="R319" s="72"/>
      <c r="S319" s="72"/>
      <c r="T319" s="72"/>
      <c r="U319" s="72"/>
      <c r="V319" s="72"/>
      <c r="W319" s="72" t="s">
        <v>1435</v>
      </c>
      <c r="X319" s="72" t="s">
        <v>982</v>
      </c>
      <c r="Y319" s="72" t="s">
        <v>982</v>
      </c>
      <c r="Z319" s="80">
        <v>43634</v>
      </c>
    </row>
    <row r="320" spans="1:26" x14ac:dyDescent="0.25">
      <c r="A320" s="68">
        <f t="shared" si="82"/>
        <v>340</v>
      </c>
      <c r="B320" s="69" t="s">
        <v>182</v>
      </c>
      <c r="C320" s="68" t="s">
        <v>1991</v>
      </c>
      <c r="D320" s="68" t="s">
        <v>1992</v>
      </c>
      <c r="E320" s="68" t="s">
        <v>886</v>
      </c>
      <c r="F320" s="68" t="s">
        <v>62</v>
      </c>
      <c r="G320" s="68" t="s">
        <v>6</v>
      </c>
      <c r="H320" s="68" t="s">
        <v>888</v>
      </c>
      <c r="I320" s="68">
        <f t="shared" si="88"/>
        <v>1339</v>
      </c>
      <c r="J320" s="68" t="s">
        <v>1993</v>
      </c>
      <c r="K320" s="68" t="s">
        <v>1992</v>
      </c>
      <c r="L320" s="70"/>
      <c r="M320" s="71" t="s">
        <v>980</v>
      </c>
      <c r="N320" s="72" t="s">
        <v>809</v>
      </c>
      <c r="O320" s="68">
        <v>1</v>
      </c>
      <c r="P320" s="69" t="str">
        <f t="shared" si="83"/>
        <v>Tagine Sauce (MC) - GFF263R</v>
      </c>
      <c r="Q320" s="72"/>
      <c r="R320" s="72"/>
      <c r="S320" s="72"/>
      <c r="T320" s="72"/>
      <c r="U320" s="72"/>
      <c r="V320" s="72"/>
      <c r="W320" s="72" t="s">
        <v>1435</v>
      </c>
      <c r="X320" s="72" t="s">
        <v>982</v>
      </c>
      <c r="Y320" s="72" t="s">
        <v>982</v>
      </c>
      <c r="Z320" s="80" t="s">
        <v>2634</v>
      </c>
    </row>
    <row r="321" spans="1:26" x14ac:dyDescent="0.25">
      <c r="A321" s="68">
        <f t="shared" si="82"/>
        <v>341</v>
      </c>
      <c r="B321" s="69" t="s">
        <v>182</v>
      </c>
      <c r="C321" s="68" t="s">
        <v>1994</v>
      </c>
      <c r="D321" s="68" t="s">
        <v>1996</v>
      </c>
      <c r="E321" s="68" t="s">
        <v>886</v>
      </c>
      <c r="F321" s="68" t="s">
        <v>62</v>
      </c>
      <c r="G321" s="68" t="s">
        <v>6</v>
      </c>
      <c r="H321" s="68" t="s">
        <v>888</v>
      </c>
      <c r="I321" s="68">
        <f t="shared" si="88"/>
        <v>1340</v>
      </c>
      <c r="J321" s="68" t="s">
        <v>1995</v>
      </c>
      <c r="K321" s="68" t="s">
        <v>1997</v>
      </c>
      <c r="L321" s="70"/>
      <c r="M321" s="71" t="s">
        <v>980</v>
      </c>
      <c r="N321" s="72" t="s">
        <v>814</v>
      </c>
      <c r="O321" s="68">
        <v>1</v>
      </c>
      <c r="P321" s="69" t="str">
        <f t="shared" si="83"/>
        <v>Tricolour Quinoa (MC) - GFF262R</v>
      </c>
      <c r="Q321" s="72"/>
      <c r="R321" s="72"/>
      <c r="S321" s="72"/>
      <c r="T321" s="72"/>
      <c r="U321" s="72"/>
      <c r="V321" s="72"/>
      <c r="W321" s="72" t="s">
        <v>1435</v>
      </c>
      <c r="X321" s="72" t="s">
        <v>982</v>
      </c>
      <c r="Y321" s="72" t="s">
        <v>982</v>
      </c>
      <c r="Z321" s="80">
        <v>43634</v>
      </c>
    </row>
    <row r="322" spans="1:26" x14ac:dyDescent="0.25">
      <c r="A322" s="68">
        <f t="shared" si="82"/>
        <v>342</v>
      </c>
      <c r="B322" s="69" t="s">
        <v>182</v>
      </c>
      <c r="C322" s="68" t="s">
        <v>1998</v>
      </c>
      <c r="D322" s="68" t="s">
        <v>1999</v>
      </c>
      <c r="E322" s="68" t="s">
        <v>886</v>
      </c>
      <c r="F322" s="68" t="s">
        <v>62</v>
      </c>
      <c r="G322" s="68" t="s">
        <v>6</v>
      </c>
      <c r="H322" s="68" t="s">
        <v>888</v>
      </c>
      <c r="I322" s="68">
        <f t="shared" si="88"/>
        <v>1341</v>
      </c>
      <c r="J322" s="68" t="s">
        <v>2000</v>
      </c>
      <c r="K322" s="68" t="s">
        <v>1999</v>
      </c>
      <c r="L322" s="70"/>
      <c r="M322" s="71" t="s">
        <v>979</v>
      </c>
      <c r="N322" s="72" t="s">
        <v>809</v>
      </c>
      <c r="O322" s="68">
        <v>1</v>
      </c>
      <c r="P322" s="69" t="str">
        <f t="shared" si="83"/>
        <v>Cooked Lamb Shoulder (MC) - GFF261R</v>
      </c>
      <c r="Q322" s="72"/>
      <c r="R322" s="72"/>
      <c r="S322" s="72"/>
      <c r="T322" s="72"/>
      <c r="U322" s="72"/>
      <c r="V322" s="72"/>
      <c r="W322" s="72" t="s">
        <v>1435</v>
      </c>
      <c r="X322" s="72" t="s">
        <v>982</v>
      </c>
      <c r="Y322" s="72" t="s">
        <v>982</v>
      </c>
      <c r="Z322" s="80" t="s">
        <v>2613</v>
      </c>
    </row>
    <row r="323" spans="1:26" x14ac:dyDescent="0.25">
      <c r="A323" s="68">
        <f t="shared" si="82"/>
        <v>343</v>
      </c>
      <c r="B323" s="69" t="s">
        <v>1913</v>
      </c>
      <c r="C323" s="68" t="s">
        <v>2001</v>
      </c>
      <c r="D323" s="68" t="s">
        <v>2002</v>
      </c>
      <c r="E323" s="68" t="s">
        <v>886</v>
      </c>
      <c r="F323" s="68" t="s">
        <v>56</v>
      </c>
      <c r="G323" s="68" t="s">
        <v>17</v>
      </c>
      <c r="H323" s="68" t="s">
        <v>888</v>
      </c>
      <c r="I323" s="68">
        <f t="shared" si="88"/>
        <v>1342</v>
      </c>
      <c r="J323" s="68" t="s">
        <v>2006</v>
      </c>
      <c r="K323" s="68" t="s">
        <v>2002</v>
      </c>
      <c r="L323" s="70"/>
      <c r="M323" s="71" t="s">
        <v>980</v>
      </c>
      <c r="N323" s="72" t="s">
        <v>814</v>
      </c>
      <c r="O323" s="68">
        <v>1</v>
      </c>
      <c r="P323" s="69" t="str">
        <f t="shared" si="83"/>
        <v>Roasted Almonds Flakes - GFF1342</v>
      </c>
      <c r="Q323" s="72"/>
      <c r="R323" s="72"/>
      <c r="S323" s="72"/>
      <c r="T323" s="72"/>
      <c r="U323" s="72"/>
      <c r="V323" s="72"/>
      <c r="W323" s="72" t="s">
        <v>1435</v>
      </c>
      <c r="X323" s="72" t="s">
        <v>2003</v>
      </c>
      <c r="Y323" s="72">
        <v>1</v>
      </c>
      <c r="Z323" s="80">
        <v>43634</v>
      </c>
    </row>
    <row r="324" spans="1:26" x14ac:dyDescent="0.25">
      <c r="A324" s="68">
        <f t="shared" si="82"/>
        <v>344</v>
      </c>
      <c r="B324" s="69" t="s">
        <v>182</v>
      </c>
      <c r="C324" s="68" t="s">
        <v>2004</v>
      </c>
      <c r="D324" s="68" t="s">
        <v>2005</v>
      </c>
      <c r="E324" s="68" t="s">
        <v>886</v>
      </c>
      <c r="F324" s="68" t="s">
        <v>56</v>
      </c>
      <c r="G324" s="68" t="s">
        <v>6</v>
      </c>
      <c r="H324" s="68" t="s">
        <v>888</v>
      </c>
      <c r="I324" s="68">
        <f t="shared" si="88"/>
        <v>1343</v>
      </c>
      <c r="J324" s="68" t="s">
        <v>2007</v>
      </c>
      <c r="K324" s="68" t="s">
        <v>2005</v>
      </c>
      <c r="L324" s="70"/>
      <c r="M324" s="71" t="s">
        <v>980</v>
      </c>
      <c r="N324" s="72" t="s">
        <v>809</v>
      </c>
      <c r="O324" s="68">
        <v>1</v>
      </c>
      <c r="P324" s="69" t="str">
        <f t="shared" si="83"/>
        <v>Lentil Mix (MC) - GFF258R</v>
      </c>
      <c r="Q324" s="72"/>
      <c r="R324" s="72"/>
      <c r="S324" s="72"/>
      <c r="T324" s="72"/>
      <c r="U324" s="72"/>
      <c r="V324" s="72"/>
      <c r="W324" s="72" t="s">
        <v>1435</v>
      </c>
      <c r="X324" s="72" t="s">
        <v>982</v>
      </c>
      <c r="Y324" s="72" t="s">
        <v>982</v>
      </c>
      <c r="Z324" s="80" t="s">
        <v>2574</v>
      </c>
    </row>
    <row r="325" spans="1:26" x14ac:dyDescent="0.25">
      <c r="A325" s="68">
        <f t="shared" si="82"/>
        <v>345</v>
      </c>
      <c r="B325" s="69" t="s">
        <v>182</v>
      </c>
      <c r="C325" s="68" t="s">
        <v>2008</v>
      </c>
      <c r="D325" s="68" t="s">
        <v>2009</v>
      </c>
      <c r="E325" s="68" t="s">
        <v>886</v>
      </c>
      <c r="F325" s="68" t="s">
        <v>56</v>
      </c>
      <c r="G325" s="68" t="s">
        <v>6</v>
      </c>
      <c r="H325" s="68" t="s">
        <v>888</v>
      </c>
      <c r="I325" s="68">
        <f t="shared" si="88"/>
        <v>1344</v>
      </c>
      <c r="J325" s="68" t="s">
        <v>2010</v>
      </c>
      <c r="K325" s="68" t="s">
        <v>2009</v>
      </c>
      <c r="L325" s="70"/>
      <c r="M325" s="71" t="s">
        <v>980</v>
      </c>
      <c r="N325" s="72" t="s">
        <v>809</v>
      </c>
      <c r="O325" s="68">
        <v>1</v>
      </c>
      <c r="P325" s="69" t="str">
        <f t="shared" si="83"/>
        <v>Coconut Bechamel (MC) - GFF259R</v>
      </c>
      <c r="Q325" s="72"/>
      <c r="R325" s="72"/>
      <c r="S325" s="72"/>
      <c r="T325" s="72"/>
      <c r="U325" s="72"/>
      <c r="V325" s="72"/>
      <c r="W325" s="72" t="s">
        <v>1435</v>
      </c>
      <c r="X325" s="72" t="s">
        <v>982</v>
      </c>
      <c r="Y325" s="72" t="s">
        <v>982</v>
      </c>
      <c r="Z325" s="80" t="s">
        <v>2574</v>
      </c>
    </row>
    <row r="326" spans="1:26" x14ac:dyDescent="0.25">
      <c r="A326" s="68">
        <f t="shared" si="82"/>
        <v>346</v>
      </c>
      <c r="B326" s="69" t="s">
        <v>182</v>
      </c>
      <c r="C326" s="68" t="s">
        <v>2011</v>
      </c>
      <c r="D326" s="68" t="s">
        <v>2012</v>
      </c>
      <c r="E326" s="68" t="s">
        <v>886</v>
      </c>
      <c r="F326" s="68" t="s">
        <v>56</v>
      </c>
      <c r="G326" s="68" t="s">
        <v>6</v>
      </c>
      <c r="H326" s="68" t="s">
        <v>888</v>
      </c>
      <c r="I326" s="68">
        <f t="shared" si="88"/>
        <v>1345</v>
      </c>
      <c r="J326" s="68" t="s">
        <v>2013</v>
      </c>
      <c r="K326" s="68" t="s">
        <v>2012</v>
      </c>
      <c r="L326" s="70"/>
      <c r="M326" s="71" t="s">
        <v>980</v>
      </c>
      <c r="N326" s="72" t="s">
        <v>809</v>
      </c>
      <c r="O326" s="68">
        <v>1</v>
      </c>
      <c r="P326" s="69" t="str">
        <f t="shared" si="83"/>
        <v>Veggie Pie Mix (MC) - GFF260R</v>
      </c>
      <c r="Q326" s="72"/>
      <c r="R326" s="72"/>
      <c r="S326" s="72"/>
      <c r="T326" s="72"/>
      <c r="U326" s="72"/>
      <c r="V326" s="72"/>
      <c r="W326" s="72" t="s">
        <v>1435</v>
      </c>
      <c r="X326" s="72" t="s">
        <v>982</v>
      </c>
      <c r="Y326" s="72" t="s">
        <v>982</v>
      </c>
      <c r="Z326" s="80" t="s">
        <v>2634</v>
      </c>
    </row>
    <row r="327" spans="1:26" x14ac:dyDescent="0.25">
      <c r="A327" s="68">
        <f t="shared" si="82"/>
        <v>347</v>
      </c>
      <c r="B327" s="69" t="s">
        <v>1673</v>
      </c>
      <c r="C327" s="68" t="s">
        <v>2015</v>
      </c>
      <c r="D327" s="68" t="s">
        <v>2578</v>
      </c>
      <c r="E327" s="68" t="s">
        <v>886</v>
      </c>
      <c r="F327" s="68" t="s">
        <v>56</v>
      </c>
      <c r="G327" s="68" t="s">
        <v>17</v>
      </c>
      <c r="H327" s="68" t="s">
        <v>888</v>
      </c>
      <c r="I327" s="68">
        <f t="shared" si="88"/>
        <v>1346</v>
      </c>
      <c r="J327" s="68" t="s">
        <v>2014</v>
      </c>
      <c r="K327" s="68" t="s">
        <v>2578</v>
      </c>
      <c r="L327" s="70"/>
      <c r="M327" s="71" t="s">
        <v>980</v>
      </c>
      <c r="N327" s="72" t="s">
        <v>814</v>
      </c>
      <c r="O327" s="68">
        <v>1</v>
      </c>
      <c r="P327" s="69" t="str">
        <f t="shared" si="83"/>
        <v>Roasted Aubergine Roundels - GFF1346</v>
      </c>
      <c r="Q327" s="72"/>
      <c r="R327" s="72"/>
      <c r="S327" s="72"/>
      <c r="T327" s="72"/>
      <c r="U327" s="72"/>
      <c r="V327" s="72"/>
      <c r="W327" s="72" t="s">
        <v>1435</v>
      </c>
      <c r="X327" s="72" t="s">
        <v>982</v>
      </c>
      <c r="Y327" s="72" t="s">
        <v>982</v>
      </c>
      <c r="Z327" s="80">
        <v>43634</v>
      </c>
    </row>
    <row r="328" spans="1:26" ht="30" x14ac:dyDescent="0.25">
      <c r="A328" s="68">
        <f t="shared" si="82"/>
        <v>348</v>
      </c>
      <c r="B328" s="69" t="s">
        <v>182</v>
      </c>
      <c r="C328" s="68" t="s">
        <v>2016</v>
      </c>
      <c r="D328" s="68" t="s">
        <v>1144</v>
      </c>
      <c r="E328" s="68" t="s">
        <v>885</v>
      </c>
      <c r="F328" s="68" t="s">
        <v>1840</v>
      </c>
      <c r="G328" s="68" t="s">
        <v>6</v>
      </c>
      <c r="H328" s="68" t="s">
        <v>888</v>
      </c>
      <c r="I328" s="68">
        <f t="shared" si="88"/>
        <v>1347</v>
      </c>
      <c r="J328" s="68" t="s">
        <v>2017</v>
      </c>
      <c r="K328" s="68" t="s">
        <v>2018</v>
      </c>
      <c r="L328" s="70">
        <v>20</v>
      </c>
      <c r="M328" s="71" t="s">
        <v>980</v>
      </c>
      <c r="N328" s="72" t="s">
        <v>809</v>
      </c>
      <c r="O328" s="68">
        <v>90</v>
      </c>
      <c r="P328" s="69" t="str">
        <f t="shared" si="83"/>
        <v>Falafels 20G R1 - GFF264R</v>
      </c>
      <c r="Q328" s="72">
        <v>55</v>
      </c>
      <c r="R328" s="72">
        <v>44</v>
      </c>
      <c r="S328" s="72">
        <v>33</v>
      </c>
      <c r="T328" s="72">
        <v>22</v>
      </c>
      <c r="U328" s="72">
        <v>11</v>
      </c>
      <c r="V328" s="72">
        <v>0</v>
      </c>
      <c r="W328" s="72" t="s">
        <v>1435</v>
      </c>
      <c r="X328" s="72" t="s">
        <v>2019</v>
      </c>
      <c r="Y328" s="72">
        <v>1</v>
      </c>
      <c r="Z328" s="83" t="s">
        <v>2290</v>
      </c>
    </row>
    <row r="329" spans="1:26" x14ac:dyDescent="0.25">
      <c r="A329" s="68">
        <f t="shared" si="82"/>
        <v>349</v>
      </c>
      <c r="B329" s="69" t="s">
        <v>182</v>
      </c>
      <c r="C329" s="68" t="s">
        <v>2020</v>
      </c>
      <c r="D329" s="68" t="s">
        <v>2021</v>
      </c>
      <c r="E329" s="68" t="s">
        <v>886</v>
      </c>
      <c r="F329" s="68" t="s">
        <v>56</v>
      </c>
      <c r="G329" s="68" t="s">
        <v>6</v>
      </c>
      <c r="H329" s="68" t="s">
        <v>888</v>
      </c>
      <c r="I329" s="68">
        <f t="shared" si="88"/>
        <v>1348</v>
      </c>
      <c r="J329" s="68" t="s">
        <v>2022</v>
      </c>
      <c r="K329" s="68" t="s">
        <v>2021</v>
      </c>
      <c r="L329" s="70"/>
      <c r="M329" s="71" t="s">
        <v>980</v>
      </c>
      <c r="N329" s="72" t="s">
        <v>814</v>
      </c>
      <c r="O329" s="68">
        <v>1</v>
      </c>
      <c r="P329" s="69" t="str">
        <f t="shared" si="83"/>
        <v>Soaked Chickpeas - GFF265R</v>
      </c>
      <c r="Q329" s="72"/>
      <c r="R329" s="72"/>
      <c r="S329" s="72"/>
      <c r="T329" s="72"/>
      <c r="U329" s="72"/>
      <c r="V329" s="72"/>
      <c r="W329" s="72" t="s">
        <v>1435</v>
      </c>
      <c r="X329" s="72" t="s">
        <v>982</v>
      </c>
      <c r="Y329" s="72" t="s">
        <v>982</v>
      </c>
      <c r="Z329" s="80">
        <v>43635</v>
      </c>
    </row>
    <row r="330" spans="1:26" x14ac:dyDescent="0.25">
      <c r="A330" s="68">
        <f t="shared" si="82"/>
        <v>350</v>
      </c>
      <c r="B330" s="69" t="s">
        <v>2026</v>
      </c>
      <c r="C330" s="68" t="s">
        <v>2027</v>
      </c>
      <c r="D330" s="68" t="s">
        <v>863</v>
      </c>
      <c r="E330" s="68" t="s">
        <v>130</v>
      </c>
      <c r="F330" s="68" t="s">
        <v>130</v>
      </c>
      <c r="G330" s="68" t="s">
        <v>17</v>
      </c>
      <c r="H330" s="68" t="s">
        <v>888</v>
      </c>
      <c r="I330" s="68">
        <f t="shared" si="88"/>
        <v>1349</v>
      </c>
      <c r="J330" s="68" t="s">
        <v>2027</v>
      </c>
      <c r="K330" s="68" t="s">
        <v>2031</v>
      </c>
      <c r="L330" s="70">
        <v>1</v>
      </c>
      <c r="M330" s="71" t="s">
        <v>980</v>
      </c>
      <c r="N330" s="72" t="s">
        <v>809</v>
      </c>
      <c r="O330" s="68">
        <v>1</v>
      </c>
      <c r="P330" s="69" t="str">
        <f t="shared" si="83"/>
        <v>Lion Yogurt &amp; Mint Dressing - BRA001-10 - BRA001-10</v>
      </c>
      <c r="Q330" s="72"/>
      <c r="R330" s="72"/>
      <c r="S330" s="72"/>
      <c r="T330" s="72"/>
      <c r="U330" s="72"/>
      <c r="V330" s="72"/>
      <c r="W330" s="72" t="s">
        <v>1435</v>
      </c>
      <c r="X330" s="72" t="s">
        <v>982</v>
      </c>
      <c r="Y330" s="72" t="s">
        <v>982</v>
      </c>
      <c r="Z330" s="80" t="s">
        <v>2560</v>
      </c>
    </row>
    <row r="331" spans="1:26" x14ac:dyDescent="0.25">
      <c r="A331" s="68">
        <f t="shared" si="82"/>
        <v>351</v>
      </c>
      <c r="B331" s="69" t="s">
        <v>1632</v>
      </c>
      <c r="C331" s="2" t="s">
        <v>1633</v>
      </c>
      <c r="D331" s="68" t="s">
        <v>850</v>
      </c>
      <c r="E331" s="68" t="s">
        <v>130</v>
      </c>
      <c r="F331" s="68" t="s">
        <v>130</v>
      </c>
      <c r="G331" s="68" t="s">
        <v>17</v>
      </c>
      <c r="H331" s="68" t="s">
        <v>888</v>
      </c>
      <c r="I331" s="68">
        <f t="shared" si="88"/>
        <v>1350</v>
      </c>
      <c r="J331" s="68" t="s">
        <v>1633</v>
      </c>
      <c r="K331" s="68" t="s">
        <v>2032</v>
      </c>
      <c r="L331" s="70">
        <v>1</v>
      </c>
      <c r="M331" s="71" t="s">
        <v>980</v>
      </c>
      <c r="N331" s="72" t="s">
        <v>814</v>
      </c>
      <c r="O331" s="68">
        <v>1</v>
      </c>
      <c r="P331" s="69" t="str">
        <f t="shared" si="83"/>
        <v>Houmous Dip - DIN001-01 - DIN001-01</v>
      </c>
      <c r="Q331" s="72"/>
      <c r="R331" s="72"/>
      <c r="S331" s="72"/>
      <c r="T331" s="72"/>
      <c r="U331" s="72"/>
      <c r="V331" s="72"/>
      <c r="W331" s="72" t="s">
        <v>1435</v>
      </c>
      <c r="X331" s="72" t="s">
        <v>982</v>
      </c>
      <c r="Y331" s="72" t="s">
        <v>982</v>
      </c>
      <c r="Z331" s="80">
        <v>43675</v>
      </c>
    </row>
    <row r="332" spans="1:26" x14ac:dyDescent="0.25">
      <c r="A332" s="68">
        <f t="shared" si="82"/>
        <v>352</v>
      </c>
      <c r="B332" s="69" t="s">
        <v>1756</v>
      </c>
      <c r="C332" s="68" t="s">
        <v>2033</v>
      </c>
      <c r="D332" s="68" t="s">
        <v>1347</v>
      </c>
      <c r="E332" s="68" t="s">
        <v>885</v>
      </c>
      <c r="F332" s="68" t="s">
        <v>56</v>
      </c>
      <c r="G332" s="68" t="s">
        <v>17</v>
      </c>
      <c r="H332" s="68" t="s">
        <v>888</v>
      </c>
      <c r="I332" s="68">
        <f t="shared" si="88"/>
        <v>1351</v>
      </c>
      <c r="J332" s="68" t="s">
        <v>2034</v>
      </c>
      <c r="K332" s="68" t="s">
        <v>2035</v>
      </c>
      <c r="L332" s="70">
        <v>25</v>
      </c>
      <c r="M332" s="71" t="s">
        <v>980</v>
      </c>
      <c r="N332" s="72" t="s">
        <v>814</v>
      </c>
      <c r="O332" s="68">
        <v>1</v>
      </c>
      <c r="P332" s="69" t="str">
        <f t="shared" si="83"/>
        <v>Breaded Mozzarella Sticks 25G - SAL001-03</v>
      </c>
      <c r="Q332" s="72"/>
      <c r="R332" s="72"/>
      <c r="S332" s="72"/>
      <c r="T332" s="72"/>
      <c r="U332" s="72"/>
      <c r="V332" s="72"/>
      <c r="W332" s="72" t="s">
        <v>1435</v>
      </c>
      <c r="X332" s="72" t="s">
        <v>1744</v>
      </c>
      <c r="Y332" s="72">
        <v>2</v>
      </c>
      <c r="Z332" s="80">
        <v>43679</v>
      </c>
    </row>
    <row r="333" spans="1:26" x14ac:dyDescent="0.25">
      <c r="A333" s="68">
        <f t="shared" si="82"/>
        <v>353</v>
      </c>
      <c r="B333" s="69" t="s">
        <v>1775</v>
      </c>
      <c r="C333" s="68" t="s">
        <v>2036</v>
      </c>
      <c r="D333" s="68" t="s">
        <v>2037</v>
      </c>
      <c r="E333" s="68" t="s">
        <v>885</v>
      </c>
      <c r="F333" s="68" t="s">
        <v>56</v>
      </c>
      <c r="G333" s="68" t="s">
        <v>17</v>
      </c>
      <c r="H333" s="68" t="s">
        <v>888</v>
      </c>
      <c r="I333" s="68">
        <f t="shared" si="88"/>
        <v>1352</v>
      </c>
      <c r="J333" s="68" t="s">
        <v>2038</v>
      </c>
      <c r="K333" s="68" t="s">
        <v>2039</v>
      </c>
      <c r="L333" s="70">
        <v>25</v>
      </c>
      <c r="M333" s="71" t="s">
        <v>979</v>
      </c>
      <c r="N333" s="72" t="s">
        <v>814</v>
      </c>
      <c r="O333" s="68">
        <v>1</v>
      </c>
      <c r="P333" s="69" t="str">
        <f t="shared" si="83"/>
        <v>Prawn Tail On Short Crust Pastry 25G - TRA003-06</v>
      </c>
      <c r="Q333" s="72"/>
      <c r="R333" s="72"/>
      <c r="S333" s="72"/>
      <c r="T333" s="72"/>
      <c r="U333" s="72"/>
      <c r="V333" s="72"/>
      <c r="W333" s="72" t="s">
        <v>1435</v>
      </c>
      <c r="X333" s="72" t="s">
        <v>982</v>
      </c>
      <c r="Y333" s="72" t="s">
        <v>982</v>
      </c>
      <c r="Z333" s="80">
        <v>43679</v>
      </c>
    </row>
    <row r="334" spans="1:26" x14ac:dyDescent="0.25">
      <c r="A334" s="68">
        <f t="shared" si="82"/>
        <v>354</v>
      </c>
      <c r="B334" s="69" t="s">
        <v>1634</v>
      </c>
      <c r="C334" s="68" t="s">
        <v>1636</v>
      </c>
      <c r="D334" s="68" t="s">
        <v>1529</v>
      </c>
      <c r="E334" s="68" t="s">
        <v>130</v>
      </c>
      <c r="F334" s="68" t="s">
        <v>130</v>
      </c>
      <c r="G334" s="68" t="s">
        <v>17</v>
      </c>
      <c r="H334" s="68" t="s">
        <v>888</v>
      </c>
      <c r="I334" s="68">
        <f t="shared" si="88"/>
        <v>1353</v>
      </c>
      <c r="J334" s="68" t="s">
        <v>1636</v>
      </c>
      <c r="K334" s="68" t="s">
        <v>2040</v>
      </c>
      <c r="L334" s="70">
        <v>1</v>
      </c>
      <c r="M334" s="71" t="s">
        <v>980</v>
      </c>
      <c r="N334" s="72" t="s">
        <v>809</v>
      </c>
      <c r="O334" s="68">
        <v>1</v>
      </c>
      <c r="P334" s="69" t="str">
        <f t="shared" si="83"/>
        <v>Sweet Mango Chutney - P&amp;B001-02</v>
      </c>
      <c r="Q334" s="72"/>
      <c r="R334" s="72"/>
      <c r="S334" s="72"/>
      <c r="T334" s="72"/>
      <c r="U334" s="72"/>
      <c r="V334" s="72"/>
      <c r="W334" s="72" t="s">
        <v>1435</v>
      </c>
      <c r="X334" s="72" t="s">
        <v>982</v>
      </c>
      <c r="Y334" s="72" t="s">
        <v>982</v>
      </c>
      <c r="Z334" s="80">
        <v>43679</v>
      </c>
    </row>
    <row r="335" spans="1:26" x14ac:dyDescent="0.25">
      <c r="A335" s="68">
        <f t="shared" si="82"/>
        <v>355</v>
      </c>
      <c r="B335" s="69" t="s">
        <v>2041</v>
      </c>
      <c r="C335" s="68" t="s">
        <v>2042</v>
      </c>
      <c r="D335" s="68" t="s">
        <v>2043</v>
      </c>
      <c r="E335" s="68" t="s">
        <v>885</v>
      </c>
      <c r="F335" s="68" t="s">
        <v>56</v>
      </c>
      <c r="G335" s="68" t="s">
        <v>17</v>
      </c>
      <c r="H335" s="68" t="s">
        <v>888</v>
      </c>
      <c r="I335" s="68">
        <f t="shared" si="88"/>
        <v>1354</v>
      </c>
      <c r="J335" s="68" t="s">
        <v>2044</v>
      </c>
      <c r="K335" s="68" t="s">
        <v>3018</v>
      </c>
      <c r="L335" s="70">
        <v>1</v>
      </c>
      <c r="M335" s="71" t="s">
        <v>980</v>
      </c>
      <c r="N335" s="72" t="s">
        <v>809</v>
      </c>
      <c r="O335" s="68">
        <v>1</v>
      </c>
      <c r="P335" s="69" t="str">
        <f t="shared" si="83"/>
        <v>Camembert Bites 20G- D - CGM001-01</v>
      </c>
      <c r="Q335" s="72"/>
      <c r="R335" s="72"/>
      <c r="S335" s="72"/>
      <c r="T335" s="72"/>
      <c r="U335" s="72"/>
      <c r="V335" s="72"/>
      <c r="W335" s="72" t="s">
        <v>1435</v>
      </c>
      <c r="X335" s="72" t="s">
        <v>1766</v>
      </c>
      <c r="Y335" s="72">
        <v>2</v>
      </c>
      <c r="Z335" s="80">
        <v>43679</v>
      </c>
    </row>
    <row r="336" spans="1:26" x14ac:dyDescent="0.25">
      <c r="A336" s="68">
        <f t="shared" ref="A336:A367" si="89">+A335+1</f>
        <v>356</v>
      </c>
      <c r="B336" s="69" t="s">
        <v>182</v>
      </c>
      <c r="C336" s="68" t="s">
        <v>2144</v>
      </c>
      <c r="D336" s="68" t="s">
        <v>2046</v>
      </c>
      <c r="E336" s="68" t="s">
        <v>885</v>
      </c>
      <c r="F336" s="68" t="s">
        <v>102</v>
      </c>
      <c r="G336" s="68" t="s">
        <v>6</v>
      </c>
      <c r="H336" s="68" t="s">
        <v>888</v>
      </c>
      <c r="I336" s="68">
        <f t="shared" si="88"/>
        <v>1355</v>
      </c>
      <c r="J336" s="68" t="s">
        <v>2047</v>
      </c>
      <c r="K336" s="68" t="s">
        <v>2048</v>
      </c>
      <c r="L336" s="70">
        <v>20</v>
      </c>
      <c r="M336" s="71" t="s">
        <v>979</v>
      </c>
      <c r="N336" s="72" t="s">
        <v>809</v>
      </c>
      <c r="O336" s="68">
        <v>160</v>
      </c>
      <c r="P336" s="69" t="str">
        <f t="shared" si="83"/>
        <v>Chicken Yakitori Kebabs 20G - GFF285R</v>
      </c>
      <c r="Q336" s="72"/>
      <c r="R336" s="72">
        <f t="shared" ref="R336" si="90">($Q336/5)*4</f>
        <v>0</v>
      </c>
      <c r="S336" s="72">
        <f t="shared" ref="S336" si="91">($Q336/5)*3</f>
        <v>0</v>
      </c>
      <c r="T336" s="72">
        <f t="shared" ref="T336" si="92">($Q336/5)*2</f>
        <v>0</v>
      </c>
      <c r="U336" s="72">
        <f t="shared" ref="U336" si="93">($Q336/5)*1</f>
        <v>0</v>
      </c>
      <c r="V336" s="72"/>
      <c r="W336" s="72" t="s">
        <v>1435</v>
      </c>
      <c r="X336" s="72" t="s">
        <v>982</v>
      </c>
      <c r="Y336" s="72" t="s">
        <v>982</v>
      </c>
      <c r="Z336" s="80">
        <v>43679</v>
      </c>
    </row>
    <row r="337" spans="1:26" x14ac:dyDescent="0.25">
      <c r="A337" s="68">
        <f t="shared" si="89"/>
        <v>357</v>
      </c>
      <c r="B337" s="69" t="s">
        <v>182</v>
      </c>
      <c r="C337" s="68" t="s">
        <v>2145</v>
      </c>
      <c r="D337" s="68" t="s">
        <v>2049</v>
      </c>
      <c r="E337" s="68" t="s">
        <v>886</v>
      </c>
      <c r="F337" s="68" t="s">
        <v>130</v>
      </c>
      <c r="G337" s="68" t="s">
        <v>6</v>
      </c>
      <c r="H337" s="68" t="s">
        <v>888</v>
      </c>
      <c r="I337" s="68">
        <f t="shared" si="88"/>
        <v>1356</v>
      </c>
      <c r="J337" s="68" t="s">
        <v>2050</v>
      </c>
      <c r="K337" s="68" t="s">
        <v>2051</v>
      </c>
      <c r="L337" s="70">
        <v>1</v>
      </c>
      <c r="M337" s="71" t="s">
        <v>980</v>
      </c>
      <c r="N337" s="72" t="s">
        <v>809</v>
      </c>
      <c r="O337" s="68">
        <v>1</v>
      </c>
      <c r="P337" s="69" t="str">
        <f t="shared" si="83"/>
        <v>Yakitori Glaze - GFF286R</v>
      </c>
      <c r="Q337" s="72"/>
      <c r="R337" s="72"/>
      <c r="S337" s="72"/>
      <c r="T337" s="72"/>
      <c r="U337" s="72"/>
      <c r="V337" s="72"/>
      <c r="W337" s="72" t="s">
        <v>1435</v>
      </c>
      <c r="X337" s="72" t="s">
        <v>982</v>
      </c>
      <c r="Y337" s="72" t="s">
        <v>982</v>
      </c>
      <c r="Z337" s="80">
        <v>43679</v>
      </c>
    </row>
    <row r="338" spans="1:26" x14ac:dyDescent="0.25">
      <c r="A338" s="68">
        <f t="shared" si="89"/>
        <v>358</v>
      </c>
      <c r="B338" s="69" t="s">
        <v>182</v>
      </c>
      <c r="C338" s="68" t="s">
        <v>2146</v>
      </c>
      <c r="D338" s="68" t="s">
        <v>96</v>
      </c>
      <c r="E338" s="68" t="s">
        <v>885</v>
      </c>
      <c r="F338" s="68" t="s">
        <v>1610</v>
      </c>
      <c r="G338" s="68" t="s">
        <v>6</v>
      </c>
      <c r="H338" s="68" t="s">
        <v>888</v>
      </c>
      <c r="I338" s="68">
        <f t="shared" si="88"/>
        <v>1357</v>
      </c>
      <c r="J338" s="68" t="s">
        <v>2052</v>
      </c>
      <c r="K338" s="68" t="s">
        <v>2053</v>
      </c>
      <c r="L338" s="70">
        <v>18</v>
      </c>
      <c r="M338" s="71" t="s">
        <v>980</v>
      </c>
      <c r="N338" s="72" t="s">
        <v>809</v>
      </c>
      <c r="O338" s="68">
        <v>240</v>
      </c>
      <c r="P338" s="69" t="str">
        <f t="shared" si="83"/>
        <v>Cheese &amp; Onion Loaded Potato Skins 18G - GFF287R</v>
      </c>
      <c r="Q338" s="72"/>
      <c r="R338" s="72">
        <f t="shared" ref="R338" si="94">($Q338/5)*4</f>
        <v>0</v>
      </c>
      <c r="S338" s="72">
        <f t="shared" ref="S338" si="95">($Q338/5)*3</f>
        <v>0</v>
      </c>
      <c r="T338" s="72">
        <f t="shared" ref="T338" si="96">($Q338/5)*2</f>
        <v>0</v>
      </c>
      <c r="U338" s="72">
        <f t="shared" ref="U338" si="97">($Q338/5)*1</f>
        <v>0</v>
      </c>
      <c r="V338" s="72"/>
      <c r="W338" s="72" t="s">
        <v>1435</v>
      </c>
      <c r="X338" s="72" t="s">
        <v>982</v>
      </c>
      <c r="Y338" s="72" t="s">
        <v>982</v>
      </c>
      <c r="Z338" s="80">
        <v>43679</v>
      </c>
    </row>
    <row r="339" spans="1:26" x14ac:dyDescent="0.25">
      <c r="A339" s="68">
        <f t="shared" si="89"/>
        <v>359</v>
      </c>
      <c r="B339" s="69" t="s">
        <v>1776</v>
      </c>
      <c r="C339" s="68" t="s">
        <v>2055</v>
      </c>
      <c r="D339" s="68" t="s">
        <v>2057</v>
      </c>
      <c r="E339" s="68" t="s">
        <v>885</v>
      </c>
      <c r="F339" s="2" t="s">
        <v>56</v>
      </c>
      <c r="G339" s="68" t="s">
        <v>17</v>
      </c>
      <c r="H339" s="68" t="s">
        <v>939</v>
      </c>
      <c r="I339" s="68">
        <f t="shared" si="88"/>
        <v>1358</v>
      </c>
      <c r="J339" s="68" t="s">
        <v>2056</v>
      </c>
      <c r="K339" s="68" t="s">
        <v>2058</v>
      </c>
      <c r="L339" s="70">
        <v>200</v>
      </c>
      <c r="M339" s="71" t="s">
        <v>980</v>
      </c>
      <c r="N339" s="72" t="s">
        <v>814</v>
      </c>
      <c r="O339" s="68">
        <v>1</v>
      </c>
      <c r="P339" s="69" t="str">
        <f t="shared" si="83"/>
        <v>10 Red Currant, Port &amp; Goat Cheese Crostini 22G | 200G - MRC001-05</v>
      </c>
      <c r="Q339" s="72"/>
      <c r="R339" s="72"/>
      <c r="S339" s="72"/>
      <c r="T339" s="72"/>
      <c r="U339" s="72"/>
      <c r="V339" s="72"/>
      <c r="W339" s="72" t="s">
        <v>1435</v>
      </c>
      <c r="X339" s="72" t="s">
        <v>982</v>
      </c>
      <c r="Y339" s="72" t="s">
        <v>982</v>
      </c>
      <c r="Z339" s="80">
        <v>43679</v>
      </c>
    </row>
    <row r="340" spans="1:26" x14ac:dyDescent="0.25">
      <c r="A340" s="68">
        <f t="shared" si="89"/>
        <v>360</v>
      </c>
      <c r="B340" s="69" t="s">
        <v>1776</v>
      </c>
      <c r="C340" s="68" t="s">
        <v>2054</v>
      </c>
      <c r="D340" s="68" t="s">
        <v>2059</v>
      </c>
      <c r="E340" s="68" t="s">
        <v>885</v>
      </c>
      <c r="F340" s="2" t="s">
        <v>56</v>
      </c>
      <c r="G340" s="68" t="s">
        <v>17</v>
      </c>
      <c r="H340" s="68" t="s">
        <v>939</v>
      </c>
      <c r="I340" s="68">
        <f t="shared" si="88"/>
        <v>1359</v>
      </c>
      <c r="J340" s="68" t="s">
        <v>2060</v>
      </c>
      <c r="K340" s="68" t="s">
        <v>2061</v>
      </c>
      <c r="L340" s="70">
        <v>185</v>
      </c>
      <c r="M340" s="71" t="s">
        <v>980</v>
      </c>
      <c r="N340" s="72" t="s">
        <v>814</v>
      </c>
      <c r="O340" s="68">
        <v>1</v>
      </c>
      <c r="P340" s="69" t="str">
        <f t="shared" si="83"/>
        <v>10 Sundried Tomato, peppers &amp; Pesto Crostini | 18.5G | 185G - MRC001-04</v>
      </c>
      <c r="Q340" s="72"/>
      <c r="R340" s="72"/>
      <c r="S340" s="72"/>
      <c r="T340" s="72"/>
      <c r="U340" s="72"/>
      <c r="V340" s="72"/>
      <c r="W340" s="72" t="s">
        <v>1435</v>
      </c>
      <c r="X340" s="72" t="s">
        <v>982</v>
      </c>
      <c r="Y340" s="72" t="s">
        <v>982</v>
      </c>
      <c r="Z340" s="80">
        <v>43679</v>
      </c>
    </row>
    <row r="341" spans="1:26" x14ac:dyDescent="0.25">
      <c r="A341" s="68">
        <f t="shared" si="89"/>
        <v>361</v>
      </c>
      <c r="B341" s="69" t="s">
        <v>1775</v>
      </c>
      <c r="C341" s="68" t="s">
        <v>2062</v>
      </c>
      <c r="D341" s="68" t="s">
        <v>2063</v>
      </c>
      <c r="E341" s="68" t="s">
        <v>885</v>
      </c>
      <c r="F341" s="2" t="s">
        <v>56</v>
      </c>
      <c r="G341" s="68" t="s">
        <v>17</v>
      </c>
      <c r="H341" s="68" t="s">
        <v>939</v>
      </c>
      <c r="I341" s="68">
        <f t="shared" si="88"/>
        <v>1360</v>
      </c>
      <c r="J341" s="68" t="s">
        <v>2064</v>
      </c>
      <c r="K341" s="68" t="s">
        <v>2065</v>
      </c>
      <c r="L341" s="70">
        <v>21</v>
      </c>
      <c r="M341" s="71" t="s">
        <v>979</v>
      </c>
      <c r="N341" s="72" t="s">
        <v>814</v>
      </c>
      <c r="O341" s="68">
        <v>1</v>
      </c>
      <c r="P341" s="69" t="str">
        <f t="shared" si="83"/>
        <v>Prawn Baguette Toast 21G - TRA003-04</v>
      </c>
      <c r="Q341" s="72"/>
      <c r="R341" s="72"/>
      <c r="S341" s="72"/>
      <c r="T341" s="72"/>
      <c r="U341" s="72"/>
      <c r="V341" s="72"/>
      <c r="W341" s="72" t="s">
        <v>1435</v>
      </c>
      <c r="X341" s="72" t="s">
        <v>982</v>
      </c>
      <c r="Y341" s="72" t="s">
        <v>982</v>
      </c>
      <c r="Z341" s="80">
        <v>43679</v>
      </c>
    </row>
    <row r="342" spans="1:26" x14ac:dyDescent="0.25">
      <c r="A342" s="68">
        <f t="shared" si="89"/>
        <v>362</v>
      </c>
      <c r="B342" s="69" t="s">
        <v>182</v>
      </c>
      <c r="C342" s="68" t="s">
        <v>2136</v>
      </c>
      <c r="D342" s="68" t="s">
        <v>865</v>
      </c>
      <c r="E342" s="68" t="s">
        <v>885</v>
      </c>
      <c r="F342" s="68" t="s">
        <v>610</v>
      </c>
      <c r="G342" s="68" t="s">
        <v>6</v>
      </c>
      <c r="H342" s="68" t="s">
        <v>939</v>
      </c>
      <c r="I342" s="68">
        <f t="shared" si="88"/>
        <v>1361</v>
      </c>
      <c r="J342" s="68" t="s">
        <v>2067</v>
      </c>
      <c r="K342" s="68" t="s">
        <v>106</v>
      </c>
      <c r="L342" s="70">
        <v>20</v>
      </c>
      <c r="M342" s="71" t="s">
        <v>979</v>
      </c>
      <c r="N342" s="72" t="s">
        <v>814</v>
      </c>
      <c r="O342" s="68">
        <v>80</v>
      </c>
      <c r="P342" s="69" t="str">
        <f t="shared" si="83"/>
        <v>Duck Parcels 20G - GFF282R</v>
      </c>
      <c r="Q342" s="72">
        <v>20</v>
      </c>
      <c r="R342" s="72">
        <f t="shared" ref="R342:R343" si="98">($Q342/5)*4</f>
        <v>16</v>
      </c>
      <c r="S342" s="72">
        <f t="shared" ref="S342:S343" si="99">($Q342/5)*3</f>
        <v>12</v>
      </c>
      <c r="T342" s="72">
        <f t="shared" ref="T342:T343" si="100">($Q342/5)*2</f>
        <v>8</v>
      </c>
      <c r="U342" s="72">
        <f t="shared" ref="U342:U343" si="101">($Q342/5)*1</f>
        <v>4</v>
      </c>
      <c r="V342" s="72"/>
      <c r="W342" s="72" t="s">
        <v>1435</v>
      </c>
      <c r="X342" s="72" t="s">
        <v>1703</v>
      </c>
      <c r="Y342" s="72">
        <v>1</v>
      </c>
      <c r="Z342" s="80">
        <v>43679</v>
      </c>
    </row>
    <row r="343" spans="1:26" x14ac:dyDescent="0.25">
      <c r="A343" s="68">
        <f t="shared" si="89"/>
        <v>363</v>
      </c>
      <c r="B343" s="69" t="s">
        <v>182</v>
      </c>
      <c r="C343" s="68" t="s">
        <v>2137</v>
      </c>
      <c r="D343" s="68" t="s">
        <v>2068</v>
      </c>
      <c r="E343" s="68" t="s">
        <v>885</v>
      </c>
      <c r="F343" s="68" t="s">
        <v>610</v>
      </c>
      <c r="G343" s="68" t="s">
        <v>6</v>
      </c>
      <c r="H343" s="68" t="s">
        <v>939</v>
      </c>
      <c r="I343" s="68">
        <f t="shared" si="88"/>
        <v>1362</v>
      </c>
      <c r="J343" s="68" t="s">
        <v>2069</v>
      </c>
      <c r="K343" s="68" t="s">
        <v>2070</v>
      </c>
      <c r="L343" s="70">
        <v>20</v>
      </c>
      <c r="M343" s="71" t="s">
        <v>979</v>
      </c>
      <c r="N343" s="72" t="s">
        <v>814</v>
      </c>
      <c r="O343" s="68">
        <v>80</v>
      </c>
      <c r="P343" s="69" t="str">
        <f t="shared" si="83"/>
        <v>Duck Money Bags 20G - GFF284R</v>
      </c>
      <c r="Q343" s="72">
        <v>20</v>
      </c>
      <c r="R343" s="72">
        <f t="shared" si="98"/>
        <v>16</v>
      </c>
      <c r="S343" s="72">
        <f t="shared" si="99"/>
        <v>12</v>
      </c>
      <c r="T343" s="72">
        <f t="shared" si="100"/>
        <v>8</v>
      </c>
      <c r="U343" s="72">
        <f t="shared" si="101"/>
        <v>4</v>
      </c>
      <c r="V343" s="72"/>
      <c r="W343" s="72" t="s">
        <v>1435</v>
      </c>
      <c r="X343" s="72" t="s">
        <v>1502</v>
      </c>
      <c r="Y343" s="72">
        <v>3</v>
      </c>
      <c r="Z343" s="80">
        <v>43679</v>
      </c>
    </row>
    <row r="344" spans="1:26" x14ac:dyDescent="0.25">
      <c r="A344" s="68">
        <f t="shared" si="89"/>
        <v>364</v>
      </c>
      <c r="B344" s="69" t="s">
        <v>182</v>
      </c>
      <c r="C344" s="68" t="s">
        <v>2076</v>
      </c>
      <c r="D344" s="68" t="s">
        <v>2084</v>
      </c>
      <c r="E344" s="68" t="s">
        <v>886</v>
      </c>
      <c r="F344" s="68" t="s">
        <v>56</v>
      </c>
      <c r="G344" s="68" t="s">
        <v>6</v>
      </c>
      <c r="H344" s="68" t="s">
        <v>888</v>
      </c>
      <c r="I344" s="68">
        <f t="shared" si="88"/>
        <v>1363</v>
      </c>
      <c r="J344" s="68" t="s">
        <v>2077</v>
      </c>
      <c r="K344" s="68" t="s">
        <v>2084</v>
      </c>
      <c r="L344" s="70"/>
      <c r="M344" s="71" t="s">
        <v>980</v>
      </c>
      <c r="N344" s="72" t="s">
        <v>809</v>
      </c>
      <c r="O344" s="68">
        <v>1</v>
      </c>
      <c r="P344" s="69" t="str">
        <f t="shared" si="83"/>
        <v>Bean Bake Mix (MC) - GFF267R</v>
      </c>
      <c r="Q344" s="72"/>
      <c r="R344" s="72"/>
      <c r="S344" s="72"/>
      <c r="T344" s="72"/>
      <c r="U344" s="72"/>
      <c r="V344" s="72"/>
      <c r="W344" s="72" t="s">
        <v>1435</v>
      </c>
      <c r="X344" s="72" t="s">
        <v>982</v>
      </c>
      <c r="Y344" s="72" t="s">
        <v>982</v>
      </c>
      <c r="Z344" s="80" t="s">
        <v>2635</v>
      </c>
    </row>
    <row r="345" spans="1:26" x14ac:dyDescent="0.25">
      <c r="A345" s="68">
        <f t="shared" si="89"/>
        <v>365</v>
      </c>
      <c r="B345" s="69" t="s">
        <v>182</v>
      </c>
      <c r="C345" s="68" t="s">
        <v>2078</v>
      </c>
      <c r="D345" s="68" t="s">
        <v>2083</v>
      </c>
      <c r="E345" s="68" t="s">
        <v>886</v>
      </c>
      <c r="F345" s="68" t="s">
        <v>56</v>
      </c>
      <c r="G345" s="68" t="s">
        <v>6</v>
      </c>
      <c r="H345" s="68" t="s">
        <v>888</v>
      </c>
      <c r="I345" s="68">
        <f t="shared" si="88"/>
        <v>1364</v>
      </c>
      <c r="J345" s="68" t="s">
        <v>2080</v>
      </c>
      <c r="K345" s="68" t="s">
        <v>2083</v>
      </c>
      <c r="L345" s="70"/>
      <c r="M345" s="71" t="s">
        <v>980</v>
      </c>
      <c r="N345" s="72" t="s">
        <v>809</v>
      </c>
      <c r="O345" s="68">
        <v>1</v>
      </c>
      <c r="P345" s="69" t="str">
        <f t="shared" si="83"/>
        <v>Rose Harissa Tagine Sauce (MC) - GFF269R</v>
      </c>
      <c r="Q345" s="72"/>
      <c r="R345" s="72"/>
      <c r="S345" s="72"/>
      <c r="T345" s="72"/>
      <c r="U345" s="72"/>
      <c r="V345" s="72"/>
      <c r="W345" s="72" t="s">
        <v>1435</v>
      </c>
      <c r="X345" s="72" t="s">
        <v>982</v>
      </c>
      <c r="Y345" s="72" t="s">
        <v>982</v>
      </c>
      <c r="Z345" s="80" t="s">
        <v>2635</v>
      </c>
    </row>
    <row r="346" spans="1:26" x14ac:dyDescent="0.25">
      <c r="A346" s="68">
        <f t="shared" si="89"/>
        <v>366</v>
      </c>
      <c r="B346" s="69" t="s">
        <v>182</v>
      </c>
      <c r="C346" s="68" t="s">
        <v>2081</v>
      </c>
      <c r="D346" s="68" t="s">
        <v>2082</v>
      </c>
      <c r="E346" s="68" t="s">
        <v>886</v>
      </c>
      <c r="F346" s="68" t="s">
        <v>56</v>
      </c>
      <c r="G346" s="68" t="s">
        <v>6</v>
      </c>
      <c r="H346" s="68" t="s">
        <v>888</v>
      </c>
      <c r="I346" s="68">
        <f t="shared" si="88"/>
        <v>1365</v>
      </c>
      <c r="J346" s="68" t="s">
        <v>2079</v>
      </c>
      <c r="K346" s="68" t="s">
        <v>2082</v>
      </c>
      <c r="L346" s="70"/>
      <c r="M346" s="71" t="s">
        <v>979</v>
      </c>
      <c r="N346" s="72" t="s">
        <v>809</v>
      </c>
      <c r="O346" s="68">
        <v>1</v>
      </c>
      <c r="P346" s="69" t="str">
        <f t="shared" si="83"/>
        <v>Beef &amp; Bean Chilli (MC) - GFF272R</v>
      </c>
      <c r="Q346" s="72"/>
      <c r="R346" s="72"/>
      <c r="S346" s="72"/>
      <c r="T346" s="72"/>
      <c r="U346" s="72"/>
      <c r="V346" s="72"/>
      <c r="W346" s="72" t="s">
        <v>1435</v>
      </c>
      <c r="X346" s="72" t="s">
        <v>982</v>
      </c>
      <c r="Y346" s="72" t="s">
        <v>982</v>
      </c>
      <c r="Z346" s="80" t="s">
        <v>2635</v>
      </c>
    </row>
    <row r="347" spans="1:26" x14ac:dyDescent="0.25">
      <c r="A347" s="68">
        <f t="shared" si="89"/>
        <v>367</v>
      </c>
      <c r="B347" s="69" t="s">
        <v>182</v>
      </c>
      <c r="C347" s="68" t="s">
        <v>2085</v>
      </c>
      <c r="D347" s="68" t="s">
        <v>2086</v>
      </c>
      <c r="E347" s="68" t="s">
        <v>886</v>
      </c>
      <c r="F347" s="68" t="s">
        <v>56</v>
      </c>
      <c r="G347" s="68" t="s">
        <v>6</v>
      </c>
      <c r="H347" s="68" t="s">
        <v>888</v>
      </c>
      <c r="I347" s="68">
        <f t="shared" si="88"/>
        <v>1366</v>
      </c>
      <c r="J347" s="68" t="s">
        <v>2087</v>
      </c>
      <c r="K347" s="68" t="s">
        <v>2086</v>
      </c>
      <c r="L347" s="70"/>
      <c r="M347" s="71" t="s">
        <v>979</v>
      </c>
      <c r="N347" s="72" t="s">
        <v>809</v>
      </c>
      <c r="O347" s="68">
        <v>1</v>
      </c>
      <c r="P347" s="69" t="str">
        <f t="shared" si="83"/>
        <v>Sunflower Mince Bolognese Sauce (MC) - GFF273R</v>
      </c>
      <c r="Q347" s="72"/>
      <c r="R347" s="72"/>
      <c r="S347" s="72"/>
      <c r="T347" s="72"/>
      <c r="U347" s="72"/>
      <c r="V347" s="72"/>
      <c r="W347" s="72" t="s">
        <v>1435</v>
      </c>
      <c r="X347" s="72" t="s">
        <v>982</v>
      </c>
      <c r="Y347" s="72" t="s">
        <v>982</v>
      </c>
      <c r="Z347" s="80" t="s">
        <v>2635</v>
      </c>
    </row>
    <row r="348" spans="1:26" x14ac:dyDescent="0.25">
      <c r="A348" s="68">
        <f t="shared" si="89"/>
        <v>368</v>
      </c>
      <c r="B348" s="69" t="s">
        <v>182</v>
      </c>
      <c r="C348" s="68" t="s">
        <v>2089</v>
      </c>
      <c r="D348" t="s">
        <v>2088</v>
      </c>
      <c r="E348" s="68" t="s">
        <v>886</v>
      </c>
      <c r="F348" s="68" t="s">
        <v>56</v>
      </c>
      <c r="G348" s="68" t="s">
        <v>6</v>
      </c>
      <c r="H348" s="68" t="s">
        <v>888</v>
      </c>
      <c r="I348" s="68">
        <f t="shared" si="88"/>
        <v>1367</v>
      </c>
      <c r="J348" s="68" t="s">
        <v>2090</v>
      </c>
      <c r="K348" s="68" t="s">
        <v>2088</v>
      </c>
      <c r="L348" s="70"/>
      <c r="M348" s="71" t="s">
        <v>980</v>
      </c>
      <c r="N348" s="72" t="s">
        <v>809</v>
      </c>
      <c r="O348" s="68">
        <v>1</v>
      </c>
      <c r="P348" s="69" t="str">
        <f t="shared" si="83"/>
        <v>Yellow Thai Tofu Curry  (MC) - GFF274R</v>
      </c>
      <c r="Q348" s="72"/>
      <c r="R348" s="72"/>
      <c r="S348" s="72"/>
      <c r="T348" s="72"/>
      <c r="U348" s="72"/>
      <c r="V348" s="72"/>
      <c r="W348" s="72" t="s">
        <v>1435</v>
      </c>
      <c r="X348" s="72" t="s">
        <v>982</v>
      </c>
      <c r="Y348" s="72" t="s">
        <v>982</v>
      </c>
      <c r="Z348" s="80" t="s">
        <v>2635</v>
      </c>
    </row>
    <row r="349" spans="1:26" x14ac:dyDescent="0.25">
      <c r="A349" s="68">
        <f t="shared" si="89"/>
        <v>369</v>
      </c>
      <c r="B349" s="69" t="s">
        <v>182</v>
      </c>
      <c r="C349" s="68" t="s">
        <v>2092</v>
      </c>
      <c r="D349" t="s">
        <v>2091</v>
      </c>
      <c r="E349" s="68" t="s">
        <v>886</v>
      </c>
      <c r="F349" s="68" t="s">
        <v>56</v>
      </c>
      <c r="G349" s="68" t="s">
        <v>6</v>
      </c>
      <c r="H349" s="68" t="s">
        <v>888</v>
      </c>
      <c r="I349" s="68">
        <f t="shared" si="88"/>
        <v>1368</v>
      </c>
      <c r="J349" s="68" t="s">
        <v>2093</v>
      </c>
      <c r="K349" s="68" t="s">
        <v>2626</v>
      </c>
      <c r="L349" s="70"/>
      <c r="M349" s="71" t="s">
        <v>980</v>
      </c>
      <c r="N349" s="72" t="s">
        <v>809</v>
      </c>
      <c r="O349" s="68">
        <v>1</v>
      </c>
      <c r="P349" s="69" t="str">
        <f t="shared" si="83"/>
        <v>Chickpea Korma Sauce (MC) - GFF277R</v>
      </c>
      <c r="Q349" s="72"/>
      <c r="R349" s="72"/>
      <c r="S349" s="72"/>
      <c r="T349" s="72"/>
      <c r="U349" s="72"/>
      <c r="V349" s="72"/>
      <c r="W349" s="72" t="s">
        <v>1435</v>
      </c>
      <c r="X349" s="72" t="s">
        <v>1862</v>
      </c>
      <c r="Y349" s="72">
        <v>1</v>
      </c>
      <c r="Z349" s="80" t="s">
        <v>2635</v>
      </c>
    </row>
    <row r="350" spans="1:26" x14ac:dyDescent="0.25">
      <c r="A350" s="68">
        <f t="shared" si="89"/>
        <v>370</v>
      </c>
      <c r="B350" s="69" t="s">
        <v>182</v>
      </c>
      <c r="C350" s="68" t="s">
        <v>2094</v>
      </c>
      <c r="D350" t="s">
        <v>2097</v>
      </c>
      <c r="E350" s="68" t="s">
        <v>886</v>
      </c>
      <c r="F350" s="68" t="s">
        <v>56</v>
      </c>
      <c r="G350" s="68" t="s">
        <v>6</v>
      </c>
      <c r="H350" s="68" t="s">
        <v>888</v>
      </c>
      <c r="I350" s="68">
        <f t="shared" si="88"/>
        <v>1369</v>
      </c>
      <c r="J350" s="68" t="s">
        <v>2095</v>
      </c>
      <c r="K350" s="68" t="str">
        <f t="shared" ref="K350:K373" si="102">D350</f>
        <v>Chipotle Sauce (MC)</v>
      </c>
      <c r="L350" s="70"/>
      <c r="M350" s="71" t="s">
        <v>980</v>
      </c>
      <c r="N350" s="72" t="s">
        <v>809</v>
      </c>
      <c r="O350" s="68">
        <v>1</v>
      </c>
      <c r="P350" s="69" t="str">
        <f t="shared" si="83"/>
        <v>Chipotle Sauce (MC) - GFF280R</v>
      </c>
      <c r="Q350" s="72"/>
      <c r="R350" s="72"/>
      <c r="S350" s="72"/>
      <c r="T350" s="72"/>
      <c r="U350" s="72"/>
      <c r="V350" s="72"/>
      <c r="W350" s="72" t="s">
        <v>1435</v>
      </c>
      <c r="X350" s="72" t="s">
        <v>982</v>
      </c>
      <c r="Y350" s="72" t="s">
        <v>982</v>
      </c>
      <c r="Z350" s="80" t="s">
        <v>2635</v>
      </c>
    </row>
    <row r="351" spans="1:26" x14ac:dyDescent="0.25">
      <c r="A351" s="68">
        <f t="shared" si="89"/>
        <v>371</v>
      </c>
      <c r="B351" s="69" t="s">
        <v>182</v>
      </c>
      <c r="C351" s="68" t="s">
        <v>2096</v>
      </c>
      <c r="D351" s="68" t="s">
        <v>2098</v>
      </c>
      <c r="E351" s="68" t="s">
        <v>886</v>
      </c>
      <c r="F351" s="68" t="s">
        <v>56</v>
      </c>
      <c r="G351" s="68" t="s">
        <v>6</v>
      </c>
      <c r="H351" s="68" t="s">
        <v>888</v>
      </c>
      <c r="I351" s="68">
        <f t="shared" si="88"/>
        <v>1370</v>
      </c>
      <c r="J351" s="68" t="s">
        <v>2100</v>
      </c>
      <c r="K351" s="68" t="str">
        <f t="shared" si="102"/>
        <v>Crumb Mix (MC)</v>
      </c>
      <c r="L351" s="70"/>
      <c r="M351" s="71" t="s">
        <v>980</v>
      </c>
      <c r="N351" s="72" t="s">
        <v>809</v>
      </c>
      <c r="O351" s="68">
        <v>1</v>
      </c>
      <c r="P351" s="69" t="str">
        <f t="shared" si="83"/>
        <v>Crumb Mix (MC) - GFF268R</v>
      </c>
      <c r="Q351" s="72"/>
      <c r="R351" s="72"/>
      <c r="S351" s="72"/>
      <c r="T351" s="72"/>
      <c r="U351" s="72"/>
      <c r="V351" s="72"/>
      <c r="W351" s="72" t="s">
        <v>1435</v>
      </c>
      <c r="X351" s="72" t="s">
        <v>1862</v>
      </c>
      <c r="Y351" s="72">
        <v>1</v>
      </c>
      <c r="Z351" s="80" t="s">
        <v>2635</v>
      </c>
    </row>
    <row r="352" spans="1:26" x14ac:dyDescent="0.25">
      <c r="A352" s="68">
        <f t="shared" si="89"/>
        <v>372</v>
      </c>
      <c r="B352" s="69" t="s">
        <v>2101</v>
      </c>
      <c r="C352" s="68" t="s">
        <v>2104</v>
      </c>
      <c r="D352" s="68" t="s">
        <v>2103</v>
      </c>
      <c r="E352" s="68" t="s">
        <v>886</v>
      </c>
      <c r="F352" s="68" t="s">
        <v>56</v>
      </c>
      <c r="G352" s="68" t="s">
        <v>17</v>
      </c>
      <c r="H352" s="68" t="s">
        <v>888</v>
      </c>
      <c r="I352" s="68">
        <f t="shared" si="88"/>
        <v>1371</v>
      </c>
      <c r="J352" s="68" t="s">
        <v>2102</v>
      </c>
      <c r="K352" s="68" t="str">
        <f t="shared" si="102"/>
        <v>20mm Diced Butternut Squash</v>
      </c>
      <c r="L352" s="70"/>
      <c r="M352" s="71" t="s">
        <v>980</v>
      </c>
      <c r="N352" s="72" t="s">
        <v>809</v>
      </c>
      <c r="O352" s="68">
        <v>1</v>
      </c>
      <c r="P352" s="69" t="str">
        <f t="shared" si="83"/>
        <v>20mm Diced Butternut Squash - GFF1371</v>
      </c>
      <c r="Q352" s="72"/>
      <c r="R352" s="72"/>
      <c r="S352" s="72"/>
      <c r="T352" s="72"/>
      <c r="U352" s="72"/>
      <c r="V352" s="72"/>
      <c r="W352" s="72" t="s">
        <v>1435</v>
      </c>
      <c r="X352" s="72" t="s">
        <v>982</v>
      </c>
      <c r="Y352" s="72" t="s">
        <v>982</v>
      </c>
      <c r="Z352" s="80">
        <v>43746</v>
      </c>
    </row>
    <row r="353" spans="1:26" x14ac:dyDescent="0.25">
      <c r="A353" s="68">
        <f t="shared" si="89"/>
        <v>373</v>
      </c>
      <c r="B353" s="69" t="s">
        <v>182</v>
      </c>
      <c r="C353" s="68" t="s">
        <v>2105</v>
      </c>
      <c r="D353" s="68" t="s">
        <v>2106</v>
      </c>
      <c r="E353" s="68" t="s">
        <v>886</v>
      </c>
      <c r="F353" s="68" t="s">
        <v>56</v>
      </c>
      <c r="G353" s="68" t="s">
        <v>6</v>
      </c>
      <c r="H353" s="68" t="s">
        <v>888</v>
      </c>
      <c r="I353" s="68">
        <f t="shared" si="88"/>
        <v>1372</v>
      </c>
      <c r="J353" s="68" t="s">
        <v>2099</v>
      </c>
      <c r="K353" s="68" t="str">
        <f t="shared" si="102"/>
        <v>Cacciatore Sauce (MC)</v>
      </c>
      <c r="L353" s="70"/>
      <c r="M353" s="71" t="s">
        <v>980</v>
      </c>
      <c r="N353" s="72" t="s">
        <v>809</v>
      </c>
      <c r="O353" s="68">
        <v>1</v>
      </c>
      <c r="P353" s="69" t="str">
        <f t="shared" si="83"/>
        <v>Cacciatore Sauce (MC) - GFF270R</v>
      </c>
      <c r="Q353" s="72"/>
      <c r="R353" s="72"/>
      <c r="S353" s="72"/>
      <c r="T353" s="72"/>
      <c r="U353" s="72"/>
      <c r="V353" s="72"/>
      <c r="W353" s="72" t="s">
        <v>1435</v>
      </c>
      <c r="X353" s="72" t="s">
        <v>982</v>
      </c>
      <c r="Y353" s="72" t="s">
        <v>982</v>
      </c>
      <c r="Z353" s="80" t="s">
        <v>2614</v>
      </c>
    </row>
    <row r="354" spans="1:26" x14ac:dyDescent="0.25">
      <c r="A354" s="68">
        <f t="shared" si="89"/>
        <v>374</v>
      </c>
      <c r="B354" s="69" t="s">
        <v>182</v>
      </c>
      <c r="C354" s="68" t="s">
        <v>2107</v>
      </c>
      <c r="D354" s="87" t="s">
        <v>2108</v>
      </c>
      <c r="E354" s="68" t="s">
        <v>886</v>
      </c>
      <c r="F354" s="68" t="s">
        <v>56</v>
      </c>
      <c r="G354" s="68" t="s">
        <v>6</v>
      </c>
      <c r="H354" s="68" t="s">
        <v>888</v>
      </c>
      <c r="I354" s="68">
        <f t="shared" si="88"/>
        <v>1373</v>
      </c>
      <c r="J354" s="68" t="s">
        <v>2109</v>
      </c>
      <c r="K354" s="68" t="str">
        <f t="shared" si="102"/>
        <v>Red Rice (MC)</v>
      </c>
      <c r="L354" s="70"/>
      <c r="M354" s="71" t="s">
        <v>980</v>
      </c>
      <c r="N354" s="72" t="s">
        <v>809</v>
      </c>
      <c r="O354" s="68">
        <v>1</v>
      </c>
      <c r="P354" s="69" t="str">
        <f t="shared" si="83"/>
        <v>Red Rice (MC) - GFF275R</v>
      </c>
      <c r="Q354" s="72"/>
      <c r="R354" s="72"/>
      <c r="S354" s="72"/>
      <c r="T354" s="72"/>
      <c r="U354" s="72"/>
      <c r="V354" s="72"/>
      <c r="W354" s="72" t="s">
        <v>1435</v>
      </c>
      <c r="X354" s="72" t="s">
        <v>982</v>
      </c>
      <c r="Y354" s="72" t="s">
        <v>982</v>
      </c>
      <c r="Z354" s="80" t="s">
        <v>2635</v>
      </c>
    </row>
    <row r="355" spans="1:26" x14ac:dyDescent="0.25">
      <c r="A355" s="68">
        <f t="shared" si="89"/>
        <v>375</v>
      </c>
      <c r="B355" s="69" t="s">
        <v>182</v>
      </c>
      <c r="C355" s="76" t="s">
        <v>2110</v>
      </c>
      <c r="D355" s="89" t="s">
        <v>2111</v>
      </c>
      <c r="E355" s="86" t="s">
        <v>886</v>
      </c>
      <c r="F355" s="68" t="s">
        <v>56</v>
      </c>
      <c r="G355" s="68" t="s">
        <v>6</v>
      </c>
      <c r="H355" s="68" t="s">
        <v>888</v>
      </c>
      <c r="I355" s="68">
        <f t="shared" si="88"/>
        <v>1374</v>
      </c>
      <c r="J355" s="68" t="s">
        <v>2112</v>
      </c>
      <c r="K355" s="68" t="str">
        <f t="shared" si="102"/>
        <v>Black Rice with Roasted Butternut Squash (MC)</v>
      </c>
      <c r="L355" s="70"/>
      <c r="M355" s="71" t="s">
        <v>980</v>
      </c>
      <c r="N355" s="72" t="s">
        <v>809</v>
      </c>
      <c r="O355" s="68">
        <v>1</v>
      </c>
      <c r="P355" s="69" t="str">
        <f t="shared" si="83"/>
        <v>Black Rice with Roasted Butternut Squash (MC) - GFF278R</v>
      </c>
      <c r="Q355" s="72"/>
      <c r="R355" s="72"/>
      <c r="S355" s="72"/>
      <c r="T355" s="72"/>
      <c r="U355" s="72"/>
      <c r="V355" s="72"/>
      <c r="W355" s="72" t="s">
        <v>1435</v>
      </c>
      <c r="X355" s="72" t="s">
        <v>982</v>
      </c>
      <c r="Y355" s="72" t="s">
        <v>982</v>
      </c>
      <c r="Z355" s="80" t="s">
        <v>2635</v>
      </c>
    </row>
    <row r="356" spans="1:26" x14ac:dyDescent="0.25">
      <c r="A356" s="68">
        <f t="shared" si="89"/>
        <v>376</v>
      </c>
      <c r="B356" s="69" t="s">
        <v>182</v>
      </c>
      <c r="C356" s="68" t="s">
        <v>2113</v>
      </c>
      <c r="D356" s="88" t="s">
        <v>2114</v>
      </c>
      <c r="E356" s="68" t="s">
        <v>886</v>
      </c>
      <c r="F356" s="68" t="s">
        <v>56</v>
      </c>
      <c r="G356" s="68" t="s">
        <v>6</v>
      </c>
      <c r="H356" s="68" t="s">
        <v>888</v>
      </c>
      <c r="I356" s="68">
        <f t="shared" si="88"/>
        <v>1375</v>
      </c>
      <c r="J356" s="68" t="s">
        <v>2115</v>
      </c>
      <c r="K356" s="68" t="str">
        <f t="shared" si="102"/>
        <v>Roasted Chicken Strips (MC)</v>
      </c>
      <c r="L356" s="70"/>
      <c r="M356" s="71" t="s">
        <v>980</v>
      </c>
      <c r="N356" s="72" t="s">
        <v>809</v>
      </c>
      <c r="O356" s="68">
        <v>1</v>
      </c>
      <c r="P356" s="69" t="str">
        <f t="shared" si="83"/>
        <v>Roasted Chicken Strips (MC) - GFF271R</v>
      </c>
      <c r="Q356" s="72"/>
      <c r="R356" s="72"/>
      <c r="S356" s="72"/>
      <c r="T356" s="72"/>
      <c r="U356" s="72"/>
      <c r="V356" s="72"/>
      <c r="W356" s="72" t="s">
        <v>1435</v>
      </c>
      <c r="X356" s="72" t="s">
        <v>982</v>
      </c>
      <c r="Y356" s="72" t="s">
        <v>982</v>
      </c>
      <c r="Z356" s="80" t="s">
        <v>2635</v>
      </c>
    </row>
    <row r="357" spans="1:26" x14ac:dyDescent="0.25">
      <c r="A357" s="68">
        <f t="shared" si="89"/>
        <v>377</v>
      </c>
      <c r="B357" s="69" t="s">
        <v>2116</v>
      </c>
      <c r="C357" s="68" t="s">
        <v>2117</v>
      </c>
      <c r="D357" s="68" t="s">
        <v>2118</v>
      </c>
      <c r="E357" s="68" t="s">
        <v>886</v>
      </c>
      <c r="F357" s="68" t="s">
        <v>56</v>
      </c>
      <c r="G357" s="68" t="s">
        <v>17</v>
      </c>
      <c r="H357" s="68" t="s">
        <v>888</v>
      </c>
      <c r="I357" s="68">
        <f t="shared" si="88"/>
        <v>1376</v>
      </c>
      <c r="J357" s="68" t="s">
        <v>2119</v>
      </c>
      <c r="K357" s="68" t="str">
        <f t="shared" si="102"/>
        <v>Pumpkin Seed HT</v>
      </c>
      <c r="L357" s="70"/>
      <c r="M357" s="71" t="s">
        <v>980</v>
      </c>
      <c r="N357" s="72" t="s">
        <v>814</v>
      </c>
      <c r="O357" s="68">
        <v>1</v>
      </c>
      <c r="P357" s="69" t="str">
        <f t="shared" si="83"/>
        <v>Pumpkin Seed HT - GFF1376</v>
      </c>
      <c r="Q357" s="72"/>
      <c r="R357" s="72"/>
      <c r="S357" s="72"/>
      <c r="T357" s="72"/>
      <c r="U357" s="72"/>
      <c r="V357" s="72"/>
      <c r="W357" s="72" t="s">
        <v>1435</v>
      </c>
      <c r="X357" s="72" t="s">
        <v>982</v>
      </c>
      <c r="Y357" s="72" t="s">
        <v>982</v>
      </c>
      <c r="Z357" s="80">
        <v>43746</v>
      </c>
    </row>
    <row r="358" spans="1:26" x14ac:dyDescent="0.25">
      <c r="A358" s="68">
        <f t="shared" si="89"/>
        <v>378</v>
      </c>
      <c r="B358" s="69" t="s">
        <v>1913</v>
      </c>
      <c r="C358" s="68" t="s">
        <v>2121</v>
      </c>
      <c r="D358" t="s">
        <v>2120</v>
      </c>
      <c r="E358" s="68" t="s">
        <v>886</v>
      </c>
      <c r="F358" s="68" t="s">
        <v>56</v>
      </c>
      <c r="G358" s="68" t="s">
        <v>17</v>
      </c>
      <c r="H358" s="68" t="s">
        <v>888</v>
      </c>
      <c r="I358" s="68">
        <f t="shared" si="88"/>
        <v>1377</v>
      </c>
      <c r="J358" s="68" t="s">
        <v>2122</v>
      </c>
      <c r="K358" s="68" t="str">
        <f t="shared" si="102"/>
        <v xml:space="preserve">Roasted Nib Hazelnuts (2-6mm) </v>
      </c>
      <c r="L358" s="70"/>
      <c r="M358" s="71" t="s">
        <v>980</v>
      </c>
      <c r="N358" s="72" t="s">
        <v>809</v>
      </c>
      <c r="O358" s="68">
        <v>1</v>
      </c>
      <c r="P358" s="69" t="str">
        <f t="shared" si="83"/>
        <v>Roasted Nib Hazelnuts (2-6mm)  - GFF1377</v>
      </c>
      <c r="Q358" s="72"/>
      <c r="R358" s="72"/>
      <c r="S358" s="72"/>
      <c r="T358" s="72"/>
      <c r="U358" s="72"/>
      <c r="V358" s="72"/>
      <c r="W358" s="72" t="s">
        <v>1435</v>
      </c>
      <c r="X358" s="72" t="s">
        <v>1862</v>
      </c>
      <c r="Y358" s="72">
        <v>1</v>
      </c>
      <c r="Z358" s="80">
        <v>43746</v>
      </c>
    </row>
    <row r="359" spans="1:26" x14ac:dyDescent="0.25">
      <c r="A359" s="68">
        <f t="shared" si="89"/>
        <v>379</v>
      </c>
      <c r="B359" s="69" t="s">
        <v>2133</v>
      </c>
      <c r="C359" s="68" t="s">
        <v>2123</v>
      </c>
      <c r="D359" s="68" t="s">
        <v>2124</v>
      </c>
      <c r="E359" s="68" t="s">
        <v>886</v>
      </c>
      <c r="F359" s="68" t="s">
        <v>56</v>
      </c>
      <c r="G359" s="68" t="s">
        <v>17</v>
      </c>
      <c r="H359" s="68" t="s">
        <v>888</v>
      </c>
      <c r="I359" s="68">
        <f t="shared" si="88"/>
        <v>1378</v>
      </c>
      <c r="J359" s="68" t="s">
        <v>2132</v>
      </c>
      <c r="K359" s="68" t="str">
        <f t="shared" si="102"/>
        <v>Pine Nuts</v>
      </c>
      <c r="L359" s="70"/>
      <c r="M359" s="71" t="s">
        <v>980</v>
      </c>
      <c r="N359" s="72" t="s">
        <v>809</v>
      </c>
      <c r="O359" s="68">
        <v>1</v>
      </c>
      <c r="P359" s="69" t="str">
        <f t="shared" si="83"/>
        <v>Pine Nuts - GFF1378</v>
      </c>
      <c r="Q359" s="72"/>
      <c r="R359" s="72"/>
      <c r="S359" s="72"/>
      <c r="T359" s="72"/>
      <c r="U359" s="72"/>
      <c r="V359" s="72"/>
      <c r="W359" s="72" t="s">
        <v>1435</v>
      </c>
      <c r="X359" s="72" t="s">
        <v>1862</v>
      </c>
      <c r="Y359" s="72">
        <v>1</v>
      </c>
      <c r="Z359" s="80">
        <v>43746</v>
      </c>
    </row>
    <row r="360" spans="1:26" x14ac:dyDescent="0.25">
      <c r="A360" s="68">
        <f t="shared" si="89"/>
        <v>380</v>
      </c>
      <c r="B360" s="69" t="s">
        <v>182</v>
      </c>
      <c r="C360" s="68" t="s">
        <v>2125</v>
      </c>
      <c r="D360" s="68" t="s">
        <v>2126</v>
      </c>
      <c r="E360" s="68" t="s">
        <v>886</v>
      </c>
      <c r="F360" s="68" t="s">
        <v>56</v>
      </c>
      <c r="G360" s="68" t="s">
        <v>6</v>
      </c>
      <c r="H360" s="68" t="s">
        <v>888</v>
      </c>
      <c r="I360" s="68">
        <f t="shared" si="88"/>
        <v>1379</v>
      </c>
      <c r="J360" s="68" t="s">
        <v>2127</v>
      </c>
      <c r="K360" s="68" t="str">
        <f t="shared" si="102"/>
        <v>Baked Tofu (MC)</v>
      </c>
      <c r="L360" s="70"/>
      <c r="M360" s="71" t="s">
        <v>980</v>
      </c>
      <c r="N360" s="72" t="s">
        <v>809</v>
      </c>
      <c r="O360" s="68">
        <v>1</v>
      </c>
      <c r="P360" s="69" t="str">
        <f t="shared" si="83"/>
        <v>Baked Tofu (MC) - GFF276R</v>
      </c>
      <c r="Q360" s="72"/>
      <c r="R360" s="72"/>
      <c r="S360" s="72"/>
      <c r="T360" s="72"/>
      <c r="U360" s="72"/>
      <c r="V360" s="72"/>
      <c r="W360" s="72" t="s">
        <v>1435</v>
      </c>
      <c r="X360" s="72" t="s">
        <v>982</v>
      </c>
      <c r="Y360" s="72" t="s">
        <v>982</v>
      </c>
      <c r="Z360" s="80" t="s">
        <v>2635</v>
      </c>
    </row>
    <row r="361" spans="1:26" x14ac:dyDescent="0.25">
      <c r="A361" s="68">
        <f t="shared" si="89"/>
        <v>381</v>
      </c>
      <c r="B361" s="69" t="s">
        <v>182</v>
      </c>
      <c r="C361" s="68" t="s">
        <v>2128</v>
      </c>
      <c r="D361" s="68" t="s">
        <v>2129</v>
      </c>
      <c r="E361" s="68" t="s">
        <v>886</v>
      </c>
      <c r="F361" s="68" t="s">
        <v>56</v>
      </c>
      <c r="G361" s="68" t="s">
        <v>6</v>
      </c>
      <c r="H361" s="68" t="s">
        <v>888</v>
      </c>
      <c r="I361" s="68">
        <f t="shared" si="88"/>
        <v>1380</v>
      </c>
      <c r="J361" s="68" t="s">
        <v>2130</v>
      </c>
      <c r="K361" s="68" t="str">
        <f t="shared" si="102"/>
        <v>Roasted Couliflower (MC)</v>
      </c>
      <c r="L361" s="70"/>
      <c r="M361" s="71" t="s">
        <v>980</v>
      </c>
      <c r="N361" s="72" t="s">
        <v>814</v>
      </c>
      <c r="O361" s="68">
        <v>1</v>
      </c>
      <c r="P361" s="69" t="str">
        <f t="shared" si="83"/>
        <v>Roasted Couliflower (MC) - GFF279R</v>
      </c>
      <c r="Q361" s="72"/>
      <c r="R361" s="72"/>
      <c r="S361" s="72"/>
      <c r="T361" s="72"/>
      <c r="U361" s="72"/>
      <c r="V361" s="72"/>
      <c r="W361" s="72" t="s">
        <v>1435</v>
      </c>
      <c r="X361" s="72" t="s">
        <v>982</v>
      </c>
      <c r="Y361" s="72" t="s">
        <v>982</v>
      </c>
      <c r="Z361" s="80">
        <v>43746</v>
      </c>
    </row>
    <row r="362" spans="1:26" x14ac:dyDescent="0.25">
      <c r="A362" s="68">
        <f t="shared" si="89"/>
        <v>382</v>
      </c>
      <c r="B362" s="69" t="s">
        <v>182</v>
      </c>
      <c r="C362" s="68" t="s">
        <v>2138</v>
      </c>
      <c r="D362" s="68" t="s">
        <v>2140</v>
      </c>
      <c r="E362" s="68" t="s">
        <v>886</v>
      </c>
      <c r="F362" s="68" t="s">
        <v>610</v>
      </c>
      <c r="G362" s="68" t="s">
        <v>6</v>
      </c>
      <c r="H362" s="68" t="s">
        <v>939</v>
      </c>
      <c r="I362" s="68">
        <f t="shared" si="88"/>
        <v>1381</v>
      </c>
      <c r="J362" s="68" t="s">
        <v>2142</v>
      </c>
      <c r="K362" s="68" t="str">
        <f t="shared" si="102"/>
        <v>Duck Parcel Filling</v>
      </c>
      <c r="L362" s="70"/>
      <c r="M362" s="71" t="s">
        <v>979</v>
      </c>
      <c r="N362" s="72" t="s">
        <v>814</v>
      </c>
      <c r="O362" s="68">
        <v>1</v>
      </c>
      <c r="P362" s="69" t="str">
        <f t="shared" si="83"/>
        <v>Duck Parcel Filling - GFF281R</v>
      </c>
      <c r="Q362" s="72"/>
      <c r="R362" s="72"/>
      <c r="S362" s="72"/>
      <c r="T362" s="72"/>
      <c r="U362" s="72"/>
      <c r="V362" s="72"/>
      <c r="W362" s="72" t="s">
        <v>1435</v>
      </c>
      <c r="X362" s="1" t="s">
        <v>1703</v>
      </c>
      <c r="Y362" s="72">
        <v>1</v>
      </c>
      <c r="Z362" s="80">
        <v>43761</v>
      </c>
    </row>
    <row r="363" spans="1:26" x14ac:dyDescent="0.25">
      <c r="A363" s="68">
        <f t="shared" si="89"/>
        <v>383</v>
      </c>
      <c r="B363" s="69" t="s">
        <v>182</v>
      </c>
      <c r="C363" s="68" t="s">
        <v>2139</v>
      </c>
      <c r="D363" s="68" t="s">
        <v>2141</v>
      </c>
      <c r="E363" s="68" t="s">
        <v>886</v>
      </c>
      <c r="F363" s="68" t="s">
        <v>610</v>
      </c>
      <c r="G363" s="68" t="s">
        <v>6</v>
      </c>
      <c r="H363" s="68" t="s">
        <v>939</v>
      </c>
      <c r="I363" s="68">
        <f t="shared" si="88"/>
        <v>1382</v>
      </c>
      <c r="J363" s="68" t="s">
        <v>2143</v>
      </c>
      <c r="K363" s="68" t="str">
        <f t="shared" si="102"/>
        <v>Duck Money Bags Filling</v>
      </c>
      <c r="L363" s="70"/>
      <c r="M363" s="71" t="s">
        <v>979</v>
      </c>
      <c r="N363" s="72" t="s">
        <v>814</v>
      </c>
      <c r="O363" s="68">
        <v>1</v>
      </c>
      <c r="P363" s="69" t="str">
        <f t="shared" si="83"/>
        <v>Duck Money Bags Filling - GFF283R</v>
      </c>
      <c r="Q363" s="72"/>
      <c r="R363" s="72"/>
      <c r="S363" s="72"/>
      <c r="T363" s="72"/>
      <c r="U363" s="72"/>
      <c r="V363" s="72"/>
      <c r="W363" s="72" t="s">
        <v>1435</v>
      </c>
      <c r="X363" s="72" t="s">
        <v>1502</v>
      </c>
      <c r="Y363" s="72">
        <v>3</v>
      </c>
      <c r="Z363" s="80">
        <v>43761</v>
      </c>
    </row>
    <row r="364" spans="1:26" x14ac:dyDescent="0.25">
      <c r="A364" s="68">
        <f t="shared" si="89"/>
        <v>384</v>
      </c>
      <c r="B364" s="69" t="s">
        <v>182</v>
      </c>
      <c r="C364" s="68" t="s">
        <v>2167</v>
      </c>
      <c r="D364" s="68" t="s">
        <v>2168</v>
      </c>
      <c r="E364" s="68" t="s">
        <v>130</v>
      </c>
      <c r="F364" s="68" t="s">
        <v>130</v>
      </c>
      <c r="G364" s="68" t="s">
        <v>6</v>
      </c>
      <c r="H364" s="68" t="s">
        <v>888</v>
      </c>
      <c r="I364" s="68">
        <f t="shared" si="88"/>
        <v>1383</v>
      </c>
      <c r="J364" s="68" t="s">
        <v>2170</v>
      </c>
      <c r="K364" s="68" t="str">
        <f t="shared" si="102"/>
        <v>Sour Cream With Chive</v>
      </c>
      <c r="L364" s="70">
        <v>1</v>
      </c>
      <c r="M364" s="71" t="s">
        <v>980</v>
      </c>
      <c r="N364" s="72" t="s">
        <v>809</v>
      </c>
      <c r="O364" s="68">
        <v>2</v>
      </c>
      <c r="P364" s="69" t="str">
        <f t="shared" si="83"/>
        <v>Sour Cream With Chive - GFF227R</v>
      </c>
      <c r="Q364" s="72"/>
      <c r="R364" s="72"/>
      <c r="S364" s="72"/>
      <c r="T364" s="72"/>
      <c r="U364" s="72"/>
      <c r="V364" s="72"/>
      <c r="W364" s="72" t="s">
        <v>1435</v>
      </c>
      <c r="X364" s="72" t="s">
        <v>1480</v>
      </c>
      <c r="Y364" s="72">
        <v>2</v>
      </c>
      <c r="Z364" s="80">
        <v>43861</v>
      </c>
    </row>
    <row r="365" spans="1:26" x14ac:dyDescent="0.25">
      <c r="A365" s="68">
        <f t="shared" si="89"/>
        <v>385</v>
      </c>
      <c r="B365" s="69" t="s">
        <v>182</v>
      </c>
      <c r="C365" s="68" t="s">
        <v>2171</v>
      </c>
      <c r="D365" s="68" t="s">
        <v>2172</v>
      </c>
      <c r="E365" s="68" t="s">
        <v>886</v>
      </c>
      <c r="F365" s="68" t="s">
        <v>609</v>
      </c>
      <c r="G365" s="68" t="s">
        <v>6</v>
      </c>
      <c r="H365" s="68" t="s">
        <v>888</v>
      </c>
      <c r="I365" s="68">
        <f t="shared" si="88"/>
        <v>1384</v>
      </c>
      <c r="J365" s="68" t="s">
        <v>2173</v>
      </c>
      <c r="K365" s="68" t="str">
        <f t="shared" si="102"/>
        <v>Lamb Pie Mix (MC)</v>
      </c>
      <c r="L365" s="70"/>
      <c r="M365" s="71" t="s">
        <v>979</v>
      </c>
      <c r="N365" s="72" t="s">
        <v>809</v>
      </c>
      <c r="O365" s="68">
        <v>1</v>
      </c>
      <c r="P365" s="69" t="str">
        <f t="shared" si="83"/>
        <v>Lamb Pie Mix (MC) - GFF288R</v>
      </c>
      <c r="Q365" s="72"/>
      <c r="R365" s="72"/>
      <c r="S365" s="72"/>
      <c r="T365" s="72"/>
      <c r="U365" s="72"/>
      <c r="V365" s="72"/>
      <c r="W365" s="72" t="s">
        <v>1435</v>
      </c>
      <c r="X365" s="72" t="s">
        <v>982</v>
      </c>
      <c r="Y365" s="72" t="s">
        <v>982</v>
      </c>
      <c r="Z365" s="80" t="s">
        <v>2636</v>
      </c>
    </row>
    <row r="366" spans="1:26" x14ac:dyDescent="0.25">
      <c r="A366" s="68">
        <f t="shared" si="89"/>
        <v>386</v>
      </c>
      <c r="B366" s="69" t="s">
        <v>182</v>
      </c>
      <c r="C366" s="68" t="s">
        <v>2174</v>
      </c>
      <c r="D366" s="68" t="s">
        <v>2175</v>
      </c>
      <c r="E366" s="68" t="s">
        <v>886</v>
      </c>
      <c r="F366" s="68" t="s">
        <v>56</v>
      </c>
      <c r="G366" s="68" t="s">
        <v>6</v>
      </c>
      <c r="H366" s="68" t="s">
        <v>888</v>
      </c>
      <c r="I366" s="68">
        <f t="shared" si="88"/>
        <v>1385</v>
      </c>
      <c r="J366" s="68" t="s">
        <v>2176</v>
      </c>
      <c r="K366" s="68" t="str">
        <f t="shared" si="102"/>
        <v>Spinach &amp; Sweet Potato Mash (MC)</v>
      </c>
      <c r="L366" s="70"/>
      <c r="M366" s="71" t="s">
        <v>980</v>
      </c>
      <c r="N366" s="72" t="s">
        <v>809</v>
      </c>
      <c r="O366" s="68">
        <v>1</v>
      </c>
      <c r="P366" s="69" t="str">
        <f t="shared" si="83"/>
        <v>Spinach &amp; Sweet Potato Mash (MC) - GFF289R</v>
      </c>
      <c r="Q366" s="72"/>
      <c r="R366" s="72"/>
      <c r="S366" s="72"/>
      <c r="T366" s="72"/>
      <c r="U366" s="72"/>
      <c r="V366" s="72"/>
      <c r="W366" s="72" t="s">
        <v>1435</v>
      </c>
      <c r="X366" s="72" t="s">
        <v>982</v>
      </c>
      <c r="Y366" s="72" t="s">
        <v>982</v>
      </c>
      <c r="Z366" s="80" t="s">
        <v>2636</v>
      </c>
    </row>
    <row r="367" spans="1:26" x14ac:dyDescent="0.25">
      <c r="A367" s="68">
        <f t="shared" si="89"/>
        <v>387</v>
      </c>
      <c r="B367" s="69" t="s">
        <v>182</v>
      </c>
      <c r="C367" s="68" t="s">
        <v>2177</v>
      </c>
      <c r="D367" s="68" t="s">
        <v>2178</v>
      </c>
      <c r="E367" s="68" t="s">
        <v>886</v>
      </c>
      <c r="F367" s="68" t="s">
        <v>56</v>
      </c>
      <c r="G367" s="68" t="s">
        <v>6</v>
      </c>
      <c r="H367" s="68" t="s">
        <v>888</v>
      </c>
      <c r="I367" s="68">
        <f t="shared" si="88"/>
        <v>1386</v>
      </c>
      <c r="J367" s="68" t="s">
        <v>2179</v>
      </c>
      <c r="K367" s="68" t="str">
        <f t="shared" si="102"/>
        <v>Spinach Dahl (MC)</v>
      </c>
      <c r="L367" s="70"/>
      <c r="M367" s="71" t="s">
        <v>980</v>
      </c>
      <c r="N367" s="72" t="s">
        <v>809</v>
      </c>
      <c r="O367" s="68">
        <v>1</v>
      </c>
      <c r="P367" s="69" t="str">
        <f t="shared" si="83"/>
        <v>Spinach Dahl (MC) - GFF290R</v>
      </c>
      <c r="Q367" s="72"/>
      <c r="R367" s="72"/>
      <c r="S367" s="72"/>
      <c r="T367" s="72"/>
      <c r="U367" s="72"/>
      <c r="V367" s="72"/>
      <c r="W367" s="72" t="s">
        <v>1435</v>
      </c>
      <c r="X367" s="72" t="s">
        <v>982</v>
      </c>
      <c r="Y367" s="72" t="s">
        <v>982</v>
      </c>
      <c r="Z367" s="80" t="s">
        <v>2636</v>
      </c>
    </row>
    <row r="368" spans="1:26" x14ac:dyDescent="0.25">
      <c r="A368" s="68">
        <f t="shared" ref="A368:A399" si="103">+A367+1</f>
        <v>388</v>
      </c>
      <c r="B368" s="69" t="s">
        <v>182</v>
      </c>
      <c r="C368" s="68" t="s">
        <v>2180</v>
      </c>
      <c r="D368" s="68" t="s">
        <v>2182</v>
      </c>
      <c r="E368" s="68" t="s">
        <v>886</v>
      </c>
      <c r="F368" s="68" t="s">
        <v>56</v>
      </c>
      <c r="G368" s="68" t="s">
        <v>6</v>
      </c>
      <c r="H368" s="68" t="s">
        <v>888</v>
      </c>
      <c r="I368" s="68">
        <f t="shared" si="88"/>
        <v>1387</v>
      </c>
      <c r="J368" s="68" t="s">
        <v>2181</v>
      </c>
      <c r="K368" s="68" t="str">
        <f t="shared" si="102"/>
        <v>Steamed Broccoli Florets (MC)</v>
      </c>
      <c r="L368" s="70"/>
      <c r="M368" s="71" t="s">
        <v>980</v>
      </c>
      <c r="N368" s="72" t="s">
        <v>814</v>
      </c>
      <c r="O368" s="68">
        <v>1</v>
      </c>
      <c r="P368" s="69" t="str">
        <f t="shared" si="83"/>
        <v>Steamed Broccoli Florets (MC) - GFF291R</v>
      </c>
      <c r="Q368" s="72"/>
      <c r="R368" s="72"/>
      <c r="S368" s="72"/>
      <c r="T368" s="72"/>
      <c r="U368" s="72"/>
      <c r="V368" s="72"/>
      <c r="W368" s="72" t="s">
        <v>1435</v>
      </c>
      <c r="X368" s="72" t="s">
        <v>982</v>
      </c>
      <c r="Y368" s="72" t="s">
        <v>982</v>
      </c>
      <c r="Z368" s="80">
        <v>43868</v>
      </c>
    </row>
    <row r="369" spans="1:26" x14ac:dyDescent="0.25">
      <c r="A369" s="68">
        <f t="shared" si="103"/>
        <v>389</v>
      </c>
      <c r="B369" s="69" t="s">
        <v>182</v>
      </c>
      <c r="C369" s="68" t="s">
        <v>2183</v>
      </c>
      <c r="D369" s="68" t="s">
        <v>2184</v>
      </c>
      <c r="E369" s="68" t="s">
        <v>886</v>
      </c>
      <c r="F369" s="68" t="s">
        <v>56</v>
      </c>
      <c r="G369" s="68" t="s">
        <v>6</v>
      </c>
      <c r="H369" s="68" t="s">
        <v>888</v>
      </c>
      <c r="I369" s="68">
        <f t="shared" si="88"/>
        <v>1388</v>
      </c>
      <c r="J369" s="68" t="s">
        <v>2185</v>
      </c>
      <c r="K369" s="68" t="str">
        <f t="shared" si="102"/>
        <v>Sweet and Sour Sauce (MC)</v>
      </c>
      <c r="L369" s="70"/>
      <c r="M369" s="71" t="s">
        <v>980</v>
      </c>
      <c r="N369" s="72" t="s">
        <v>809</v>
      </c>
      <c r="O369" s="68">
        <v>1</v>
      </c>
      <c r="P369" s="69" t="str">
        <f t="shared" si="83"/>
        <v>Sweet and Sour Sauce (MC) - GFF292R</v>
      </c>
      <c r="Q369" s="72"/>
      <c r="R369" s="72"/>
      <c r="S369" s="72"/>
      <c r="T369" s="72"/>
      <c r="U369" s="72"/>
      <c r="V369" s="72"/>
      <c r="W369" s="72" t="s">
        <v>1435</v>
      </c>
      <c r="X369" s="72" t="s">
        <v>1814</v>
      </c>
      <c r="Y369" s="72">
        <v>3</v>
      </c>
      <c r="Z369" s="80" t="s">
        <v>2636</v>
      </c>
    </row>
    <row r="370" spans="1:26" x14ac:dyDescent="0.25">
      <c r="A370" s="68">
        <f t="shared" si="103"/>
        <v>390</v>
      </c>
      <c r="B370" s="69" t="s">
        <v>182</v>
      </c>
      <c r="C370" s="68" t="s">
        <v>2186</v>
      </c>
      <c r="D370" s="68" t="s">
        <v>2187</v>
      </c>
      <c r="E370" s="68" t="s">
        <v>886</v>
      </c>
      <c r="F370" s="68" t="s">
        <v>56</v>
      </c>
      <c r="G370" s="68" t="s">
        <v>6</v>
      </c>
      <c r="H370" s="68" t="s">
        <v>888</v>
      </c>
      <c r="I370" s="68">
        <f t="shared" si="88"/>
        <v>1389</v>
      </c>
      <c r="J370" s="68" t="s">
        <v>2188</v>
      </c>
      <c r="K370" s="68" t="str">
        <f t="shared" si="102"/>
        <v>Thai Green Curry Sauce (MC)</v>
      </c>
      <c r="L370" s="70"/>
      <c r="M370" s="71" t="s">
        <v>979</v>
      </c>
      <c r="N370" s="72" t="s">
        <v>809</v>
      </c>
      <c r="O370" s="68">
        <v>1</v>
      </c>
      <c r="P370" s="69" t="str">
        <f t="shared" si="83"/>
        <v>Thai Green Curry Sauce (MC) - GFF293R</v>
      </c>
      <c r="Q370" s="72"/>
      <c r="R370" s="72"/>
      <c r="S370" s="72"/>
      <c r="T370" s="72"/>
      <c r="U370" s="72"/>
      <c r="V370" s="72"/>
      <c r="W370" s="72" t="s">
        <v>1435</v>
      </c>
      <c r="X370" s="72" t="s">
        <v>982</v>
      </c>
      <c r="Y370" s="72" t="s">
        <v>982</v>
      </c>
      <c r="Z370" s="80" t="s">
        <v>2636</v>
      </c>
    </row>
    <row r="371" spans="1:26" x14ac:dyDescent="0.25">
      <c r="A371" s="68">
        <f t="shared" si="103"/>
        <v>391</v>
      </c>
      <c r="B371" s="69" t="s">
        <v>182</v>
      </c>
      <c r="C371" s="68" t="s">
        <v>2189</v>
      </c>
      <c r="D371" s="68" t="s">
        <v>2190</v>
      </c>
      <c r="E371" s="68" t="s">
        <v>886</v>
      </c>
      <c r="F371" s="68" t="s">
        <v>56</v>
      </c>
      <c r="G371" s="68" t="s">
        <v>6</v>
      </c>
      <c r="H371" s="68" t="s">
        <v>888</v>
      </c>
      <c r="I371" s="68">
        <f t="shared" si="88"/>
        <v>1390</v>
      </c>
      <c r="J371" s="68" t="s">
        <v>2191</v>
      </c>
      <c r="K371" s="68" t="str">
        <f t="shared" si="102"/>
        <v>Steamed Green Beans (MC)</v>
      </c>
      <c r="L371" s="70"/>
      <c r="M371" s="71" t="s">
        <v>980</v>
      </c>
      <c r="N371" s="72" t="s">
        <v>814</v>
      </c>
      <c r="O371" s="68">
        <v>1</v>
      </c>
      <c r="P371" s="69" t="str">
        <f t="shared" si="83"/>
        <v>Steamed Green Beans (MC) - GFF294R</v>
      </c>
      <c r="Q371" s="72"/>
      <c r="R371" s="72"/>
      <c r="S371" s="72"/>
      <c r="T371" s="72"/>
      <c r="U371" s="72"/>
      <c r="V371" s="72"/>
      <c r="W371" s="72" t="s">
        <v>1435</v>
      </c>
      <c r="X371" s="72" t="s">
        <v>982</v>
      </c>
      <c r="Y371" s="72" t="s">
        <v>982</v>
      </c>
      <c r="Z371" s="80">
        <v>43868</v>
      </c>
    </row>
    <row r="372" spans="1:26" x14ac:dyDescent="0.25">
      <c r="A372" s="68">
        <f t="shared" si="103"/>
        <v>392</v>
      </c>
      <c r="B372" s="69" t="s">
        <v>182</v>
      </c>
      <c r="C372" s="68" t="s">
        <v>2192</v>
      </c>
      <c r="D372" s="68" t="s">
        <v>2193</v>
      </c>
      <c r="E372" s="68" t="s">
        <v>886</v>
      </c>
      <c r="F372" s="68" t="s">
        <v>56</v>
      </c>
      <c r="G372" s="68" t="s">
        <v>6</v>
      </c>
      <c r="H372" s="68" t="s">
        <v>888</v>
      </c>
      <c r="I372" s="68">
        <f t="shared" si="88"/>
        <v>1391</v>
      </c>
      <c r="J372" s="68" t="s">
        <v>2194</v>
      </c>
      <c r="K372" s="68" t="str">
        <f t="shared" si="102"/>
        <v>Roasted Kalonji Seeds (MC)</v>
      </c>
      <c r="L372" s="70"/>
      <c r="M372" s="71" t="s">
        <v>980</v>
      </c>
      <c r="N372" s="72" t="s">
        <v>809</v>
      </c>
      <c r="O372" s="68">
        <v>1</v>
      </c>
      <c r="P372" s="69" t="str">
        <f t="shared" si="83"/>
        <v>Roasted Kalonji Seeds (MC) - GFF295R</v>
      </c>
      <c r="Q372" s="72"/>
      <c r="R372" s="72"/>
      <c r="S372" s="72"/>
      <c r="T372" s="72"/>
      <c r="U372" s="72"/>
      <c r="V372" s="72"/>
      <c r="W372" s="72" t="s">
        <v>1435</v>
      </c>
      <c r="X372" s="72" t="s">
        <v>982</v>
      </c>
      <c r="Y372" s="72" t="s">
        <v>982</v>
      </c>
      <c r="Z372" s="80" t="s">
        <v>2636</v>
      </c>
    </row>
    <row r="373" spans="1:26" x14ac:dyDescent="0.25">
      <c r="A373" s="68">
        <f t="shared" si="103"/>
        <v>393</v>
      </c>
      <c r="B373" s="69" t="s">
        <v>182</v>
      </c>
      <c r="C373" s="68" t="s">
        <v>2196</v>
      </c>
      <c r="D373" s="68" t="s">
        <v>2197</v>
      </c>
      <c r="E373" s="68" t="s">
        <v>886</v>
      </c>
      <c r="F373" s="68" t="s">
        <v>73</v>
      </c>
      <c r="G373" s="68" t="s">
        <v>6</v>
      </c>
      <c r="H373" s="68" t="s">
        <v>888</v>
      </c>
      <c r="I373" s="68">
        <f t="shared" si="88"/>
        <v>1392</v>
      </c>
      <c r="J373" s="68" t="s">
        <v>2198</v>
      </c>
      <c r="K373" s="68" t="str">
        <f t="shared" si="102"/>
        <v>Hong Kong Battered Chicken</v>
      </c>
      <c r="L373" s="70"/>
      <c r="M373" s="71" t="s">
        <v>979</v>
      </c>
      <c r="N373" s="72" t="s">
        <v>809</v>
      </c>
      <c r="O373" s="68">
        <v>1</v>
      </c>
      <c r="P373" s="69" t="str">
        <f t="shared" si="83"/>
        <v>Hong Kong Battered Chicken - GFF296R</v>
      </c>
      <c r="Q373" s="72"/>
      <c r="R373" s="72"/>
      <c r="S373" s="72"/>
      <c r="T373" s="72"/>
      <c r="U373" s="72"/>
      <c r="V373" s="72"/>
      <c r="W373" s="72" t="s">
        <v>1435</v>
      </c>
      <c r="X373" s="72" t="s">
        <v>1501</v>
      </c>
      <c r="Y373" s="72">
        <v>3</v>
      </c>
      <c r="Z373" s="80" t="s">
        <v>2230</v>
      </c>
    </row>
    <row r="374" spans="1:26" x14ac:dyDescent="0.25">
      <c r="A374" s="68">
        <f t="shared" si="103"/>
        <v>394</v>
      </c>
      <c r="B374" s="69" t="s">
        <v>182</v>
      </c>
      <c r="C374" s="68" t="s">
        <v>2202</v>
      </c>
      <c r="D374" s="68" t="s">
        <v>820</v>
      </c>
      <c r="E374" s="68" t="s">
        <v>885</v>
      </c>
      <c r="F374" s="68" t="s">
        <v>32</v>
      </c>
      <c r="G374" s="68" t="s">
        <v>6</v>
      </c>
      <c r="H374" s="68" t="s">
        <v>888</v>
      </c>
      <c r="I374" s="68">
        <f t="shared" si="88"/>
        <v>1393</v>
      </c>
      <c r="J374" s="68" t="s">
        <v>2214</v>
      </c>
      <c r="K374" s="68" t="s">
        <v>2213</v>
      </c>
      <c r="L374" s="70">
        <v>85</v>
      </c>
      <c r="M374" s="71" t="s">
        <v>980</v>
      </c>
      <c r="N374" s="72" t="s">
        <v>809</v>
      </c>
      <c r="O374" s="68">
        <v>306</v>
      </c>
      <c r="P374" s="69" t="str">
        <f t="shared" ref="P374:P400" si="104">K374&amp;" - "&amp; C374</f>
        <v>Vegetable Spring Roll Large 85G-R2 - GFF298R</v>
      </c>
      <c r="Q374" s="72">
        <v>24.2</v>
      </c>
      <c r="R374" s="72">
        <v>20.9</v>
      </c>
      <c r="S374" s="72">
        <v>15.4</v>
      </c>
      <c r="T374" s="72">
        <v>8.8000000000000007</v>
      </c>
      <c r="U374" s="72">
        <v>6.6</v>
      </c>
      <c r="V374" s="72">
        <v>0</v>
      </c>
      <c r="W374" s="72" t="s">
        <v>1435</v>
      </c>
      <c r="X374" s="72" t="s">
        <v>1499</v>
      </c>
      <c r="Y374" s="72">
        <v>3</v>
      </c>
      <c r="Z374" s="80" t="s">
        <v>2402</v>
      </c>
    </row>
    <row r="375" spans="1:26" x14ac:dyDescent="0.25">
      <c r="A375" s="68">
        <f t="shared" si="103"/>
        <v>395</v>
      </c>
      <c r="B375" s="69" t="s">
        <v>182</v>
      </c>
      <c r="C375" s="68" t="s">
        <v>2203</v>
      </c>
      <c r="D375" s="68" t="s">
        <v>2209</v>
      </c>
      <c r="E375" s="68" t="s">
        <v>885</v>
      </c>
      <c r="F375" s="68" t="s">
        <v>2204</v>
      </c>
      <c r="G375" s="68" t="s">
        <v>6</v>
      </c>
      <c r="H375" s="68" t="s">
        <v>888</v>
      </c>
      <c r="I375" s="68">
        <f t="shared" si="88"/>
        <v>1394</v>
      </c>
      <c r="J375" s="68" t="s">
        <v>2205</v>
      </c>
      <c r="K375" s="68" t="s">
        <v>2206</v>
      </c>
      <c r="L375" s="70">
        <v>85</v>
      </c>
      <c r="M375" s="71" t="s">
        <v>979</v>
      </c>
      <c r="N375" s="72" t="s">
        <v>809</v>
      </c>
      <c r="O375" s="68">
        <v>400</v>
      </c>
      <c r="P375" s="69" t="str">
        <f t="shared" si="104"/>
        <v>Peri Peri Chicken Parcel 85G - GFF299R</v>
      </c>
      <c r="Q375" s="72">
        <v>10</v>
      </c>
      <c r="R375" s="72">
        <f t="shared" ref="R375:R378" si="105">($Q375/5)*4</f>
        <v>8</v>
      </c>
      <c r="S375" s="72">
        <f t="shared" ref="S375:S378" si="106">($Q375/5)*3</f>
        <v>6</v>
      </c>
      <c r="T375" s="72">
        <f t="shared" ref="T375:T378" si="107">($Q375/5)*2</f>
        <v>4</v>
      </c>
      <c r="U375" s="72">
        <f t="shared" ref="U375:U378" si="108">($Q375/5)*1</f>
        <v>2</v>
      </c>
      <c r="V375" s="72"/>
      <c r="W375" s="72" t="s">
        <v>1435</v>
      </c>
      <c r="X375" s="72" t="s">
        <v>1501</v>
      </c>
      <c r="Y375" s="72">
        <v>3</v>
      </c>
      <c r="Z375" s="80" t="s">
        <v>3065</v>
      </c>
    </row>
    <row r="376" spans="1:26" x14ac:dyDescent="0.25">
      <c r="A376" s="68">
        <f t="shared" si="103"/>
        <v>396</v>
      </c>
      <c r="B376" s="69" t="s">
        <v>182</v>
      </c>
      <c r="C376" s="68" t="s">
        <v>2207</v>
      </c>
      <c r="D376" s="68" t="s">
        <v>2210</v>
      </c>
      <c r="E376" s="68" t="s">
        <v>885</v>
      </c>
      <c r="F376" s="68" t="s">
        <v>2204</v>
      </c>
      <c r="G376" s="68" t="s">
        <v>6</v>
      </c>
      <c r="H376" s="68" t="s">
        <v>888</v>
      </c>
      <c r="I376" s="68">
        <f t="shared" si="88"/>
        <v>1395</v>
      </c>
      <c r="J376" s="68" t="s">
        <v>2208</v>
      </c>
      <c r="K376" s="68" t="s">
        <v>2211</v>
      </c>
      <c r="L376" s="70">
        <v>85</v>
      </c>
      <c r="M376" s="71" t="s">
        <v>979</v>
      </c>
      <c r="N376" s="72" t="s">
        <v>809</v>
      </c>
      <c r="O376" s="68">
        <v>700</v>
      </c>
      <c r="P376" s="69" t="str">
        <f t="shared" si="104"/>
        <v>Mexican Chicken Taquitos 85G - GFF300R</v>
      </c>
      <c r="Q376" s="72">
        <v>10</v>
      </c>
      <c r="R376" s="72">
        <f t="shared" si="105"/>
        <v>8</v>
      </c>
      <c r="S376" s="72">
        <f t="shared" si="106"/>
        <v>6</v>
      </c>
      <c r="T376" s="72">
        <f t="shared" si="107"/>
        <v>4</v>
      </c>
      <c r="U376" s="72">
        <f t="shared" si="108"/>
        <v>2</v>
      </c>
      <c r="V376" s="72"/>
      <c r="W376" s="72" t="s">
        <v>1435</v>
      </c>
      <c r="X376" s="72" t="s">
        <v>1501</v>
      </c>
      <c r="Y376" s="72">
        <v>3</v>
      </c>
      <c r="Z376" s="80" t="s">
        <v>3066</v>
      </c>
    </row>
    <row r="377" spans="1:26" x14ac:dyDescent="0.25">
      <c r="A377" s="68">
        <f t="shared" si="103"/>
        <v>397</v>
      </c>
      <c r="B377" s="69" t="s">
        <v>182</v>
      </c>
      <c r="C377" s="68" t="s">
        <v>2212</v>
      </c>
      <c r="D377" s="68" t="s">
        <v>2404</v>
      </c>
      <c r="E377" s="68" t="s">
        <v>885</v>
      </c>
      <c r="F377" s="68" t="s">
        <v>102</v>
      </c>
      <c r="G377" s="68" t="s">
        <v>6</v>
      </c>
      <c r="H377" s="68" t="s">
        <v>888</v>
      </c>
      <c r="I377" s="68">
        <f t="shared" si="88"/>
        <v>1396</v>
      </c>
      <c r="J377" s="68" t="s">
        <v>2225</v>
      </c>
      <c r="K377" s="68" t="s">
        <v>2405</v>
      </c>
      <c r="L377" s="70">
        <v>15</v>
      </c>
      <c r="M377" s="71" t="s">
        <v>979</v>
      </c>
      <c r="N377" s="72" t="s">
        <v>814</v>
      </c>
      <c r="O377" s="68">
        <v>7000</v>
      </c>
      <c r="P377" s="69" t="str">
        <f t="shared" si="104"/>
        <v>Harissa Lamb Kofta 15G - GFF301R</v>
      </c>
      <c r="Q377" s="72">
        <v>25</v>
      </c>
      <c r="R377" s="72">
        <f t="shared" si="105"/>
        <v>20</v>
      </c>
      <c r="S377" s="72">
        <f t="shared" si="106"/>
        <v>15</v>
      </c>
      <c r="T377" s="72">
        <f t="shared" si="107"/>
        <v>10</v>
      </c>
      <c r="U377" s="72">
        <f t="shared" si="108"/>
        <v>5</v>
      </c>
      <c r="V377" s="72"/>
      <c r="W377" s="72" t="s">
        <v>1435</v>
      </c>
      <c r="X377" s="72" t="s">
        <v>1814</v>
      </c>
      <c r="Y377" s="72">
        <v>3</v>
      </c>
      <c r="Z377" s="80">
        <v>43892</v>
      </c>
    </row>
    <row r="378" spans="1:26" x14ac:dyDescent="0.25">
      <c r="A378" s="68">
        <f t="shared" si="103"/>
        <v>398</v>
      </c>
      <c r="B378" s="69" t="s">
        <v>182</v>
      </c>
      <c r="C378" s="68" t="s">
        <v>2215</v>
      </c>
      <c r="D378" s="68" t="s">
        <v>2216</v>
      </c>
      <c r="E378" s="68" t="s">
        <v>885</v>
      </c>
      <c r="F378" s="68" t="s">
        <v>1144</v>
      </c>
      <c r="G378" s="68" t="s">
        <v>6</v>
      </c>
      <c r="H378" s="68" t="s">
        <v>888</v>
      </c>
      <c r="I378" s="68">
        <f t="shared" ref="I378:I441" si="109">I377+1</f>
        <v>1397</v>
      </c>
      <c r="J378" s="68" t="s">
        <v>2217</v>
      </c>
      <c r="K378" s="68" t="s">
        <v>2218</v>
      </c>
      <c r="L378" s="70">
        <v>20</v>
      </c>
      <c r="M378" s="71" t="s">
        <v>979</v>
      </c>
      <c r="N378" s="72" t="s">
        <v>814</v>
      </c>
      <c r="O378" s="68">
        <v>400</v>
      </c>
      <c r="P378" s="69" t="str">
        <f t="shared" si="104"/>
        <v>Sweet Potato Falafel 20G - GFF297R</v>
      </c>
      <c r="Q378" s="72">
        <v>75</v>
      </c>
      <c r="R378" s="72">
        <f t="shared" si="105"/>
        <v>60</v>
      </c>
      <c r="S378" s="72">
        <f t="shared" si="106"/>
        <v>45</v>
      </c>
      <c r="T378" s="72">
        <f t="shared" si="107"/>
        <v>30</v>
      </c>
      <c r="U378" s="72">
        <f t="shared" si="108"/>
        <v>15</v>
      </c>
      <c r="V378" s="72"/>
      <c r="W378" s="72" t="s">
        <v>1435</v>
      </c>
      <c r="X378" s="72" t="s">
        <v>1498</v>
      </c>
      <c r="Y378" s="72">
        <v>3</v>
      </c>
      <c r="Z378" s="80">
        <v>43892</v>
      </c>
    </row>
    <row r="379" spans="1:26" x14ac:dyDescent="0.25">
      <c r="A379" s="68">
        <f t="shared" si="103"/>
        <v>399</v>
      </c>
      <c r="B379" s="69" t="s">
        <v>1634</v>
      </c>
      <c r="C379" s="68" t="s">
        <v>2219</v>
      </c>
      <c r="D379" s="68" t="s">
        <v>2220</v>
      </c>
      <c r="E379" s="68" t="s">
        <v>130</v>
      </c>
      <c r="F379" s="68" t="s">
        <v>130</v>
      </c>
      <c r="G379" s="68" t="s">
        <v>17</v>
      </c>
      <c r="H379" s="68" t="s">
        <v>888</v>
      </c>
      <c r="I379" s="68">
        <f t="shared" si="109"/>
        <v>1398</v>
      </c>
      <c r="J379" s="68" t="s">
        <v>2219</v>
      </c>
      <c r="K379" s="68" t="s">
        <v>2221</v>
      </c>
      <c r="L379" s="70">
        <v>1</v>
      </c>
      <c r="M379" s="71" t="s">
        <v>980</v>
      </c>
      <c r="N379" s="72" t="s">
        <v>814</v>
      </c>
      <c r="O379" s="68">
        <v>1</v>
      </c>
      <c r="P379" s="69" t="str">
        <f t="shared" si="104"/>
        <v>Tamarind Sauce - P&amp;B001-04 - P&amp;B001-04</v>
      </c>
      <c r="Q379" s="72"/>
      <c r="R379" s="72"/>
      <c r="S379" s="72"/>
      <c r="T379" s="72"/>
      <c r="U379" s="72"/>
      <c r="V379" s="72"/>
      <c r="W379" s="72" t="s">
        <v>1435</v>
      </c>
      <c r="X379" s="72" t="s">
        <v>982</v>
      </c>
      <c r="Y379" s="72" t="s">
        <v>982</v>
      </c>
      <c r="Z379" s="80">
        <v>43892</v>
      </c>
    </row>
    <row r="380" spans="1:26" x14ac:dyDescent="0.25">
      <c r="A380" s="68">
        <f t="shared" si="103"/>
        <v>400</v>
      </c>
      <c r="B380" s="69" t="s">
        <v>1660</v>
      </c>
      <c r="C380" s="68" t="s">
        <v>2222</v>
      </c>
      <c r="D380" s="68" t="s">
        <v>2223</v>
      </c>
      <c r="E380" s="68" t="s">
        <v>130</v>
      </c>
      <c r="F380" s="68" t="s">
        <v>130</v>
      </c>
      <c r="G380" s="68" t="s">
        <v>17</v>
      </c>
      <c r="H380" s="68" t="s">
        <v>888</v>
      </c>
      <c r="I380" s="68">
        <f t="shared" si="109"/>
        <v>1399</v>
      </c>
      <c r="J380" s="68" t="s">
        <v>2222</v>
      </c>
      <c r="K380" s="68" t="s">
        <v>2224</v>
      </c>
      <c r="L380" s="70">
        <v>1</v>
      </c>
      <c r="M380" s="71" t="s">
        <v>980</v>
      </c>
      <c r="N380" s="72" t="s">
        <v>809</v>
      </c>
      <c r="O380" s="68">
        <v>1</v>
      </c>
      <c r="P380" s="69" t="str">
        <f t="shared" si="104"/>
        <v>Hoisin Sauce - SEE001-18 - SEE001-18</v>
      </c>
      <c r="Q380" s="72"/>
      <c r="R380" s="72"/>
      <c r="S380" s="72"/>
      <c r="T380" s="72"/>
      <c r="U380" s="72"/>
      <c r="V380" s="72"/>
      <c r="W380" s="72" t="s">
        <v>1435</v>
      </c>
      <c r="X380" s="72" t="s">
        <v>982</v>
      </c>
      <c r="Y380" s="72" t="s">
        <v>982</v>
      </c>
      <c r="Z380" s="80">
        <v>43892</v>
      </c>
    </row>
    <row r="381" spans="1:26" x14ac:dyDescent="0.25">
      <c r="A381" s="68">
        <f t="shared" si="103"/>
        <v>401</v>
      </c>
      <c r="B381" s="69" t="s">
        <v>182</v>
      </c>
      <c r="C381" s="68" t="s">
        <v>2232</v>
      </c>
      <c r="D381" s="68" t="s">
        <v>2233</v>
      </c>
      <c r="E381" s="68" t="s">
        <v>886</v>
      </c>
      <c r="F381" s="68" t="s">
        <v>56</v>
      </c>
      <c r="G381" s="68" t="s">
        <v>6</v>
      </c>
      <c r="H381" s="68" t="s">
        <v>888</v>
      </c>
      <c r="I381" s="68">
        <f t="shared" si="109"/>
        <v>1400</v>
      </c>
      <c r="J381" s="68" t="s">
        <v>2246</v>
      </c>
      <c r="K381" s="68" t="s">
        <v>2233</v>
      </c>
      <c r="L381" s="70"/>
      <c r="M381" s="71" t="s">
        <v>980</v>
      </c>
      <c r="N381" s="72" t="s">
        <v>809</v>
      </c>
      <c r="O381" s="68">
        <v>1</v>
      </c>
      <c r="P381" s="69" t="str">
        <f t="shared" si="104"/>
        <v>Pulled BBQ Jackfruit (MC) - GFF302R</v>
      </c>
      <c r="Q381" s="72"/>
      <c r="R381" s="72"/>
      <c r="S381" s="72"/>
      <c r="T381" s="72"/>
      <c r="U381" s="72"/>
      <c r="V381" s="72"/>
      <c r="W381" s="72" t="s">
        <v>1435</v>
      </c>
      <c r="X381" s="72" t="s">
        <v>1814</v>
      </c>
      <c r="Y381" s="72">
        <v>3</v>
      </c>
      <c r="Z381" s="80" t="s">
        <v>2637</v>
      </c>
    </row>
    <row r="382" spans="1:26" x14ac:dyDescent="0.25">
      <c r="A382" s="68">
        <f t="shared" si="103"/>
        <v>402</v>
      </c>
      <c r="B382" s="69" t="s">
        <v>182</v>
      </c>
      <c r="C382" s="68" t="s">
        <v>2234</v>
      </c>
      <c r="D382" s="68" t="s">
        <v>2235</v>
      </c>
      <c r="E382" s="68" t="s">
        <v>886</v>
      </c>
      <c r="F382" s="68" t="s">
        <v>56</v>
      </c>
      <c r="G382" s="68" t="s">
        <v>6</v>
      </c>
      <c r="H382" s="68" t="s">
        <v>888</v>
      </c>
      <c r="I382" s="68">
        <f t="shared" si="109"/>
        <v>1401</v>
      </c>
      <c r="J382" s="68" t="s">
        <v>2247</v>
      </c>
      <c r="K382" s="68" t="s">
        <v>2235</v>
      </c>
      <c r="L382" s="70"/>
      <c r="M382" s="71" t="s">
        <v>980</v>
      </c>
      <c r="N382" s="72" t="s">
        <v>809</v>
      </c>
      <c r="O382" s="68">
        <v>1</v>
      </c>
      <c r="P382" s="69" t="str">
        <f t="shared" si="104"/>
        <v>Brown Rice with Red Kidney Bean (MC) - GFF303R</v>
      </c>
      <c r="Q382" s="72"/>
      <c r="R382" s="72"/>
      <c r="S382" s="72"/>
      <c r="T382" s="72"/>
      <c r="U382" s="72"/>
      <c r="V382" s="72"/>
      <c r="W382" s="72" t="s">
        <v>1435</v>
      </c>
      <c r="X382" s="72" t="s">
        <v>982</v>
      </c>
      <c r="Y382" s="72" t="s">
        <v>982</v>
      </c>
      <c r="Z382" s="80" t="s">
        <v>2637</v>
      </c>
    </row>
    <row r="383" spans="1:26" x14ac:dyDescent="0.25">
      <c r="A383" s="68">
        <f t="shared" si="103"/>
        <v>403</v>
      </c>
      <c r="B383" s="69" t="s">
        <v>182</v>
      </c>
      <c r="C383" s="68" t="s">
        <v>2236</v>
      </c>
      <c r="D383" s="68" t="s">
        <v>2237</v>
      </c>
      <c r="E383" s="68" t="s">
        <v>886</v>
      </c>
      <c r="F383" s="68" t="s">
        <v>56</v>
      </c>
      <c r="G383" s="68" t="s">
        <v>6</v>
      </c>
      <c r="H383" s="68" t="s">
        <v>888</v>
      </c>
      <c r="I383" s="68">
        <f t="shared" si="109"/>
        <v>1402</v>
      </c>
      <c r="J383" s="68" t="s">
        <v>2248</v>
      </c>
      <c r="K383" s="68" t="s">
        <v>2237</v>
      </c>
      <c r="L383" s="70"/>
      <c r="M383" s="71" t="s">
        <v>980</v>
      </c>
      <c r="N383" s="72" t="s">
        <v>809</v>
      </c>
      <c r="O383" s="68">
        <v>1</v>
      </c>
      <c r="P383" s="69" t="str">
        <f t="shared" si="104"/>
        <v>Mixed Salsa (MC) - GFF304R</v>
      </c>
      <c r="Q383" s="72"/>
      <c r="R383" s="72"/>
      <c r="S383" s="72"/>
      <c r="T383" s="72"/>
      <c r="U383" s="72"/>
      <c r="V383" s="72"/>
      <c r="W383" s="72" t="s">
        <v>1435</v>
      </c>
      <c r="X383" s="72" t="s">
        <v>982</v>
      </c>
      <c r="Y383" s="72" t="s">
        <v>982</v>
      </c>
      <c r="Z383" s="80" t="s">
        <v>2637</v>
      </c>
    </row>
    <row r="384" spans="1:26" x14ac:dyDescent="0.25">
      <c r="A384" s="68">
        <f t="shared" si="103"/>
        <v>404</v>
      </c>
      <c r="B384" s="69" t="s">
        <v>182</v>
      </c>
      <c r="C384" s="68" t="s">
        <v>2238</v>
      </c>
      <c r="D384" s="68" t="s">
        <v>2239</v>
      </c>
      <c r="E384" s="68" t="s">
        <v>886</v>
      </c>
      <c r="F384" s="68" t="s">
        <v>56</v>
      </c>
      <c r="G384" s="68" t="s">
        <v>6</v>
      </c>
      <c r="H384" s="68" t="s">
        <v>888</v>
      </c>
      <c r="I384" s="68">
        <f t="shared" si="109"/>
        <v>1403</v>
      </c>
      <c r="J384" s="68" t="s">
        <v>2249</v>
      </c>
      <c r="K384" s="68" t="s">
        <v>2239</v>
      </c>
      <c r="L384" s="70"/>
      <c r="M384" s="71" t="s">
        <v>980</v>
      </c>
      <c r="N384" s="72" t="s">
        <v>809</v>
      </c>
      <c r="O384" s="68">
        <v>1</v>
      </c>
      <c r="P384" s="69" t="str">
        <f t="shared" si="104"/>
        <v>Harissa Chickpea Tagine Sauce (MC) - GFF305R</v>
      </c>
      <c r="Q384" s="72"/>
      <c r="R384" s="72"/>
      <c r="S384" s="72"/>
      <c r="T384" s="72"/>
      <c r="U384" s="72"/>
      <c r="V384" s="72"/>
      <c r="W384" s="72" t="s">
        <v>1435</v>
      </c>
      <c r="X384" s="72" t="s">
        <v>982</v>
      </c>
      <c r="Y384" s="72" t="s">
        <v>982</v>
      </c>
      <c r="Z384" s="80" t="s">
        <v>2637</v>
      </c>
    </row>
    <row r="385" spans="1:26" x14ac:dyDescent="0.25">
      <c r="A385" s="68">
        <f t="shared" si="103"/>
        <v>405</v>
      </c>
      <c r="B385" s="69" t="s">
        <v>182</v>
      </c>
      <c r="C385" s="68" t="s">
        <v>2240</v>
      </c>
      <c r="D385" s="68" t="s">
        <v>2241</v>
      </c>
      <c r="E385" s="68" t="s">
        <v>886</v>
      </c>
      <c r="F385" s="68" t="s">
        <v>56</v>
      </c>
      <c r="G385" s="68" t="s">
        <v>6</v>
      </c>
      <c r="H385" s="68" t="s">
        <v>888</v>
      </c>
      <c r="I385" s="68">
        <f t="shared" si="109"/>
        <v>1404</v>
      </c>
      <c r="J385" s="68" t="s">
        <v>2250</v>
      </c>
      <c r="K385" s="68" t="s">
        <v>2241</v>
      </c>
      <c r="L385" s="70"/>
      <c r="M385" s="71" t="s">
        <v>980</v>
      </c>
      <c r="N385" s="72" t="s">
        <v>809</v>
      </c>
      <c r="O385" s="68">
        <v>1</v>
      </c>
      <c r="P385" s="69" t="str">
        <f t="shared" si="104"/>
        <v>Butternut Squash Quinoa (MC) - GFF306R</v>
      </c>
      <c r="Q385" s="72"/>
      <c r="R385" s="72"/>
      <c r="S385" s="72"/>
      <c r="T385" s="72"/>
      <c r="U385" s="72"/>
      <c r="V385" s="72"/>
      <c r="W385" s="72" t="s">
        <v>1435</v>
      </c>
      <c r="X385" s="72" t="s">
        <v>982</v>
      </c>
      <c r="Y385" s="72" t="s">
        <v>982</v>
      </c>
      <c r="Z385" s="80" t="s">
        <v>2637</v>
      </c>
    </row>
    <row r="386" spans="1:26" x14ac:dyDescent="0.25">
      <c r="A386" s="68">
        <f t="shared" si="103"/>
        <v>406</v>
      </c>
      <c r="B386" s="69" t="s">
        <v>182</v>
      </c>
      <c r="C386" s="68" t="s">
        <v>2242</v>
      </c>
      <c r="D386" s="68" t="s">
        <v>2243</v>
      </c>
      <c r="E386" s="68" t="s">
        <v>886</v>
      </c>
      <c r="F386" s="68" t="s">
        <v>56</v>
      </c>
      <c r="G386" s="68" t="s">
        <v>6</v>
      </c>
      <c r="H386" s="68" t="s">
        <v>888</v>
      </c>
      <c r="I386" s="68">
        <f t="shared" si="109"/>
        <v>1405</v>
      </c>
      <c r="J386" s="68" t="s">
        <v>2251</v>
      </c>
      <c r="K386" s="68" t="s">
        <v>2243</v>
      </c>
      <c r="L386" s="70"/>
      <c r="M386" s="71" t="s">
        <v>980</v>
      </c>
      <c r="N386" s="72" t="s">
        <v>814</v>
      </c>
      <c r="O386" s="68">
        <v>1</v>
      </c>
      <c r="P386" s="69" t="str">
        <f t="shared" si="104"/>
        <v>Red Rice with Coriander (MC) - GFF307R</v>
      </c>
      <c r="Q386" s="72"/>
      <c r="R386" s="72"/>
      <c r="S386" s="72"/>
      <c r="T386" s="72"/>
      <c r="U386" s="72"/>
      <c r="V386" s="72"/>
      <c r="W386" s="72" t="s">
        <v>1435</v>
      </c>
      <c r="X386" s="72" t="s">
        <v>982</v>
      </c>
      <c r="Y386" s="72" t="s">
        <v>982</v>
      </c>
      <c r="Z386" s="80">
        <v>44001</v>
      </c>
    </row>
    <row r="387" spans="1:26" x14ac:dyDescent="0.25">
      <c r="A387" s="68">
        <f t="shared" si="103"/>
        <v>407</v>
      </c>
      <c r="B387" s="69" t="s">
        <v>182</v>
      </c>
      <c r="C387" s="68" t="s">
        <v>2244</v>
      </c>
      <c r="D387" s="68" t="s">
        <v>2245</v>
      </c>
      <c r="E387" s="68" t="s">
        <v>886</v>
      </c>
      <c r="F387" s="68" t="s">
        <v>56</v>
      </c>
      <c r="G387" s="68" t="s">
        <v>6</v>
      </c>
      <c r="H387" s="68" t="s">
        <v>888</v>
      </c>
      <c r="I387" s="68">
        <f t="shared" si="109"/>
        <v>1406</v>
      </c>
      <c r="J387" s="68" t="s">
        <v>2252</v>
      </c>
      <c r="K387" s="68" t="s">
        <v>2245</v>
      </c>
      <c r="L387" s="70"/>
      <c r="M387" s="71" t="s">
        <v>980</v>
      </c>
      <c r="N387" s="72" t="s">
        <v>809</v>
      </c>
      <c r="O387" s="68">
        <v>1</v>
      </c>
      <c r="P387" s="69" t="str">
        <f t="shared" si="104"/>
        <v>Cooked Masala Chickpeas (MC) - GFF308R</v>
      </c>
      <c r="Q387" s="72"/>
      <c r="R387" s="72"/>
      <c r="S387" s="72"/>
      <c r="T387" s="72"/>
      <c r="U387" s="72"/>
      <c r="V387" s="72"/>
      <c r="W387" s="72" t="s">
        <v>1435</v>
      </c>
      <c r="X387" s="72" t="s">
        <v>982</v>
      </c>
      <c r="Y387" s="72" t="s">
        <v>982</v>
      </c>
      <c r="Z387" s="80" t="s">
        <v>2637</v>
      </c>
    </row>
    <row r="388" spans="1:26" x14ac:dyDescent="0.25">
      <c r="A388" s="68">
        <f t="shared" si="103"/>
        <v>408</v>
      </c>
      <c r="B388" s="69" t="s">
        <v>1763</v>
      </c>
      <c r="C388" s="68" t="s">
        <v>2254</v>
      </c>
      <c r="D388" s="68" t="s">
        <v>2255</v>
      </c>
      <c r="E388" s="68" t="s">
        <v>885</v>
      </c>
      <c r="F388" s="68" t="s">
        <v>56</v>
      </c>
      <c r="G388" s="68" t="s">
        <v>17</v>
      </c>
      <c r="H388" s="68" t="s">
        <v>888</v>
      </c>
      <c r="I388" s="68">
        <f t="shared" si="109"/>
        <v>1407</v>
      </c>
      <c r="J388" s="68" t="s">
        <v>2254</v>
      </c>
      <c r="K388" s="68" t="s">
        <v>2255</v>
      </c>
      <c r="L388" s="70">
        <v>200</v>
      </c>
      <c r="M388" s="71" t="s">
        <v>980</v>
      </c>
      <c r="N388" s="72" t="s">
        <v>814</v>
      </c>
      <c r="O388" s="68">
        <v>1</v>
      </c>
      <c r="P388" s="69" t="str">
        <f t="shared" si="104"/>
        <v>Breaded Camembert (lemon &amp; thyme crumb) with Redcurrant Dip - ABE001-04</v>
      </c>
      <c r="Q388" s="72"/>
      <c r="R388" s="72"/>
      <c r="S388" s="72"/>
      <c r="T388" s="72"/>
      <c r="U388" s="72"/>
      <c r="V388" s="72"/>
      <c r="W388" s="72" t="s">
        <v>1435</v>
      </c>
      <c r="X388" s="72" t="s">
        <v>1766</v>
      </c>
      <c r="Y388" s="72">
        <v>2</v>
      </c>
      <c r="Z388" s="80">
        <v>44011</v>
      </c>
    </row>
    <row r="389" spans="1:26" x14ac:dyDescent="0.25">
      <c r="A389" s="68">
        <f t="shared" si="103"/>
        <v>409</v>
      </c>
      <c r="B389" s="69" t="s">
        <v>182</v>
      </c>
      <c r="C389" s="68" t="s">
        <v>2257</v>
      </c>
      <c r="D389" s="68" t="s">
        <v>2258</v>
      </c>
      <c r="E389" s="68" t="s">
        <v>886</v>
      </c>
      <c r="F389" s="68" t="s">
        <v>56</v>
      </c>
      <c r="G389" s="68" t="s">
        <v>6</v>
      </c>
      <c r="H389" s="68" t="s">
        <v>888</v>
      </c>
      <c r="I389" s="68">
        <f t="shared" si="109"/>
        <v>1408</v>
      </c>
      <c r="J389" s="68" t="s">
        <v>2259</v>
      </c>
      <c r="K389" s="68" t="s">
        <v>2258</v>
      </c>
      <c r="L389" s="70">
        <v>1</v>
      </c>
      <c r="M389" s="71" t="s">
        <v>980</v>
      </c>
      <c r="N389" s="72" t="s">
        <v>809</v>
      </c>
      <c r="O389" s="68">
        <v>1</v>
      </c>
      <c r="P389" s="69" t="str">
        <f t="shared" si="104"/>
        <v>Roasted Pine Nuts (MC) - GFF309R</v>
      </c>
      <c r="Q389" s="72"/>
      <c r="R389" s="72"/>
      <c r="S389" s="72"/>
      <c r="T389" s="72"/>
      <c r="U389" s="72"/>
      <c r="V389" s="72"/>
      <c r="W389" s="72" t="s">
        <v>1435</v>
      </c>
      <c r="X389" s="72" t="s">
        <v>982</v>
      </c>
      <c r="Y389" s="72" t="s">
        <v>982</v>
      </c>
      <c r="Z389" s="80">
        <v>44013</v>
      </c>
    </row>
    <row r="390" spans="1:26" x14ac:dyDescent="0.25">
      <c r="A390" s="68">
        <f t="shared" si="103"/>
        <v>410</v>
      </c>
      <c r="B390" s="69" t="s">
        <v>182</v>
      </c>
      <c r="C390" s="68" t="s">
        <v>1311</v>
      </c>
      <c r="D390" s="68" t="s">
        <v>820</v>
      </c>
      <c r="E390" s="68" t="s">
        <v>885</v>
      </c>
      <c r="F390" s="68" t="s">
        <v>32</v>
      </c>
      <c r="G390" s="68" t="s">
        <v>6</v>
      </c>
      <c r="H390" s="68" t="s">
        <v>888</v>
      </c>
      <c r="I390" s="68">
        <f t="shared" si="109"/>
        <v>1409</v>
      </c>
      <c r="J390" s="68" t="s">
        <v>2267</v>
      </c>
      <c r="K390" s="68" t="s">
        <v>2265</v>
      </c>
      <c r="L390" s="70">
        <v>85</v>
      </c>
      <c r="M390" s="71" t="s">
        <v>980</v>
      </c>
      <c r="N390" s="72" t="s">
        <v>814</v>
      </c>
      <c r="O390" s="68">
        <v>2200</v>
      </c>
      <c r="P390" s="69" t="str">
        <f t="shared" si="104"/>
        <v>Vegetable Spring Roll Large 85G-R1 - GFF114R</v>
      </c>
      <c r="Q390" s="72">
        <v>24.2</v>
      </c>
      <c r="R390" s="72">
        <f t="shared" ref="R390" si="110">($Q390/5)*4</f>
        <v>19.36</v>
      </c>
      <c r="S390" s="72">
        <f t="shared" ref="S390" si="111">($Q390/5)*3</f>
        <v>14.52</v>
      </c>
      <c r="T390" s="72">
        <f t="shared" ref="T390" si="112">($Q390/5)*2</f>
        <v>9.68</v>
      </c>
      <c r="U390" s="72">
        <f t="shared" ref="U390" si="113">($Q390/5)*1</f>
        <v>4.84</v>
      </c>
      <c r="V390" s="72">
        <v>0</v>
      </c>
      <c r="W390" s="72" t="s">
        <v>1435</v>
      </c>
      <c r="X390" s="72" t="s">
        <v>1499</v>
      </c>
      <c r="Y390" s="72">
        <v>3</v>
      </c>
      <c r="Z390" s="80">
        <v>44060</v>
      </c>
    </row>
    <row r="391" spans="1:26" x14ac:dyDescent="0.25">
      <c r="A391" s="68">
        <f t="shared" si="103"/>
        <v>411</v>
      </c>
      <c r="B391" s="69" t="s">
        <v>182</v>
      </c>
      <c r="C391" s="68" t="s">
        <v>2365</v>
      </c>
      <c r="D391" s="68" t="s">
        <v>2270</v>
      </c>
      <c r="E391" s="68" t="s">
        <v>1628</v>
      </c>
      <c r="F391" s="68" t="s">
        <v>128</v>
      </c>
      <c r="G391" s="68" t="s">
        <v>6</v>
      </c>
      <c r="H391" s="68" t="s">
        <v>939</v>
      </c>
      <c r="I391" s="68">
        <f t="shared" si="109"/>
        <v>1410</v>
      </c>
      <c r="J391" s="68" t="s">
        <v>2279</v>
      </c>
      <c r="K391" s="68" t="s">
        <v>2270</v>
      </c>
      <c r="L391" s="70" t="s">
        <v>799</v>
      </c>
      <c r="M391" s="71" t="s">
        <v>979</v>
      </c>
      <c r="N391" s="72" t="s">
        <v>814</v>
      </c>
      <c r="O391" s="74">
        <v>18</v>
      </c>
      <c r="P391" s="69" t="str">
        <f t="shared" si="104"/>
        <v>Chicken Tikka Pakora Bites - GFF328R</v>
      </c>
      <c r="Q391" s="72"/>
      <c r="R391" s="72"/>
      <c r="S391" s="72"/>
      <c r="T391" s="72"/>
      <c r="U391" s="72"/>
      <c r="V391" s="72"/>
      <c r="W391" s="72" t="s">
        <v>1435</v>
      </c>
      <c r="X391" s="72" t="s">
        <v>982</v>
      </c>
      <c r="Y391" s="72" t="s">
        <v>982</v>
      </c>
      <c r="Z391" s="80">
        <v>44076</v>
      </c>
    </row>
    <row r="392" spans="1:26" x14ac:dyDescent="0.25">
      <c r="A392" s="68">
        <f t="shared" si="103"/>
        <v>412</v>
      </c>
      <c r="B392" s="69" t="s">
        <v>182</v>
      </c>
      <c r="C392" s="68" t="s">
        <v>2366</v>
      </c>
      <c r="D392" s="68" t="s">
        <v>2271</v>
      </c>
      <c r="E392" s="68" t="s">
        <v>1628</v>
      </c>
      <c r="F392" s="68" t="s">
        <v>128</v>
      </c>
      <c r="G392" s="68" t="s">
        <v>6</v>
      </c>
      <c r="H392" s="68" t="s">
        <v>939</v>
      </c>
      <c r="I392" s="68">
        <f t="shared" si="109"/>
        <v>1411</v>
      </c>
      <c r="J392" s="68" t="s">
        <v>2280</v>
      </c>
      <c r="K392" s="68" t="s">
        <v>2271</v>
      </c>
      <c r="L392" s="70"/>
      <c r="M392" s="71" t="s">
        <v>979</v>
      </c>
      <c r="N392" s="72" t="s">
        <v>809</v>
      </c>
      <c r="O392" s="74">
        <v>18</v>
      </c>
      <c r="P392" s="69" t="str">
        <f t="shared" si="104"/>
        <v>Katsu Chicken Bites - GFF329R</v>
      </c>
      <c r="Q392" s="72"/>
      <c r="R392" s="72"/>
      <c r="S392" s="72"/>
      <c r="T392" s="72"/>
      <c r="U392" s="72"/>
      <c r="V392" s="72"/>
      <c r="W392" s="72" t="s">
        <v>1435</v>
      </c>
      <c r="X392" s="72" t="s">
        <v>2278</v>
      </c>
      <c r="Y392" s="72">
        <v>2</v>
      </c>
      <c r="Z392" s="80" t="s">
        <v>3036</v>
      </c>
    </row>
    <row r="393" spans="1:26" x14ac:dyDescent="0.25">
      <c r="A393" s="68">
        <f t="shared" si="103"/>
        <v>413</v>
      </c>
      <c r="B393" s="69" t="s">
        <v>182</v>
      </c>
      <c r="C393" s="68" t="s">
        <v>2367</v>
      </c>
      <c r="D393" s="68" t="s">
        <v>2272</v>
      </c>
      <c r="E393" s="68" t="s">
        <v>1628</v>
      </c>
      <c r="F393" s="68" t="s">
        <v>128</v>
      </c>
      <c r="G393" s="68" t="s">
        <v>6</v>
      </c>
      <c r="H393" s="68" t="s">
        <v>939</v>
      </c>
      <c r="I393" s="68">
        <f t="shared" si="109"/>
        <v>1412</v>
      </c>
      <c r="J393" s="68" t="s">
        <v>2281</v>
      </c>
      <c r="K393" s="68" t="s">
        <v>2272</v>
      </c>
      <c r="L393" s="70"/>
      <c r="M393" s="71" t="s">
        <v>979</v>
      </c>
      <c r="N393" s="72" t="s">
        <v>809</v>
      </c>
      <c r="O393" s="74">
        <v>60</v>
      </c>
      <c r="P393" s="69" t="str">
        <f t="shared" si="104"/>
        <v>Salt &amp; Pepper Chicken Bites - GFF331R</v>
      </c>
      <c r="Q393" s="72"/>
      <c r="R393" s="72"/>
      <c r="S393" s="72"/>
      <c r="T393" s="72"/>
      <c r="U393" s="72"/>
      <c r="V393" s="72"/>
      <c r="W393" s="72" t="s">
        <v>1435</v>
      </c>
      <c r="X393" s="72" t="s">
        <v>1502</v>
      </c>
      <c r="Y393" s="72">
        <v>3</v>
      </c>
      <c r="Z393" s="80" t="s">
        <v>3036</v>
      </c>
    </row>
    <row r="394" spans="1:26" x14ac:dyDescent="0.25">
      <c r="A394" s="68">
        <f t="shared" si="103"/>
        <v>414</v>
      </c>
      <c r="B394" s="69" t="s">
        <v>1775</v>
      </c>
      <c r="C394" s="68" t="s">
        <v>2282</v>
      </c>
      <c r="D394" s="68" t="s">
        <v>2273</v>
      </c>
      <c r="E394" s="68" t="s">
        <v>885</v>
      </c>
      <c r="F394" s="68" t="s">
        <v>1281</v>
      </c>
      <c r="G394" s="68" t="s">
        <v>17</v>
      </c>
      <c r="H394" s="68" t="s">
        <v>939</v>
      </c>
      <c r="I394" s="68">
        <f t="shared" si="109"/>
        <v>1413</v>
      </c>
      <c r="J394" s="68" t="s">
        <v>2282</v>
      </c>
      <c r="K394" s="68" t="s">
        <v>2273</v>
      </c>
      <c r="L394" s="70"/>
      <c r="M394" s="71" t="s">
        <v>979</v>
      </c>
      <c r="N394" s="72" t="s">
        <v>814</v>
      </c>
      <c r="O394" s="68">
        <v>1</v>
      </c>
      <c r="P394" s="69" t="str">
        <f t="shared" si="104"/>
        <v>Crispy Battered Prawn - TRA003-07</v>
      </c>
      <c r="Q394" s="72"/>
      <c r="R394" s="72"/>
      <c r="S394" s="72"/>
      <c r="T394" s="72"/>
      <c r="U394" s="72"/>
      <c r="V394" s="72"/>
      <c r="W394" s="72" t="s">
        <v>1435</v>
      </c>
      <c r="X394" s="72" t="s">
        <v>1618</v>
      </c>
      <c r="Y394" s="72">
        <v>1</v>
      </c>
      <c r="Z394" s="80">
        <v>44076</v>
      </c>
    </row>
    <row r="395" spans="1:26" x14ac:dyDescent="0.25">
      <c r="A395" s="68">
        <f t="shared" si="103"/>
        <v>415</v>
      </c>
      <c r="B395" s="69" t="s">
        <v>182</v>
      </c>
      <c r="C395" s="68" t="s">
        <v>2368</v>
      </c>
      <c r="D395" s="68" t="s">
        <v>2274</v>
      </c>
      <c r="E395" s="68" t="s">
        <v>885</v>
      </c>
      <c r="F395" s="68" t="s">
        <v>56</v>
      </c>
      <c r="G395" s="68" t="s">
        <v>6</v>
      </c>
      <c r="H395" s="68" t="s">
        <v>939</v>
      </c>
      <c r="I395" s="68">
        <f t="shared" si="109"/>
        <v>1414</v>
      </c>
      <c r="J395" s="68" t="s">
        <v>2361</v>
      </c>
      <c r="K395" s="68" t="s">
        <v>2362</v>
      </c>
      <c r="L395" s="70">
        <v>20</v>
      </c>
      <c r="M395" s="71" t="s">
        <v>980</v>
      </c>
      <c r="N395" s="72" t="s">
        <v>809</v>
      </c>
      <c r="O395" s="68">
        <v>4200</v>
      </c>
      <c r="P395" s="69" t="str">
        <f t="shared" si="104"/>
        <v>Mini Mac &amp; Cheese Cups 20G - GFF332R</v>
      </c>
      <c r="Q395" s="72"/>
      <c r="R395" s="72">
        <f t="shared" ref="R395" si="114">($Q395/5)*4</f>
        <v>0</v>
      </c>
      <c r="S395" s="72">
        <f t="shared" ref="S395" si="115">($Q395/5)*3</f>
        <v>0</v>
      </c>
      <c r="T395" s="72">
        <f t="shared" ref="T395" si="116">($Q395/5)*2</f>
        <v>0</v>
      </c>
      <c r="U395" s="72">
        <f t="shared" ref="U395" si="117">($Q395/5)*1</f>
        <v>0</v>
      </c>
      <c r="V395" s="72"/>
      <c r="W395" s="72" t="s">
        <v>1435</v>
      </c>
      <c r="X395" s="72" t="s">
        <v>1744</v>
      </c>
      <c r="Y395" s="72">
        <v>2</v>
      </c>
      <c r="Z395" s="80">
        <v>44076</v>
      </c>
    </row>
    <row r="396" spans="1:26" x14ac:dyDescent="0.25">
      <c r="A396" s="68">
        <f t="shared" si="103"/>
        <v>416</v>
      </c>
      <c r="B396" s="69" t="s">
        <v>182</v>
      </c>
      <c r="C396" s="68" t="s">
        <v>2369</v>
      </c>
      <c r="D396" s="68" t="s">
        <v>2275</v>
      </c>
      <c r="E396" s="68" t="s">
        <v>886</v>
      </c>
      <c r="F396" s="68" t="s">
        <v>130</v>
      </c>
      <c r="G396" s="68" t="s">
        <v>6</v>
      </c>
      <c r="H396" s="68" t="s">
        <v>939</v>
      </c>
      <c r="I396" s="68">
        <f t="shared" si="109"/>
        <v>1415</v>
      </c>
      <c r="J396" s="68" t="s">
        <v>2283</v>
      </c>
      <c r="K396" s="68" t="s">
        <v>2275</v>
      </c>
      <c r="L396" s="70"/>
      <c r="M396" s="71" t="s">
        <v>980</v>
      </c>
      <c r="N396" s="72" t="s">
        <v>814</v>
      </c>
      <c r="O396" s="74">
        <v>6</v>
      </c>
      <c r="P396" s="69" t="str">
        <f t="shared" si="104"/>
        <v>Katsu Dip - GFF330R</v>
      </c>
      <c r="Q396" s="72"/>
      <c r="R396" s="72"/>
      <c r="S396" s="72"/>
      <c r="T396" s="72"/>
      <c r="U396" s="72"/>
      <c r="V396" s="72"/>
      <c r="W396" s="72" t="s">
        <v>1435</v>
      </c>
      <c r="X396" s="72" t="s">
        <v>3090</v>
      </c>
      <c r="Y396" s="72">
        <v>2</v>
      </c>
      <c r="Z396" s="80">
        <v>44076</v>
      </c>
    </row>
    <row r="397" spans="1:26" x14ac:dyDescent="0.25">
      <c r="A397" s="68">
        <f t="shared" si="103"/>
        <v>417</v>
      </c>
      <c r="B397" s="69" t="s">
        <v>1756</v>
      </c>
      <c r="C397" s="68" t="s">
        <v>2360</v>
      </c>
      <c r="D397" s="68" t="s">
        <v>2276</v>
      </c>
      <c r="E397" s="68" t="s">
        <v>885</v>
      </c>
      <c r="F397" s="68" t="s">
        <v>56</v>
      </c>
      <c r="G397" s="68" t="s">
        <v>17</v>
      </c>
      <c r="H397" s="68" t="s">
        <v>939</v>
      </c>
      <c r="I397" s="68">
        <f t="shared" si="109"/>
        <v>1416</v>
      </c>
      <c r="J397" s="68" t="s">
        <v>2284</v>
      </c>
      <c r="K397" s="68" t="s">
        <v>2277</v>
      </c>
      <c r="L397" s="70"/>
      <c r="M397" s="71" t="s">
        <v>980</v>
      </c>
      <c r="N397" s="72" t="s">
        <v>814</v>
      </c>
      <c r="O397" s="68">
        <v>1</v>
      </c>
      <c r="P397" s="69" t="str">
        <f t="shared" si="104"/>
        <v>Hot Jalapeno Peppers - SAL001-05</v>
      </c>
      <c r="Q397" s="72"/>
      <c r="R397" s="72"/>
      <c r="S397" s="72"/>
      <c r="T397" s="72"/>
      <c r="U397" s="72"/>
      <c r="V397" s="72"/>
      <c r="W397" s="72" t="s">
        <v>1435</v>
      </c>
      <c r="X397" s="72" t="s">
        <v>1744</v>
      </c>
      <c r="Y397" s="72">
        <v>2</v>
      </c>
      <c r="Z397" s="80">
        <v>44076</v>
      </c>
    </row>
    <row r="398" spans="1:26" x14ac:dyDescent="0.25">
      <c r="A398" s="68">
        <f t="shared" si="103"/>
        <v>418</v>
      </c>
      <c r="B398" s="69" t="s">
        <v>182</v>
      </c>
      <c r="C398" s="68" t="s">
        <v>2285</v>
      </c>
      <c r="D398" s="68" t="s">
        <v>2891</v>
      </c>
      <c r="E398" s="68" t="s">
        <v>886</v>
      </c>
      <c r="F398" s="68" t="s">
        <v>128</v>
      </c>
      <c r="G398" s="68" t="s">
        <v>6</v>
      </c>
      <c r="H398" s="68" t="s">
        <v>888</v>
      </c>
      <c r="I398" s="68">
        <f t="shared" si="109"/>
        <v>1417</v>
      </c>
      <c r="J398" s="68" t="s">
        <v>2286</v>
      </c>
      <c r="K398" s="68" t="s">
        <v>2891</v>
      </c>
      <c r="L398" s="70"/>
      <c r="M398" s="71" t="s">
        <v>979</v>
      </c>
      <c r="N398" s="72" t="s">
        <v>814</v>
      </c>
      <c r="O398" s="68">
        <v>1</v>
      </c>
      <c r="P398" s="69" t="str">
        <f t="shared" si="104"/>
        <v>Cooked Minced Chicken (JO) - GFF314R</v>
      </c>
      <c r="Q398" s="72"/>
      <c r="R398" s="72"/>
      <c r="S398" s="72"/>
      <c r="T398" s="72"/>
      <c r="U398" s="72"/>
      <c r="V398" s="72"/>
      <c r="W398" s="72" t="s">
        <v>1435</v>
      </c>
      <c r="X398" s="72" t="s">
        <v>982</v>
      </c>
      <c r="Y398" s="72" t="s">
        <v>982</v>
      </c>
      <c r="Z398" s="80">
        <v>44077</v>
      </c>
    </row>
    <row r="399" spans="1:26" x14ac:dyDescent="0.25">
      <c r="A399" s="68">
        <f t="shared" si="103"/>
        <v>419</v>
      </c>
      <c r="B399" s="69" t="s">
        <v>182</v>
      </c>
      <c r="C399" s="68" t="s">
        <v>2291</v>
      </c>
      <c r="D399" s="68" t="s">
        <v>2292</v>
      </c>
      <c r="E399" s="68" t="s">
        <v>886</v>
      </c>
      <c r="F399" s="68" t="s">
        <v>128</v>
      </c>
      <c r="G399" s="68" t="s">
        <v>6</v>
      </c>
      <c r="H399" s="68" t="s">
        <v>888</v>
      </c>
      <c r="I399" s="68">
        <f t="shared" si="109"/>
        <v>1418</v>
      </c>
      <c r="J399" s="68" t="s">
        <v>2295</v>
      </c>
      <c r="K399" s="68" t="s">
        <v>2292</v>
      </c>
      <c r="L399" s="70"/>
      <c r="M399" s="71" t="s">
        <v>980</v>
      </c>
      <c r="N399" s="72" t="s">
        <v>809</v>
      </c>
      <c r="O399" s="68">
        <v>1</v>
      </c>
      <c r="P399" s="69" t="str">
        <f t="shared" si="104"/>
        <v>Garlic Chilli Chicken Wings (CC) - GFF315R</v>
      </c>
      <c r="Q399" s="72"/>
      <c r="R399" s="72"/>
      <c r="S399" s="72"/>
      <c r="T399" s="72"/>
      <c r="U399" s="72"/>
      <c r="V399" s="72"/>
      <c r="W399" s="72" t="s">
        <v>1435</v>
      </c>
      <c r="X399" s="72" t="s">
        <v>2434</v>
      </c>
      <c r="Y399" s="72">
        <v>2</v>
      </c>
      <c r="Z399" s="80">
        <v>44089</v>
      </c>
    </row>
    <row r="400" spans="1:26" x14ac:dyDescent="0.25">
      <c r="A400" s="68">
        <f t="shared" ref="A400:A431" si="118">+A399+1</f>
        <v>420</v>
      </c>
      <c r="B400" s="69" t="s">
        <v>182</v>
      </c>
      <c r="C400" s="68" t="s">
        <v>2293</v>
      </c>
      <c r="D400" s="68" t="s">
        <v>2294</v>
      </c>
      <c r="E400" s="68" t="s">
        <v>1628</v>
      </c>
      <c r="F400" s="68" t="s">
        <v>128</v>
      </c>
      <c r="G400" s="68" t="s">
        <v>6</v>
      </c>
      <c r="H400" s="68" t="s">
        <v>888</v>
      </c>
      <c r="I400" s="68">
        <f t="shared" si="109"/>
        <v>1419</v>
      </c>
      <c r="J400" s="68" t="s">
        <v>2296</v>
      </c>
      <c r="K400" s="68" t="s">
        <v>2294</v>
      </c>
      <c r="L400" s="70"/>
      <c r="M400" s="71" t="s">
        <v>980</v>
      </c>
      <c r="N400" s="72" t="s">
        <v>814</v>
      </c>
      <c r="O400" s="74">
        <v>64</v>
      </c>
      <c r="P400" s="69" t="str">
        <f t="shared" si="104"/>
        <v>Andhra Fried Chicken (CC) - GFF316R</v>
      </c>
      <c r="Q400" s="72"/>
      <c r="R400" s="72"/>
      <c r="S400" s="72"/>
      <c r="T400" s="72"/>
      <c r="U400" s="72"/>
      <c r="V400" s="72"/>
      <c r="W400" s="72" t="s">
        <v>1435</v>
      </c>
      <c r="X400" s="72" t="s">
        <v>1481</v>
      </c>
      <c r="Y400" s="72">
        <v>3</v>
      </c>
      <c r="Z400" s="80">
        <v>44089</v>
      </c>
    </row>
    <row r="401" spans="1:26" x14ac:dyDescent="0.25">
      <c r="A401" s="68">
        <f t="shared" si="118"/>
        <v>421</v>
      </c>
      <c r="B401" s="69" t="s">
        <v>182</v>
      </c>
      <c r="C401" s="68" t="s">
        <v>1919</v>
      </c>
      <c r="D401" s="2" t="s">
        <v>819</v>
      </c>
      <c r="E401" s="68" t="s">
        <v>885</v>
      </c>
      <c r="F401" s="68" t="s">
        <v>13</v>
      </c>
      <c r="G401" s="68" t="s">
        <v>6</v>
      </c>
      <c r="H401" s="68" t="s">
        <v>888</v>
      </c>
      <c r="I401" s="68">
        <f t="shared" si="109"/>
        <v>1420</v>
      </c>
      <c r="J401" s="68" t="s">
        <v>2297</v>
      </c>
      <c r="K401" s="68" t="s">
        <v>2298</v>
      </c>
      <c r="L401" s="70">
        <v>25</v>
      </c>
      <c r="M401" s="71" t="s">
        <v>980</v>
      </c>
      <c r="N401" s="72" t="s">
        <v>814</v>
      </c>
      <c r="O401" s="68">
        <v>1350</v>
      </c>
      <c r="P401" s="69" t="str">
        <f>K401</f>
        <v>Vegetable Samosa 25G Seeded- GFF239R</v>
      </c>
      <c r="Q401" s="72">
        <v>28</v>
      </c>
      <c r="R401" s="72">
        <f t="shared" ref="R401:R402" si="119">($Q401/5)*4</f>
        <v>22.4</v>
      </c>
      <c r="S401" s="72">
        <f t="shared" ref="S401:S402" si="120">($Q401/5)*3</f>
        <v>16.799999999999997</v>
      </c>
      <c r="T401" s="72">
        <f t="shared" ref="T401:T402" si="121">($Q401/5)*2</f>
        <v>11.2</v>
      </c>
      <c r="U401" s="72">
        <f t="shared" ref="U401:U402" si="122">($Q401/5)*1</f>
        <v>5.6</v>
      </c>
      <c r="V401" s="72">
        <v>8</v>
      </c>
      <c r="W401" s="72" t="s">
        <v>1435</v>
      </c>
      <c r="X401" s="72" t="s">
        <v>1501</v>
      </c>
      <c r="Y401" s="72">
        <v>3</v>
      </c>
      <c r="Z401" s="80">
        <v>44089</v>
      </c>
    </row>
    <row r="402" spans="1:26" x14ac:dyDescent="0.25">
      <c r="A402" s="68">
        <f t="shared" si="118"/>
        <v>422</v>
      </c>
      <c r="B402" s="69" t="s">
        <v>182</v>
      </c>
      <c r="C402" s="68" t="s">
        <v>1283</v>
      </c>
      <c r="D402" s="68" t="s">
        <v>824</v>
      </c>
      <c r="E402" s="68" t="s">
        <v>885</v>
      </c>
      <c r="F402" s="68" t="s">
        <v>40</v>
      </c>
      <c r="G402" s="68" t="s">
        <v>6</v>
      </c>
      <c r="H402" s="68" t="s">
        <v>888</v>
      </c>
      <c r="I402" s="68">
        <f t="shared" si="109"/>
        <v>1421</v>
      </c>
      <c r="J402" s="68" t="s">
        <v>2300</v>
      </c>
      <c r="K402" s="68" t="s">
        <v>2301</v>
      </c>
      <c r="L402" s="70">
        <v>30</v>
      </c>
      <c r="M402" s="71" t="s">
        <v>980</v>
      </c>
      <c r="N402" s="72" t="s">
        <v>814</v>
      </c>
      <c r="O402" s="68">
        <v>3400</v>
      </c>
      <c r="P402" s="69" t="str">
        <f>K402</f>
        <v>Onion Bhaji Cocktail 30G - GFF121R</v>
      </c>
      <c r="Q402" s="72">
        <v>60</v>
      </c>
      <c r="R402" s="72">
        <f t="shared" si="119"/>
        <v>48</v>
      </c>
      <c r="S402" s="72">
        <f t="shared" si="120"/>
        <v>36</v>
      </c>
      <c r="T402" s="72">
        <f t="shared" si="121"/>
        <v>24</v>
      </c>
      <c r="U402" s="72">
        <f t="shared" si="122"/>
        <v>12</v>
      </c>
      <c r="V402" s="72">
        <v>0</v>
      </c>
      <c r="W402" s="72" t="s">
        <v>1435</v>
      </c>
      <c r="X402" s="72" t="s">
        <v>982</v>
      </c>
      <c r="Y402" s="72" t="s">
        <v>982</v>
      </c>
      <c r="Z402" s="80">
        <v>44089</v>
      </c>
    </row>
    <row r="403" spans="1:26" x14ac:dyDescent="0.25">
      <c r="A403" s="68">
        <f t="shared" si="118"/>
        <v>423</v>
      </c>
      <c r="B403" s="69" t="s">
        <v>182</v>
      </c>
      <c r="C403" s="68" t="s">
        <v>2302</v>
      </c>
      <c r="D403" s="68" t="s">
        <v>2305</v>
      </c>
      <c r="E403" s="68" t="s">
        <v>886</v>
      </c>
      <c r="F403" s="68" t="s">
        <v>62</v>
      </c>
      <c r="G403" s="68" t="s">
        <v>6</v>
      </c>
      <c r="H403" s="68" t="s">
        <v>888</v>
      </c>
      <c r="I403" s="68">
        <f t="shared" si="109"/>
        <v>1422</v>
      </c>
      <c r="J403" s="68" t="s">
        <v>2303</v>
      </c>
      <c r="K403" s="68" t="s">
        <v>2305</v>
      </c>
      <c r="L403" s="70"/>
      <c r="M403" s="71" t="s">
        <v>980</v>
      </c>
      <c r="N403" s="72" t="s">
        <v>809</v>
      </c>
      <c r="O403" s="68">
        <v>1</v>
      </c>
      <c r="P403" s="69" t="str">
        <f t="shared" ref="P403:P434" si="123">K403&amp;" - "&amp; C403</f>
        <v>Haryali Masala Sauce (CC) - GFF317R</v>
      </c>
      <c r="Q403" s="72"/>
      <c r="R403" s="72"/>
      <c r="S403" s="72"/>
      <c r="T403" s="72"/>
      <c r="U403" s="72"/>
      <c r="V403" s="72"/>
      <c r="W403" s="72" t="s">
        <v>1435</v>
      </c>
      <c r="X403" s="72" t="s">
        <v>2335</v>
      </c>
      <c r="Y403" s="72">
        <v>2</v>
      </c>
      <c r="Z403" s="80">
        <v>44089</v>
      </c>
    </row>
    <row r="404" spans="1:26" x14ac:dyDescent="0.25">
      <c r="A404" s="68">
        <f t="shared" si="118"/>
        <v>424</v>
      </c>
      <c r="B404" s="69" t="s">
        <v>182</v>
      </c>
      <c r="C404" s="68" t="s">
        <v>2304</v>
      </c>
      <c r="D404" s="68" t="s">
        <v>2337</v>
      </c>
      <c r="E404" s="68" t="s">
        <v>886</v>
      </c>
      <c r="F404" s="68" t="s">
        <v>128</v>
      </c>
      <c r="G404" s="68" t="s">
        <v>1417</v>
      </c>
      <c r="H404" s="68" t="s">
        <v>888</v>
      </c>
      <c r="I404" s="68">
        <f t="shared" si="109"/>
        <v>1423</v>
      </c>
      <c r="J404" s="68" t="s">
        <v>2306</v>
      </c>
      <c r="K404" s="68" t="s">
        <v>2337</v>
      </c>
      <c r="L404" s="70"/>
      <c r="M404" s="71" t="s">
        <v>979</v>
      </c>
      <c r="N404" s="72" t="s">
        <v>814</v>
      </c>
      <c r="O404" s="68">
        <v>1</v>
      </c>
      <c r="P404" s="69" t="str">
        <f t="shared" si="123"/>
        <v>Gazebo Marinated Chicken (CC) - GFF318R</v>
      </c>
      <c r="Q404" s="72"/>
      <c r="R404" s="72"/>
      <c r="S404" s="72"/>
      <c r="T404" s="72"/>
      <c r="U404" s="72"/>
      <c r="V404" s="72"/>
      <c r="W404" s="72" t="s">
        <v>1435</v>
      </c>
      <c r="X404" s="72" t="s">
        <v>2336</v>
      </c>
      <c r="Y404" s="72">
        <v>3</v>
      </c>
      <c r="Z404" s="80">
        <v>44089</v>
      </c>
    </row>
    <row r="405" spans="1:26" x14ac:dyDescent="0.25">
      <c r="A405" s="68">
        <f t="shared" si="118"/>
        <v>425</v>
      </c>
      <c r="B405" s="69" t="s">
        <v>1913</v>
      </c>
      <c r="C405" s="68" t="s">
        <v>2359</v>
      </c>
      <c r="D405" s="68" t="s">
        <v>2309</v>
      </c>
      <c r="E405" s="68" t="s">
        <v>886</v>
      </c>
      <c r="F405" s="68" t="s">
        <v>56</v>
      </c>
      <c r="G405" s="68" t="s">
        <v>17</v>
      </c>
      <c r="H405" s="68" t="s">
        <v>888</v>
      </c>
      <c r="I405" s="68">
        <f t="shared" si="109"/>
        <v>1424</v>
      </c>
      <c r="J405" s="68" t="s">
        <v>2307</v>
      </c>
      <c r="K405" s="68" t="s">
        <v>2308</v>
      </c>
      <c r="L405" s="70"/>
      <c r="M405" s="71" t="s">
        <v>980</v>
      </c>
      <c r="N405" s="72" t="s">
        <v>809</v>
      </c>
      <c r="O405" s="68">
        <v>1</v>
      </c>
      <c r="P405" s="69" t="str">
        <f t="shared" si="123"/>
        <v>Roasted BL Nibbed Almonds - GFF1424</v>
      </c>
      <c r="Q405" s="72"/>
      <c r="R405" s="72"/>
      <c r="S405" s="72"/>
      <c r="T405" s="72"/>
      <c r="U405" s="72"/>
      <c r="V405" s="72"/>
      <c r="W405" s="72" t="s">
        <v>1435</v>
      </c>
      <c r="X405" s="72" t="s">
        <v>1862</v>
      </c>
      <c r="Y405" s="72">
        <v>1</v>
      </c>
      <c r="Z405" s="80">
        <v>44089</v>
      </c>
    </row>
    <row r="406" spans="1:26" x14ac:dyDescent="0.25">
      <c r="A406" s="68">
        <f t="shared" si="118"/>
        <v>426</v>
      </c>
      <c r="B406" s="69" t="s">
        <v>182</v>
      </c>
      <c r="C406" s="68" t="s">
        <v>2310</v>
      </c>
      <c r="D406" s="68" t="s">
        <v>2338</v>
      </c>
      <c r="E406" s="68" t="s">
        <v>886</v>
      </c>
      <c r="F406" s="68" t="s">
        <v>62</v>
      </c>
      <c r="G406" s="68" t="s">
        <v>6</v>
      </c>
      <c r="H406" s="68" t="s">
        <v>888</v>
      </c>
      <c r="I406" s="68">
        <f t="shared" si="109"/>
        <v>1425</v>
      </c>
      <c r="J406" s="68" t="s">
        <v>2311</v>
      </c>
      <c r="K406" s="68" t="s">
        <v>2338</v>
      </c>
      <c r="L406" s="70"/>
      <c r="M406" s="71" t="s">
        <v>980</v>
      </c>
      <c r="N406" s="72" t="s">
        <v>814</v>
      </c>
      <c r="O406" s="68">
        <v>1</v>
      </c>
      <c r="P406" s="69" t="str">
        <f t="shared" si="123"/>
        <v>Kashmiri Curry (CC) - GFF319R</v>
      </c>
      <c r="Q406" s="72"/>
      <c r="R406" s="72"/>
      <c r="S406" s="72"/>
      <c r="T406" s="72"/>
      <c r="U406" s="72"/>
      <c r="V406" s="72"/>
      <c r="W406" s="72" t="s">
        <v>1435</v>
      </c>
      <c r="X406" s="72" t="s">
        <v>2433</v>
      </c>
      <c r="Y406" s="72">
        <v>1</v>
      </c>
      <c r="Z406" s="80">
        <v>44089</v>
      </c>
    </row>
    <row r="407" spans="1:26" x14ac:dyDescent="0.25">
      <c r="A407" s="68">
        <f t="shared" si="118"/>
        <v>427</v>
      </c>
      <c r="B407" s="69" t="s">
        <v>182</v>
      </c>
      <c r="C407" s="68" t="s">
        <v>2318</v>
      </c>
      <c r="D407" s="68" t="s">
        <v>1806</v>
      </c>
      <c r="E407" s="68" t="s">
        <v>886</v>
      </c>
      <c r="F407" s="68" t="s">
        <v>62</v>
      </c>
      <c r="G407" s="68" t="s">
        <v>6</v>
      </c>
      <c r="H407" s="68" t="s">
        <v>888</v>
      </c>
      <c r="I407" s="68">
        <f t="shared" si="109"/>
        <v>1426</v>
      </c>
      <c r="J407" s="68" t="s">
        <v>2313</v>
      </c>
      <c r="K407" s="68" t="s">
        <v>2312</v>
      </c>
      <c r="L407" s="70"/>
      <c r="M407" s="71" t="s">
        <v>980</v>
      </c>
      <c r="N407" s="72" t="s">
        <v>814</v>
      </c>
      <c r="O407" s="68">
        <v>1</v>
      </c>
      <c r="P407" s="69" t="str">
        <f t="shared" si="123"/>
        <v>Chettinad Sauce (CC) - GFF320R</v>
      </c>
      <c r="Q407" s="72"/>
      <c r="R407" s="72"/>
      <c r="S407" s="72"/>
      <c r="T407" s="72"/>
      <c r="U407" s="72"/>
      <c r="V407" s="72"/>
      <c r="W407" s="72" t="s">
        <v>1435</v>
      </c>
      <c r="X407" s="72" t="s">
        <v>1489</v>
      </c>
      <c r="Y407" s="72">
        <v>2</v>
      </c>
      <c r="Z407" s="80">
        <v>44089</v>
      </c>
    </row>
    <row r="408" spans="1:26" x14ac:dyDescent="0.25">
      <c r="A408" s="68">
        <f t="shared" si="118"/>
        <v>428</v>
      </c>
      <c r="B408" s="69" t="s">
        <v>182</v>
      </c>
      <c r="C408" s="68" t="s">
        <v>2319</v>
      </c>
      <c r="D408" s="68" t="s">
        <v>3158</v>
      </c>
      <c r="E408" s="68" t="s">
        <v>886</v>
      </c>
      <c r="F408" s="68" t="s">
        <v>62</v>
      </c>
      <c r="G408" s="68" t="s">
        <v>6</v>
      </c>
      <c r="H408" s="68" t="s">
        <v>888</v>
      </c>
      <c r="I408" s="68">
        <f t="shared" si="109"/>
        <v>1427</v>
      </c>
      <c r="J408" s="68" t="s">
        <v>2315</v>
      </c>
      <c r="K408" s="68" t="s">
        <v>2314</v>
      </c>
      <c r="L408" s="70"/>
      <c r="M408" s="71" t="s">
        <v>980</v>
      </c>
      <c r="N408" s="72" t="s">
        <v>814</v>
      </c>
      <c r="O408" s="68">
        <v>1</v>
      </c>
      <c r="P408" s="69" t="str">
        <f t="shared" si="123"/>
        <v>Nawabi Curry (CC) - GFF321R</v>
      </c>
      <c r="Q408" s="72"/>
      <c r="R408" s="72"/>
      <c r="S408" s="72"/>
      <c r="T408" s="72"/>
      <c r="U408" s="72"/>
      <c r="V408" s="72"/>
      <c r="W408" s="72" t="s">
        <v>1435</v>
      </c>
      <c r="X408" s="72" t="s">
        <v>2433</v>
      </c>
      <c r="Y408" s="72">
        <v>1</v>
      </c>
      <c r="Z408" s="80">
        <v>44089</v>
      </c>
    </row>
    <row r="409" spans="1:26" x14ac:dyDescent="0.25">
      <c r="A409" s="68">
        <f t="shared" si="118"/>
        <v>429</v>
      </c>
      <c r="B409" s="69" t="s">
        <v>182</v>
      </c>
      <c r="C409" s="68" t="s">
        <v>2320</v>
      </c>
      <c r="D409" s="68" t="s">
        <v>2316</v>
      </c>
      <c r="E409" s="68" t="s">
        <v>886</v>
      </c>
      <c r="F409" s="68" t="s">
        <v>62</v>
      </c>
      <c r="G409" s="68" t="s">
        <v>6</v>
      </c>
      <c r="H409" s="68" t="s">
        <v>888</v>
      </c>
      <c r="I409" s="68">
        <f t="shared" si="109"/>
        <v>1428</v>
      </c>
      <c r="J409" s="68" t="s">
        <v>2317</v>
      </c>
      <c r="K409" s="68" t="s">
        <v>2316</v>
      </c>
      <c r="L409" s="70"/>
      <c r="M409" s="71" t="s">
        <v>979</v>
      </c>
      <c r="N409" s="72" t="s">
        <v>814</v>
      </c>
      <c r="O409" s="68">
        <v>1</v>
      </c>
      <c r="P409" s="69" t="str">
        <f t="shared" si="123"/>
        <v>Cooked Diced Lamb (CC) - GFF322R</v>
      </c>
      <c r="Q409" s="72"/>
      <c r="R409" s="72"/>
      <c r="S409" s="72"/>
      <c r="T409" s="72"/>
      <c r="U409" s="72"/>
      <c r="V409" s="72"/>
      <c r="W409" s="72" t="s">
        <v>1435</v>
      </c>
      <c r="X409" s="72" t="s">
        <v>982</v>
      </c>
      <c r="Y409" s="72" t="s">
        <v>982</v>
      </c>
      <c r="Z409" s="80">
        <v>44089</v>
      </c>
    </row>
    <row r="410" spans="1:26" x14ac:dyDescent="0.25">
      <c r="A410" s="68">
        <f t="shared" si="118"/>
        <v>430</v>
      </c>
      <c r="B410" s="69" t="s">
        <v>182</v>
      </c>
      <c r="C410" s="68" t="s">
        <v>2322</v>
      </c>
      <c r="D410" s="68" t="s">
        <v>2321</v>
      </c>
      <c r="E410" s="68" t="s">
        <v>886</v>
      </c>
      <c r="F410" s="68" t="s">
        <v>62</v>
      </c>
      <c r="G410" s="68" t="s">
        <v>6</v>
      </c>
      <c r="H410" s="68" t="s">
        <v>888</v>
      </c>
      <c r="I410" s="68">
        <f t="shared" si="109"/>
        <v>1429</v>
      </c>
      <c r="J410" s="68" t="s">
        <v>2330</v>
      </c>
      <c r="K410" s="68" t="s">
        <v>2321</v>
      </c>
      <c r="L410" s="70"/>
      <c r="M410" s="71" t="s">
        <v>980</v>
      </c>
      <c r="N410" s="72" t="s">
        <v>814</v>
      </c>
      <c r="O410" s="68">
        <v>1</v>
      </c>
      <c r="P410" s="69" t="str">
        <f t="shared" si="123"/>
        <v>Keralan Curry Sauce (CC)  - GFF323R</v>
      </c>
      <c r="Q410" s="72"/>
      <c r="R410" s="72"/>
      <c r="S410" s="72"/>
      <c r="T410" s="72"/>
      <c r="U410" s="72"/>
      <c r="V410" s="72"/>
      <c r="W410" s="72" t="s">
        <v>1435</v>
      </c>
      <c r="X410" s="72" t="s">
        <v>1489</v>
      </c>
      <c r="Y410" s="72">
        <v>2</v>
      </c>
      <c r="Z410" s="80">
        <v>44089</v>
      </c>
    </row>
    <row r="411" spans="1:26" x14ac:dyDescent="0.25">
      <c r="A411" s="68">
        <f t="shared" si="118"/>
        <v>431</v>
      </c>
      <c r="B411" s="69" t="s">
        <v>182</v>
      </c>
      <c r="C411" s="68" t="s">
        <v>2323</v>
      </c>
      <c r="D411" s="68" t="s">
        <v>2324</v>
      </c>
      <c r="E411" s="68" t="s">
        <v>886</v>
      </c>
      <c r="F411" s="68" t="s">
        <v>62</v>
      </c>
      <c r="G411" s="68" t="s">
        <v>6</v>
      </c>
      <c r="H411" s="68" t="s">
        <v>888</v>
      </c>
      <c r="I411" s="68">
        <f t="shared" si="109"/>
        <v>1430</v>
      </c>
      <c r="J411" s="68" t="s">
        <v>2331</v>
      </c>
      <c r="K411" s="68" t="s">
        <v>2324</v>
      </c>
      <c r="L411" s="70"/>
      <c r="M411" s="71" t="s">
        <v>980</v>
      </c>
      <c r="N411" s="72" t="s">
        <v>814</v>
      </c>
      <c r="O411" s="68">
        <v>1</v>
      </c>
      <c r="P411" s="69" t="str">
        <f t="shared" si="123"/>
        <v>Punjabi Saag Aloo Channa (CC) - GFF324R</v>
      </c>
      <c r="Q411" s="72"/>
      <c r="R411" s="72"/>
      <c r="S411" s="72"/>
      <c r="T411" s="72"/>
      <c r="U411" s="72"/>
      <c r="V411" s="72"/>
      <c r="W411" s="72" t="s">
        <v>1435</v>
      </c>
      <c r="X411" s="72" t="s">
        <v>2435</v>
      </c>
      <c r="Y411" s="72">
        <v>2</v>
      </c>
      <c r="Z411" s="80">
        <v>44089</v>
      </c>
    </row>
    <row r="412" spans="1:26" x14ac:dyDescent="0.25">
      <c r="A412" s="68">
        <f t="shared" si="118"/>
        <v>432</v>
      </c>
      <c r="B412" s="69" t="s">
        <v>182</v>
      </c>
      <c r="C412" s="68" t="s">
        <v>2325</v>
      </c>
      <c r="D412" s="68" t="s">
        <v>2326</v>
      </c>
      <c r="E412" s="68" t="s">
        <v>886</v>
      </c>
      <c r="F412" s="68" t="s">
        <v>62</v>
      </c>
      <c r="G412" s="68" t="s">
        <v>6</v>
      </c>
      <c r="H412" s="68" t="s">
        <v>888</v>
      </c>
      <c r="I412" s="68">
        <f t="shared" si="109"/>
        <v>1431</v>
      </c>
      <c r="J412" s="68" t="s">
        <v>2332</v>
      </c>
      <c r="K412" s="68" t="s">
        <v>2326</v>
      </c>
      <c r="L412" s="70"/>
      <c r="M412" s="71" t="s">
        <v>980</v>
      </c>
      <c r="N412" s="72" t="s">
        <v>814</v>
      </c>
      <c r="O412" s="68">
        <v>1</v>
      </c>
      <c r="P412" s="69" t="str">
        <f t="shared" si="123"/>
        <v>Tarka Dahl (CC) - GFF325R</v>
      </c>
      <c r="Q412" s="72"/>
      <c r="R412" s="72"/>
      <c r="S412" s="72"/>
      <c r="T412" s="72"/>
      <c r="U412" s="72"/>
      <c r="V412" s="72"/>
      <c r="W412" s="72" t="s">
        <v>1435</v>
      </c>
      <c r="X412" s="72" t="s">
        <v>1808</v>
      </c>
      <c r="Y412" s="72">
        <v>2</v>
      </c>
      <c r="Z412" s="80">
        <v>44089</v>
      </c>
    </row>
    <row r="413" spans="1:26" x14ac:dyDescent="0.25">
      <c r="A413" s="68">
        <f t="shared" si="118"/>
        <v>433</v>
      </c>
      <c r="B413" s="69" t="s">
        <v>182</v>
      </c>
      <c r="C413" s="68" t="s">
        <v>2327</v>
      </c>
      <c r="D413" s="68" t="s">
        <v>2328</v>
      </c>
      <c r="E413" s="68" t="s">
        <v>886</v>
      </c>
      <c r="F413" s="68" t="s">
        <v>62</v>
      </c>
      <c r="G413" s="68" t="s">
        <v>6</v>
      </c>
      <c r="H413" s="68" t="s">
        <v>888</v>
      </c>
      <c r="I413" s="68">
        <f t="shared" si="109"/>
        <v>1432</v>
      </c>
      <c r="J413" s="68" t="s">
        <v>2333</v>
      </c>
      <c r="K413" s="68" t="s">
        <v>2328</v>
      </c>
      <c r="L413" s="70"/>
      <c r="M413" s="71" t="s">
        <v>980</v>
      </c>
      <c r="N413" s="72" t="s">
        <v>814</v>
      </c>
      <c r="O413" s="68">
        <v>1</v>
      </c>
      <c r="P413" s="69" t="str">
        <f t="shared" si="123"/>
        <v>Kashmiri Rice (CC) - GFF326R</v>
      </c>
      <c r="Q413" s="72"/>
      <c r="R413" s="72"/>
      <c r="S413" s="72"/>
      <c r="T413" s="72"/>
      <c r="U413" s="72"/>
      <c r="V413" s="72"/>
      <c r="W413" s="72" t="s">
        <v>1435</v>
      </c>
      <c r="X413" s="72" t="s">
        <v>982</v>
      </c>
      <c r="Y413" s="72" t="s">
        <v>982</v>
      </c>
      <c r="Z413" s="80">
        <v>44089</v>
      </c>
    </row>
    <row r="414" spans="1:26" x14ac:dyDescent="0.25">
      <c r="A414" s="68">
        <f t="shared" si="118"/>
        <v>434</v>
      </c>
      <c r="B414" s="69" t="s">
        <v>182</v>
      </c>
      <c r="C414" s="68" t="s">
        <v>2329</v>
      </c>
      <c r="D414" s="68" t="s">
        <v>2339</v>
      </c>
      <c r="E414" s="68" t="s">
        <v>886</v>
      </c>
      <c r="F414" s="68" t="s">
        <v>62</v>
      </c>
      <c r="G414" s="68" t="s">
        <v>6</v>
      </c>
      <c r="H414" s="68" t="s">
        <v>888</v>
      </c>
      <c r="I414" s="68">
        <f t="shared" si="109"/>
        <v>1433</v>
      </c>
      <c r="J414" s="68" t="s">
        <v>2334</v>
      </c>
      <c r="K414" s="68" t="s">
        <v>2339</v>
      </c>
      <c r="L414" s="70"/>
      <c r="M414" s="71" t="s">
        <v>980</v>
      </c>
      <c r="N414" s="72" t="s">
        <v>814</v>
      </c>
      <c r="O414" s="68">
        <v>1</v>
      </c>
      <c r="P414" s="69" t="str">
        <f t="shared" si="123"/>
        <v>Mixed Vegetable Pilau Rice (CC) - GFF327R</v>
      </c>
      <c r="Q414" s="72"/>
      <c r="R414" s="72"/>
      <c r="S414" s="72"/>
      <c r="T414" s="72"/>
      <c r="U414" s="72"/>
      <c r="V414" s="72"/>
      <c r="W414" s="72" t="s">
        <v>1435</v>
      </c>
      <c r="X414" s="72" t="s">
        <v>982</v>
      </c>
      <c r="Y414" s="72" t="s">
        <v>982</v>
      </c>
      <c r="Z414" s="80">
        <v>44089</v>
      </c>
    </row>
    <row r="415" spans="1:26" x14ac:dyDescent="0.25">
      <c r="A415" s="68">
        <f t="shared" si="118"/>
        <v>435</v>
      </c>
      <c r="B415" s="69" t="s">
        <v>182</v>
      </c>
      <c r="C415" s="68" t="s">
        <v>2345</v>
      </c>
      <c r="D415" s="68" t="s">
        <v>2349</v>
      </c>
      <c r="E415" s="68" t="s">
        <v>886</v>
      </c>
      <c r="F415" s="68" t="s">
        <v>56</v>
      </c>
      <c r="G415" s="68" t="s">
        <v>6</v>
      </c>
      <c r="H415" s="68" t="s">
        <v>888</v>
      </c>
      <c r="I415" s="68">
        <f t="shared" si="109"/>
        <v>1434</v>
      </c>
      <c r="J415" s="68" t="s">
        <v>2353</v>
      </c>
      <c r="K415" s="68" t="s">
        <v>2349</v>
      </c>
      <c r="L415" s="70"/>
      <c r="M415" s="71" t="s">
        <v>980</v>
      </c>
      <c r="N415" s="72" t="s">
        <v>809</v>
      </c>
      <c r="O415" s="68">
        <v>1</v>
      </c>
      <c r="P415" s="69" t="str">
        <f t="shared" si="123"/>
        <v>Miso Aubergine (MC) - GFF310R</v>
      </c>
      <c r="Q415" s="72"/>
      <c r="R415" s="72"/>
      <c r="S415" s="72"/>
      <c r="T415" s="72"/>
      <c r="U415" s="72"/>
      <c r="V415" s="72"/>
      <c r="W415" s="72" t="s">
        <v>1435</v>
      </c>
      <c r="X415" s="72" t="s">
        <v>2357</v>
      </c>
      <c r="Y415" s="72">
        <v>1</v>
      </c>
      <c r="Z415" s="80" t="s">
        <v>2638</v>
      </c>
    </row>
    <row r="416" spans="1:26" x14ac:dyDescent="0.25">
      <c r="A416" s="68">
        <f t="shared" si="118"/>
        <v>436</v>
      </c>
      <c r="B416" s="69" t="s">
        <v>182</v>
      </c>
      <c r="C416" s="68" t="s">
        <v>2346</v>
      </c>
      <c r="D416" s="68" t="s">
        <v>2350</v>
      </c>
      <c r="E416" s="68" t="s">
        <v>886</v>
      </c>
      <c r="F416" s="68" t="s">
        <v>56</v>
      </c>
      <c r="G416" s="68" t="s">
        <v>6</v>
      </c>
      <c r="H416" s="68" t="s">
        <v>888</v>
      </c>
      <c r="I416" s="68">
        <f t="shared" si="109"/>
        <v>1435</v>
      </c>
      <c r="J416" s="68" t="s">
        <v>2354</v>
      </c>
      <c r="K416" s="68" t="s">
        <v>2350</v>
      </c>
      <c r="L416" s="70"/>
      <c r="M416" s="71" t="s">
        <v>980</v>
      </c>
      <c r="N416" s="72" t="s">
        <v>809</v>
      </c>
      <c r="O416" s="68">
        <v>1</v>
      </c>
      <c r="P416" s="69" t="str">
        <f t="shared" si="123"/>
        <v>Stir Fry Vegetables (MC) - GFF311R</v>
      </c>
      <c r="Q416" s="72"/>
      <c r="R416" s="72"/>
      <c r="S416" s="72"/>
      <c r="T416" s="72"/>
      <c r="U416" s="72"/>
      <c r="V416" s="72"/>
      <c r="W416" s="72" t="s">
        <v>1435</v>
      </c>
      <c r="X416" s="72" t="s">
        <v>982</v>
      </c>
      <c r="Y416" s="72" t="s">
        <v>982</v>
      </c>
      <c r="Z416" s="80" t="s">
        <v>2638</v>
      </c>
    </row>
    <row r="417" spans="1:26" x14ac:dyDescent="0.25">
      <c r="A417" s="68">
        <f t="shared" si="118"/>
        <v>437</v>
      </c>
      <c r="B417" s="69" t="s">
        <v>182</v>
      </c>
      <c r="C417" s="68" t="s">
        <v>2347</v>
      </c>
      <c r="D417" s="68" t="s">
        <v>2352</v>
      </c>
      <c r="E417" s="68" t="s">
        <v>886</v>
      </c>
      <c r="F417" s="68" t="s">
        <v>56</v>
      </c>
      <c r="G417" s="68" t="s">
        <v>6</v>
      </c>
      <c r="H417" s="68" t="s">
        <v>888</v>
      </c>
      <c r="I417" s="68">
        <f t="shared" si="109"/>
        <v>1436</v>
      </c>
      <c r="J417" s="68" t="s">
        <v>2355</v>
      </c>
      <c r="K417" s="68" t="s">
        <v>2352</v>
      </c>
      <c r="L417" s="70"/>
      <c r="M417" s="71" t="s">
        <v>980</v>
      </c>
      <c r="N417" s="72" t="s">
        <v>809</v>
      </c>
      <c r="O417" s="68">
        <v>1</v>
      </c>
      <c r="P417" s="69" t="str">
        <f t="shared" si="123"/>
        <v>Brown Rice W/Spring Onion (MC) - GFF312R</v>
      </c>
      <c r="Q417" s="72"/>
      <c r="R417" s="72"/>
      <c r="S417" s="72"/>
      <c r="T417" s="72"/>
      <c r="U417" s="72"/>
      <c r="V417" s="72"/>
      <c r="W417" s="72" t="s">
        <v>1435</v>
      </c>
      <c r="X417" s="72" t="s">
        <v>982</v>
      </c>
      <c r="Y417" s="72" t="s">
        <v>982</v>
      </c>
      <c r="Z417" s="80" t="s">
        <v>2638</v>
      </c>
    </row>
    <row r="418" spans="1:26" x14ac:dyDescent="0.25">
      <c r="A418" s="68">
        <f t="shared" si="118"/>
        <v>438</v>
      </c>
      <c r="B418" s="69" t="s">
        <v>182</v>
      </c>
      <c r="C418" s="68" t="s">
        <v>2348</v>
      </c>
      <c r="D418" s="68" t="s">
        <v>2351</v>
      </c>
      <c r="E418" s="68" t="s">
        <v>886</v>
      </c>
      <c r="F418" s="68" t="s">
        <v>56</v>
      </c>
      <c r="G418" s="68" t="s">
        <v>6</v>
      </c>
      <c r="H418" s="68" t="s">
        <v>888</v>
      </c>
      <c r="I418" s="68">
        <f t="shared" si="109"/>
        <v>1437</v>
      </c>
      <c r="J418" s="68" t="s">
        <v>2356</v>
      </c>
      <c r="K418" s="68" t="s">
        <v>2351</v>
      </c>
      <c r="L418" s="70"/>
      <c r="M418" s="71" t="s">
        <v>980</v>
      </c>
      <c r="N418" s="72" t="s">
        <v>809</v>
      </c>
      <c r="O418" s="68">
        <v>1</v>
      </c>
      <c r="P418" s="69" t="str">
        <f t="shared" si="123"/>
        <v>Steamed Soya Bean (MC) - GFF313R</v>
      </c>
      <c r="Q418" s="72"/>
      <c r="R418" s="72"/>
      <c r="S418" s="72"/>
      <c r="T418" s="72"/>
      <c r="U418" s="72"/>
      <c r="V418" s="72"/>
      <c r="W418" s="72" t="s">
        <v>1435</v>
      </c>
      <c r="X418" s="72" t="s">
        <v>1814</v>
      </c>
      <c r="Y418" s="72">
        <v>3</v>
      </c>
      <c r="Z418" s="80" t="s">
        <v>2638</v>
      </c>
    </row>
    <row r="419" spans="1:26" x14ac:dyDescent="0.25">
      <c r="A419" s="68">
        <f t="shared" si="118"/>
        <v>439</v>
      </c>
      <c r="B419" s="69" t="s">
        <v>1608</v>
      </c>
      <c r="C419" s="68" t="s">
        <v>2364</v>
      </c>
      <c r="D419" s="68" t="s">
        <v>2363</v>
      </c>
      <c r="E419" s="68" t="s">
        <v>1115</v>
      </c>
      <c r="F419" s="68" t="s">
        <v>56</v>
      </c>
      <c r="G419" s="68" t="s">
        <v>17</v>
      </c>
      <c r="H419" s="68" t="s">
        <v>939</v>
      </c>
      <c r="I419" s="68">
        <f t="shared" si="109"/>
        <v>1438</v>
      </c>
      <c r="J419" s="68" t="s">
        <v>2364</v>
      </c>
      <c r="K419" s="68" t="s">
        <v>2363</v>
      </c>
      <c r="L419" s="70"/>
      <c r="M419" s="71" t="s">
        <v>980</v>
      </c>
      <c r="N419" s="72" t="s">
        <v>814</v>
      </c>
      <c r="O419" s="68">
        <v>1</v>
      </c>
      <c r="P419" s="69" t="str">
        <f t="shared" si="123"/>
        <v>Grated Mature Chader - HAB001-24</v>
      </c>
      <c r="Q419" s="72"/>
      <c r="R419" s="72"/>
      <c r="S419" s="72"/>
      <c r="T419" s="72"/>
      <c r="U419" s="72"/>
      <c r="V419" s="72"/>
      <c r="W419" s="72" t="s">
        <v>1435</v>
      </c>
      <c r="X419" s="72" t="s">
        <v>1480</v>
      </c>
      <c r="Y419" s="72">
        <v>2</v>
      </c>
      <c r="Z419" s="80">
        <v>44096</v>
      </c>
    </row>
    <row r="420" spans="1:26" x14ac:dyDescent="0.25">
      <c r="A420" s="68">
        <f t="shared" si="118"/>
        <v>440</v>
      </c>
      <c r="B420" s="69" t="s">
        <v>182</v>
      </c>
      <c r="C420" s="68" t="s">
        <v>2370</v>
      </c>
      <c r="D420" s="68" t="s">
        <v>2372</v>
      </c>
      <c r="E420" s="68" t="s">
        <v>886</v>
      </c>
      <c r="F420" s="68" t="s">
        <v>62</v>
      </c>
      <c r="G420" s="68" t="s">
        <v>6</v>
      </c>
      <c r="H420" s="68" t="s">
        <v>888</v>
      </c>
      <c r="I420" s="68">
        <f t="shared" si="109"/>
        <v>1439</v>
      </c>
      <c r="J420" s="68" t="s">
        <v>2374</v>
      </c>
      <c r="K420" s="68" t="s">
        <v>2372</v>
      </c>
      <c r="L420" s="70"/>
      <c r="M420" s="71" t="s">
        <v>980</v>
      </c>
      <c r="N420" s="72" t="s">
        <v>814</v>
      </c>
      <c r="O420" s="68">
        <v>1</v>
      </c>
      <c r="P420" s="69" t="str">
        <f t="shared" si="123"/>
        <v>Kashmiri Dum Gravy - GFF335R</v>
      </c>
      <c r="Q420" s="72"/>
      <c r="R420" s="72"/>
      <c r="S420" s="72"/>
      <c r="T420" s="72"/>
      <c r="U420" s="72"/>
      <c r="V420" s="72"/>
      <c r="W420" s="72" t="s">
        <v>1435</v>
      </c>
      <c r="X420" s="72" t="s">
        <v>1480</v>
      </c>
      <c r="Y420" s="72">
        <v>2</v>
      </c>
      <c r="Z420" s="80">
        <v>44099</v>
      </c>
    </row>
    <row r="421" spans="1:26" x14ac:dyDescent="0.25">
      <c r="A421" s="68">
        <f t="shared" si="118"/>
        <v>441</v>
      </c>
      <c r="B421" s="69" t="s">
        <v>182</v>
      </c>
      <c r="C421" s="68" t="s">
        <v>2371</v>
      </c>
      <c r="D421" s="68" t="s">
        <v>2373</v>
      </c>
      <c r="E421" s="68" t="s">
        <v>886</v>
      </c>
      <c r="F421" s="68" t="s">
        <v>62</v>
      </c>
      <c r="G421" s="68" t="s">
        <v>6</v>
      </c>
      <c r="H421" s="68" t="s">
        <v>888</v>
      </c>
      <c r="I421" s="68">
        <f t="shared" si="109"/>
        <v>1440</v>
      </c>
      <c r="J421" s="68" t="s">
        <v>2375</v>
      </c>
      <c r="K421" s="68" t="s">
        <v>2373</v>
      </c>
      <c r="L421" s="70"/>
      <c r="M421" s="71" t="s">
        <v>979</v>
      </c>
      <c r="N421" s="72" t="s">
        <v>814</v>
      </c>
      <c r="O421" s="68">
        <v>1</v>
      </c>
      <c r="P421" s="69" t="str">
        <f t="shared" si="123"/>
        <v>Kashmiri Chicken Bites - GFF336R</v>
      </c>
      <c r="Q421" s="72"/>
      <c r="R421" s="72"/>
      <c r="S421" s="72"/>
      <c r="T421" s="72"/>
      <c r="U421" s="72"/>
      <c r="V421" s="72"/>
      <c r="W421" s="72" t="s">
        <v>1435</v>
      </c>
      <c r="X421" s="72" t="s">
        <v>1480</v>
      </c>
      <c r="Y421" s="72">
        <v>2</v>
      </c>
      <c r="Z421" s="80">
        <v>44099</v>
      </c>
    </row>
    <row r="422" spans="1:26" x14ac:dyDescent="0.25">
      <c r="A422" s="68">
        <f t="shared" si="118"/>
        <v>442</v>
      </c>
      <c r="B422" s="69" t="s">
        <v>1637</v>
      </c>
      <c r="C422" s="68" t="s">
        <v>2382</v>
      </c>
      <c r="D422" s="68" t="s">
        <v>838</v>
      </c>
      <c r="E422" s="68" t="s">
        <v>130</v>
      </c>
      <c r="F422" s="68" t="s">
        <v>130</v>
      </c>
      <c r="G422" s="68" t="s">
        <v>17</v>
      </c>
      <c r="H422" s="68" t="s">
        <v>939</v>
      </c>
      <c r="I422" s="68">
        <f t="shared" si="109"/>
        <v>1441</v>
      </c>
      <c r="J422" s="68" t="s">
        <v>2383</v>
      </c>
      <c r="K422" s="68" t="s">
        <v>838</v>
      </c>
      <c r="L422" s="70">
        <v>1</v>
      </c>
      <c r="M422" s="71" t="s">
        <v>980</v>
      </c>
      <c r="N422" s="72" t="s">
        <v>814</v>
      </c>
      <c r="O422" s="68">
        <v>1</v>
      </c>
      <c r="P422" s="69" t="str">
        <f t="shared" si="123"/>
        <v>Pecking Duck Sauce - WIN001-11</v>
      </c>
      <c r="Q422" s="72"/>
      <c r="R422" s="72"/>
      <c r="S422" s="72"/>
      <c r="T422" s="72"/>
      <c r="U422" s="72"/>
      <c r="V422" s="72"/>
      <c r="W422" s="72" t="s">
        <v>1435</v>
      </c>
      <c r="X422" s="72" t="s">
        <v>982</v>
      </c>
      <c r="Y422" s="72" t="s">
        <v>982</v>
      </c>
      <c r="Z422" s="80">
        <v>44126</v>
      </c>
    </row>
    <row r="423" spans="1:26" x14ac:dyDescent="0.25">
      <c r="A423" s="68">
        <f t="shared" si="118"/>
        <v>443</v>
      </c>
      <c r="B423" s="69" t="s">
        <v>2385</v>
      </c>
      <c r="C423" s="68" t="s">
        <v>2397</v>
      </c>
      <c r="D423" s="68" t="s">
        <v>2387</v>
      </c>
      <c r="E423" s="68" t="s">
        <v>1628</v>
      </c>
      <c r="F423" s="68" t="s">
        <v>1414</v>
      </c>
      <c r="G423" s="68" t="s">
        <v>17</v>
      </c>
      <c r="H423" s="68" t="s">
        <v>888</v>
      </c>
      <c r="I423" s="68">
        <f t="shared" si="109"/>
        <v>1442</v>
      </c>
      <c r="J423" s="68" t="s">
        <v>2386</v>
      </c>
      <c r="K423" s="68" t="s">
        <v>2387</v>
      </c>
      <c r="L423" s="70">
        <v>1</v>
      </c>
      <c r="M423" s="71" t="s">
        <v>979</v>
      </c>
      <c r="N423" s="72" t="s">
        <v>814</v>
      </c>
      <c r="O423" s="68">
        <v>1</v>
      </c>
      <c r="P423" s="69" t="str">
        <f t="shared" si="123"/>
        <v>British Dry Coated Beef Strips - GFF1442</v>
      </c>
      <c r="Q423" s="72"/>
      <c r="R423" s="72"/>
      <c r="S423" s="72"/>
      <c r="T423" s="72"/>
      <c r="U423" s="72"/>
      <c r="V423" s="72"/>
      <c r="W423" s="72" t="s">
        <v>1435</v>
      </c>
      <c r="X423" s="72" t="s">
        <v>2395</v>
      </c>
      <c r="Y423" s="72">
        <v>1</v>
      </c>
      <c r="Z423" s="80">
        <v>44127</v>
      </c>
    </row>
    <row r="424" spans="1:26" x14ac:dyDescent="0.25">
      <c r="A424" s="68">
        <f t="shared" si="118"/>
        <v>444</v>
      </c>
      <c r="B424" s="69" t="s">
        <v>182</v>
      </c>
      <c r="C424" s="68" t="s">
        <v>2388</v>
      </c>
      <c r="D424" s="68" t="s">
        <v>2390</v>
      </c>
      <c r="E424" s="68" t="s">
        <v>885</v>
      </c>
      <c r="F424" s="68" t="s">
        <v>40</v>
      </c>
      <c r="G424" s="68" t="s">
        <v>6</v>
      </c>
      <c r="H424" s="68" t="s">
        <v>888</v>
      </c>
      <c r="I424" s="68">
        <f t="shared" si="109"/>
        <v>1443</v>
      </c>
      <c r="J424" s="68" t="s">
        <v>2391</v>
      </c>
      <c r="K424" s="68" t="s">
        <v>2392</v>
      </c>
      <c r="L424" s="70">
        <v>40</v>
      </c>
      <c r="M424" s="71" t="s">
        <v>980</v>
      </c>
      <c r="N424" s="72" t="s">
        <v>814</v>
      </c>
      <c r="O424" s="68">
        <v>1200</v>
      </c>
      <c r="P424" s="69" t="str">
        <f t="shared" si="123"/>
        <v>Hot &amp; Spicy Onion Bhaji 40G - GFF334R</v>
      </c>
      <c r="Q424" s="72">
        <v>32</v>
      </c>
      <c r="R424" s="72">
        <f t="shared" ref="R424" si="124">($Q424/5)*4</f>
        <v>25.6</v>
      </c>
      <c r="S424" s="72">
        <f t="shared" ref="S424" si="125">($Q424/5)*3</f>
        <v>19.200000000000003</v>
      </c>
      <c r="T424" s="72">
        <f t="shared" ref="T424" si="126">($Q424/5)*2</f>
        <v>12.8</v>
      </c>
      <c r="U424" s="72">
        <f t="shared" ref="U424" si="127">($Q424/5)*1</f>
        <v>6.4</v>
      </c>
      <c r="V424" s="72">
        <v>0</v>
      </c>
      <c r="W424" s="72" t="s">
        <v>1435</v>
      </c>
      <c r="X424" s="72" t="s">
        <v>982</v>
      </c>
      <c r="Y424" s="72" t="s">
        <v>982</v>
      </c>
      <c r="Z424" s="80">
        <v>44127</v>
      </c>
    </row>
    <row r="425" spans="1:26" x14ac:dyDescent="0.25">
      <c r="A425" s="68">
        <f t="shared" si="118"/>
        <v>445</v>
      </c>
      <c r="B425" s="69" t="s">
        <v>182</v>
      </c>
      <c r="C425" s="68" t="s">
        <v>2389</v>
      </c>
      <c r="D425" s="68" t="s">
        <v>68</v>
      </c>
      <c r="E425" s="68" t="s">
        <v>886</v>
      </c>
      <c r="F425" s="68" t="s">
        <v>62</v>
      </c>
      <c r="G425" s="68" t="s">
        <v>6</v>
      </c>
      <c r="H425" s="68" t="s">
        <v>888</v>
      </c>
      <c r="I425" s="68">
        <f t="shared" si="109"/>
        <v>1444</v>
      </c>
      <c r="J425" s="68" t="s">
        <v>2393</v>
      </c>
      <c r="K425" s="68" t="s">
        <v>2394</v>
      </c>
      <c r="L425" s="70"/>
      <c r="M425" s="71" t="s">
        <v>980</v>
      </c>
      <c r="N425" s="72" t="s">
        <v>814</v>
      </c>
      <c r="O425" s="68">
        <v>1</v>
      </c>
      <c r="P425" s="69" t="str">
        <f t="shared" si="123"/>
        <v>Balti Sauce-R2 - GFF333R</v>
      </c>
      <c r="Q425" s="72"/>
      <c r="R425" s="72"/>
      <c r="S425" s="72"/>
      <c r="T425" s="72"/>
      <c r="U425" s="72"/>
      <c r="V425" s="72"/>
      <c r="W425" s="72" t="s">
        <v>1435</v>
      </c>
      <c r="X425" s="72" t="s">
        <v>1490</v>
      </c>
      <c r="Y425" s="72">
        <v>2</v>
      </c>
      <c r="Z425" s="80">
        <v>44127</v>
      </c>
    </row>
    <row r="426" spans="1:26" x14ac:dyDescent="0.25">
      <c r="A426" s="68">
        <f t="shared" si="118"/>
        <v>446</v>
      </c>
      <c r="B426" s="69" t="s">
        <v>1697</v>
      </c>
      <c r="C426" s="68" t="s">
        <v>2398</v>
      </c>
      <c r="D426" s="68" t="s">
        <v>2399</v>
      </c>
      <c r="E426" s="68" t="s">
        <v>885</v>
      </c>
      <c r="F426" s="68" t="s">
        <v>13</v>
      </c>
      <c r="G426" s="68" t="s">
        <v>2149</v>
      </c>
      <c r="H426" s="68" t="s">
        <v>888</v>
      </c>
      <c r="I426" s="68">
        <f t="shared" si="109"/>
        <v>1445</v>
      </c>
      <c r="J426" s="68" t="s">
        <v>2400</v>
      </c>
      <c r="K426" s="68" t="s">
        <v>2399</v>
      </c>
      <c r="L426" s="70">
        <v>15</v>
      </c>
      <c r="M426" s="71" t="s">
        <v>980</v>
      </c>
      <c r="N426" s="72" t="s">
        <v>809</v>
      </c>
      <c r="O426" s="68">
        <v>1</v>
      </c>
      <c r="P426" s="69" t="str">
        <f t="shared" si="123"/>
        <v>Vegetable Samosa Bite 15G - FUT001-03 - FUT001-03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 t="s">
        <v>1435</v>
      </c>
      <c r="X426" s="72" t="s">
        <v>1501</v>
      </c>
      <c r="Y426" s="72">
        <v>3</v>
      </c>
      <c r="Z426" s="80" t="s">
        <v>2849</v>
      </c>
    </row>
    <row r="427" spans="1:26" x14ac:dyDescent="0.25">
      <c r="A427" s="68">
        <f t="shared" si="118"/>
        <v>447</v>
      </c>
      <c r="B427" s="69" t="s">
        <v>182</v>
      </c>
      <c r="C427" s="68" t="s">
        <v>2407</v>
      </c>
      <c r="D427" s="68" t="s">
        <v>2408</v>
      </c>
      <c r="E427" s="68" t="s">
        <v>886</v>
      </c>
      <c r="F427" s="68" t="s">
        <v>62</v>
      </c>
      <c r="G427" s="68" t="s">
        <v>6</v>
      </c>
      <c r="H427" s="68" t="s">
        <v>888</v>
      </c>
      <c r="I427" s="68">
        <f t="shared" si="109"/>
        <v>1446</v>
      </c>
      <c r="J427" s="68" t="s">
        <v>2419</v>
      </c>
      <c r="K427" s="68" t="s">
        <v>2408</v>
      </c>
      <c r="L427" s="70"/>
      <c r="M427" s="71" t="s">
        <v>980</v>
      </c>
      <c r="N427" s="72" t="s">
        <v>809</v>
      </c>
      <c r="O427" s="68">
        <v>1</v>
      </c>
      <c r="P427" s="69" t="str">
        <f t="shared" si="123"/>
        <v>Dhansak Sauce - GFF339R</v>
      </c>
      <c r="Q427" s="72"/>
      <c r="R427" s="72"/>
      <c r="S427" s="72"/>
      <c r="T427" s="72"/>
      <c r="U427" s="72"/>
      <c r="V427" s="72"/>
      <c r="W427" s="72" t="s">
        <v>1435</v>
      </c>
      <c r="X427" s="72" t="s">
        <v>1481</v>
      </c>
      <c r="Y427" s="72">
        <v>3</v>
      </c>
      <c r="Z427" s="80">
        <v>44140</v>
      </c>
    </row>
    <row r="428" spans="1:26" x14ac:dyDescent="0.25">
      <c r="A428" s="68">
        <f t="shared" si="118"/>
        <v>448</v>
      </c>
      <c r="B428" s="69" t="s">
        <v>182</v>
      </c>
      <c r="C428" s="68" t="s">
        <v>2409</v>
      </c>
      <c r="D428" s="68" t="s">
        <v>2410</v>
      </c>
      <c r="E428" s="68" t="s">
        <v>886</v>
      </c>
      <c r="F428" s="68" t="s">
        <v>62</v>
      </c>
      <c r="G428" s="68" t="s">
        <v>6</v>
      </c>
      <c r="H428" s="68" t="s">
        <v>888</v>
      </c>
      <c r="I428" s="68">
        <f t="shared" si="109"/>
        <v>1447</v>
      </c>
      <c r="J428" s="68" t="s">
        <v>2420</v>
      </c>
      <c r="K428" s="68" t="s">
        <v>2410</v>
      </c>
      <c r="L428" s="70"/>
      <c r="M428" s="71" t="s">
        <v>980</v>
      </c>
      <c r="N428" s="72" t="s">
        <v>809</v>
      </c>
      <c r="O428" s="68">
        <v>1</v>
      </c>
      <c r="P428" s="69" t="str">
        <f t="shared" si="123"/>
        <v>Ceylon Sauce - GFF340R</v>
      </c>
      <c r="Q428" s="72"/>
      <c r="R428" s="72"/>
      <c r="S428" s="72"/>
      <c r="T428" s="72"/>
      <c r="U428" s="72"/>
      <c r="V428" s="72"/>
      <c r="W428" s="72" t="s">
        <v>1435</v>
      </c>
      <c r="X428" s="72" t="s">
        <v>1808</v>
      </c>
      <c r="Y428" s="72">
        <v>2</v>
      </c>
      <c r="Z428" s="80">
        <v>44140</v>
      </c>
    </row>
    <row r="429" spans="1:26" x14ac:dyDescent="0.25">
      <c r="A429" s="68">
        <f t="shared" si="118"/>
        <v>449</v>
      </c>
      <c r="B429" s="69" t="s">
        <v>182</v>
      </c>
      <c r="C429" s="68" t="s">
        <v>2411</v>
      </c>
      <c r="D429" s="68" t="s">
        <v>2412</v>
      </c>
      <c r="E429" s="68" t="s">
        <v>886</v>
      </c>
      <c r="F429" s="68" t="s">
        <v>62</v>
      </c>
      <c r="G429" s="68" t="s">
        <v>6</v>
      </c>
      <c r="H429" s="68" t="s">
        <v>888</v>
      </c>
      <c r="I429" s="68">
        <f t="shared" si="109"/>
        <v>1448</v>
      </c>
      <c r="J429" s="68" t="s">
        <v>2421</v>
      </c>
      <c r="K429" s="68" t="s">
        <v>2412</v>
      </c>
      <c r="L429" s="70"/>
      <c r="M429" s="71" t="s">
        <v>980</v>
      </c>
      <c r="N429" s="72" t="s">
        <v>809</v>
      </c>
      <c r="O429" s="68">
        <v>1</v>
      </c>
      <c r="P429" s="69" t="str">
        <f t="shared" si="123"/>
        <v>Vegetable Bhuna - GFF337R</v>
      </c>
      <c r="Q429" s="72"/>
      <c r="R429" s="72"/>
      <c r="S429" s="72"/>
      <c r="T429" s="72"/>
      <c r="U429" s="72"/>
      <c r="V429" s="72"/>
      <c r="W429" s="72" t="s">
        <v>1435</v>
      </c>
      <c r="X429" s="72" t="s">
        <v>2436</v>
      </c>
      <c r="Y429" s="72">
        <v>2</v>
      </c>
      <c r="Z429" s="80">
        <v>44140</v>
      </c>
    </row>
    <row r="430" spans="1:26" x14ac:dyDescent="0.25">
      <c r="A430" s="68">
        <f t="shared" si="118"/>
        <v>450</v>
      </c>
      <c r="B430" s="69" t="s">
        <v>182</v>
      </c>
      <c r="C430" s="68" t="s">
        <v>2413</v>
      </c>
      <c r="D430" s="68" t="s">
        <v>2414</v>
      </c>
      <c r="E430" s="68" t="s">
        <v>885</v>
      </c>
      <c r="F430" s="68" t="s">
        <v>51</v>
      </c>
      <c r="G430" s="68" t="s">
        <v>6</v>
      </c>
      <c r="H430" s="68" t="s">
        <v>888</v>
      </c>
      <c r="I430" s="68">
        <f t="shared" si="109"/>
        <v>1449</v>
      </c>
      <c r="J430" s="68" t="s">
        <v>2423</v>
      </c>
      <c r="K430" s="68" t="s">
        <v>2426</v>
      </c>
      <c r="L430" s="70">
        <v>100</v>
      </c>
      <c r="M430" s="71" t="s">
        <v>980</v>
      </c>
      <c r="N430" s="72" t="s">
        <v>814</v>
      </c>
      <c r="O430" s="68">
        <v>700</v>
      </c>
      <c r="P430" s="69" t="str">
        <f t="shared" si="123"/>
        <v>Mushroom Bhaji 100G - GFF338R</v>
      </c>
      <c r="Q430" s="72">
        <v>16</v>
      </c>
      <c r="R430" s="72">
        <f t="shared" ref="R430" si="128">($Q430/5)*4</f>
        <v>12.8</v>
      </c>
      <c r="S430" s="72">
        <f t="shared" ref="S430" si="129">($Q430/5)*3</f>
        <v>9.6000000000000014</v>
      </c>
      <c r="T430" s="72">
        <f t="shared" ref="T430" si="130">($Q430/5)*2</f>
        <v>6.4</v>
      </c>
      <c r="U430" s="72">
        <f t="shared" ref="U430" si="131">($Q430/5)*1</f>
        <v>3.2</v>
      </c>
      <c r="V430" s="72"/>
      <c r="W430" s="72" t="s">
        <v>1435</v>
      </c>
      <c r="X430" s="72" t="s">
        <v>982</v>
      </c>
      <c r="Y430" s="72" t="s">
        <v>982</v>
      </c>
      <c r="Z430" s="80">
        <v>44140</v>
      </c>
    </row>
    <row r="431" spans="1:26" x14ac:dyDescent="0.25">
      <c r="A431" s="68">
        <f t="shared" si="118"/>
        <v>451</v>
      </c>
      <c r="B431" s="69" t="s">
        <v>182</v>
      </c>
      <c r="C431" s="68" t="s">
        <v>2415</v>
      </c>
      <c r="D431" s="68" t="s">
        <v>2416</v>
      </c>
      <c r="E431" s="68" t="s">
        <v>886</v>
      </c>
      <c r="F431" s="68" t="s">
        <v>84</v>
      </c>
      <c r="G431" s="68" t="s">
        <v>6</v>
      </c>
      <c r="H431" s="68" t="s">
        <v>888</v>
      </c>
      <c r="I431" s="68">
        <f t="shared" si="109"/>
        <v>1450</v>
      </c>
      <c r="J431" s="68" t="s">
        <v>2424</v>
      </c>
      <c r="K431" s="68" t="s">
        <v>2416</v>
      </c>
      <c r="L431" s="70"/>
      <c r="M431" s="71" t="s">
        <v>980</v>
      </c>
      <c r="N431" s="72" t="s">
        <v>809</v>
      </c>
      <c r="O431" s="68">
        <v>1</v>
      </c>
      <c r="P431" s="69" t="str">
        <f t="shared" si="123"/>
        <v>Barbacoa Bean (MC) - GFF341R</v>
      </c>
      <c r="Q431" s="72"/>
      <c r="R431" s="72"/>
      <c r="S431" s="72"/>
      <c r="T431" s="72"/>
      <c r="U431" s="72"/>
      <c r="V431" s="72"/>
      <c r="W431" s="72" t="s">
        <v>1435</v>
      </c>
      <c r="X431" s="72" t="s">
        <v>2336</v>
      </c>
      <c r="Y431" s="72">
        <v>3</v>
      </c>
      <c r="Z431" s="80" t="s">
        <v>2639</v>
      </c>
    </row>
    <row r="432" spans="1:26" x14ac:dyDescent="0.25">
      <c r="A432" s="68">
        <f t="shared" ref="A432:A463" si="132">+A431+1</f>
        <v>452</v>
      </c>
      <c r="B432" s="69" t="s">
        <v>182</v>
      </c>
      <c r="C432" s="68" t="s">
        <v>2418</v>
      </c>
      <c r="D432" s="68" t="s">
        <v>2417</v>
      </c>
      <c r="E432" s="68" t="s">
        <v>886</v>
      </c>
      <c r="F432" s="68" t="s">
        <v>84</v>
      </c>
      <c r="G432" s="68" t="s">
        <v>6</v>
      </c>
      <c r="H432" s="68" t="s">
        <v>888</v>
      </c>
      <c r="I432" s="68">
        <f t="shared" si="109"/>
        <v>1451</v>
      </c>
      <c r="J432" s="68" t="s">
        <v>2425</v>
      </c>
      <c r="K432" s="68" t="s">
        <v>2417</v>
      </c>
      <c r="L432" s="70"/>
      <c r="M432" s="71" t="s">
        <v>980</v>
      </c>
      <c r="N432" s="72" t="s">
        <v>809</v>
      </c>
      <c r="O432" s="68">
        <v>1</v>
      </c>
      <c r="P432" s="69" t="str">
        <f t="shared" si="123"/>
        <v>Corn and Red Pepper Brown Rice (MC) - GFF342R</v>
      </c>
      <c r="Q432" s="72"/>
      <c r="R432" s="72"/>
      <c r="S432" s="72"/>
      <c r="T432" s="72"/>
      <c r="U432" s="72"/>
      <c r="V432" s="72"/>
      <c r="W432" s="72" t="s">
        <v>1435</v>
      </c>
      <c r="X432" s="72" t="s">
        <v>982</v>
      </c>
      <c r="Y432" s="72" t="s">
        <v>982</v>
      </c>
      <c r="Z432" s="80" t="s">
        <v>2639</v>
      </c>
    </row>
    <row r="433" spans="1:26" x14ac:dyDescent="0.25">
      <c r="A433" s="68">
        <f t="shared" si="132"/>
        <v>453</v>
      </c>
      <c r="B433" s="69" t="s">
        <v>182</v>
      </c>
      <c r="C433" s="68" t="s">
        <v>2388</v>
      </c>
      <c r="D433" s="68" t="s">
        <v>2390</v>
      </c>
      <c r="E433" s="68" t="s">
        <v>885</v>
      </c>
      <c r="F433" s="68" t="s">
        <v>40</v>
      </c>
      <c r="G433" s="68" t="s">
        <v>6</v>
      </c>
      <c r="H433" s="68" t="s">
        <v>888</v>
      </c>
      <c r="I433" s="68">
        <f t="shared" si="109"/>
        <v>1452</v>
      </c>
      <c r="J433" s="68" t="s">
        <v>2422</v>
      </c>
      <c r="K433" s="68" t="s">
        <v>2427</v>
      </c>
      <c r="L433" s="70">
        <v>100</v>
      </c>
      <c r="M433" s="71" t="s">
        <v>980</v>
      </c>
      <c r="N433" s="72" t="s">
        <v>814</v>
      </c>
      <c r="O433" s="68">
        <v>520</v>
      </c>
      <c r="P433" s="69" t="str">
        <f t="shared" si="123"/>
        <v>Hot &amp; Spicy Onion Bhaji 100G - GFF334R</v>
      </c>
      <c r="Q433" s="72">
        <v>16</v>
      </c>
      <c r="R433" s="72">
        <f t="shared" ref="R433" si="133">($Q433/5)*4</f>
        <v>12.8</v>
      </c>
      <c r="S433" s="72">
        <f t="shared" ref="S433" si="134">($Q433/5)*3</f>
        <v>9.6000000000000014</v>
      </c>
      <c r="T433" s="72">
        <f t="shared" ref="T433" si="135">($Q433/5)*2</f>
        <v>6.4</v>
      </c>
      <c r="U433" s="72">
        <f t="shared" ref="U433" si="136">($Q433/5)*1</f>
        <v>3.2</v>
      </c>
      <c r="V433" s="72">
        <v>0</v>
      </c>
      <c r="W433" s="72" t="s">
        <v>1435</v>
      </c>
      <c r="X433" s="72" t="s">
        <v>982</v>
      </c>
      <c r="Y433" s="72" t="s">
        <v>982</v>
      </c>
      <c r="Z433" s="80">
        <v>44140</v>
      </c>
    </row>
    <row r="434" spans="1:26" x14ac:dyDescent="0.25">
      <c r="A434" s="68">
        <f t="shared" si="132"/>
        <v>454</v>
      </c>
      <c r="B434" s="69" t="s">
        <v>2431</v>
      </c>
      <c r="C434" s="68" t="s">
        <v>2430</v>
      </c>
      <c r="D434" s="68" t="s">
        <v>2428</v>
      </c>
      <c r="E434" s="68" t="s">
        <v>1115</v>
      </c>
      <c r="F434" s="68" t="s">
        <v>56</v>
      </c>
      <c r="G434" s="68" t="s">
        <v>17</v>
      </c>
      <c r="H434" s="68" t="s">
        <v>888</v>
      </c>
      <c r="I434" s="68">
        <f t="shared" si="109"/>
        <v>1453</v>
      </c>
      <c r="J434" s="68" t="s">
        <v>2429</v>
      </c>
      <c r="K434" s="68" t="s">
        <v>2428</v>
      </c>
      <c r="L434" s="70"/>
      <c r="M434" s="71" t="s">
        <v>980</v>
      </c>
      <c r="N434" s="72" t="s">
        <v>809</v>
      </c>
      <c r="O434" s="68">
        <v>1</v>
      </c>
      <c r="P434" s="69" t="str">
        <f t="shared" si="123"/>
        <v>Pickle Slaw Mix 2 "Thick Cut" - GFF1453</v>
      </c>
      <c r="Q434" s="72"/>
      <c r="R434" s="72"/>
      <c r="S434" s="72"/>
      <c r="T434" s="72"/>
      <c r="U434" s="72"/>
      <c r="V434" s="72"/>
      <c r="W434" s="72" t="s">
        <v>1435</v>
      </c>
      <c r="X434" s="72" t="s">
        <v>982</v>
      </c>
      <c r="Y434" s="72" t="s">
        <v>982</v>
      </c>
      <c r="Z434" s="80">
        <v>44140</v>
      </c>
    </row>
    <row r="435" spans="1:26" x14ac:dyDescent="0.25">
      <c r="A435" s="68">
        <f t="shared" si="132"/>
        <v>455</v>
      </c>
      <c r="B435" s="69" t="s">
        <v>182</v>
      </c>
      <c r="C435" s="68" t="s">
        <v>2437</v>
      </c>
      <c r="D435" s="68" t="s">
        <v>2438</v>
      </c>
      <c r="E435" s="68" t="s">
        <v>886</v>
      </c>
      <c r="F435" s="68" t="s">
        <v>56</v>
      </c>
      <c r="G435" s="68" t="s">
        <v>6</v>
      </c>
      <c r="H435" s="68" t="s">
        <v>888</v>
      </c>
      <c r="I435" s="68">
        <f t="shared" si="109"/>
        <v>1454</v>
      </c>
      <c r="J435" s="68" t="s">
        <v>2439</v>
      </c>
      <c r="K435" s="68" t="s">
        <v>2438</v>
      </c>
      <c r="L435" s="70"/>
      <c r="M435" s="71" t="s">
        <v>980</v>
      </c>
      <c r="N435" s="72" t="s">
        <v>814</v>
      </c>
      <c r="O435" s="68">
        <v>1</v>
      </c>
      <c r="P435" s="69" t="str">
        <f t="shared" ref="P435:P466" si="137">K435&amp;" - "&amp; C435</f>
        <v>Chopped Mushrooms - GFF343R</v>
      </c>
      <c r="Q435" s="72"/>
      <c r="R435" s="72"/>
      <c r="S435" s="72"/>
      <c r="T435" s="72"/>
      <c r="U435" s="72"/>
      <c r="V435" s="72"/>
      <c r="W435" s="72" t="s">
        <v>1435</v>
      </c>
      <c r="X435" s="72" t="s">
        <v>982</v>
      </c>
      <c r="Y435" s="72" t="s">
        <v>982</v>
      </c>
      <c r="Z435" s="80">
        <v>44147</v>
      </c>
    </row>
    <row r="436" spans="1:26" x14ac:dyDescent="0.25">
      <c r="A436" s="68">
        <f t="shared" si="132"/>
        <v>456</v>
      </c>
      <c r="B436" s="69" t="s">
        <v>182</v>
      </c>
      <c r="C436" s="68" t="s">
        <v>2441</v>
      </c>
      <c r="D436" s="68" t="s">
        <v>2443</v>
      </c>
      <c r="E436" s="68" t="s">
        <v>130</v>
      </c>
      <c r="F436" s="68" t="s">
        <v>130</v>
      </c>
      <c r="G436" s="68" t="s">
        <v>6</v>
      </c>
      <c r="H436" s="68" t="s">
        <v>888</v>
      </c>
      <c r="I436" s="68">
        <f t="shared" si="109"/>
        <v>1455</v>
      </c>
      <c r="J436" s="68" t="s">
        <v>2442</v>
      </c>
      <c r="K436" s="68" t="s">
        <v>2443</v>
      </c>
      <c r="L436" s="70">
        <v>1</v>
      </c>
      <c r="M436" s="71" t="s">
        <v>980</v>
      </c>
      <c r="N436" s="72" t="s">
        <v>814</v>
      </c>
      <c r="O436" s="68">
        <v>1</v>
      </c>
      <c r="P436" s="69" t="str">
        <f t="shared" si="137"/>
        <v>Sweet Chilli Dip Pot - GFF1455</v>
      </c>
      <c r="Q436" s="72"/>
      <c r="R436" s="72"/>
      <c r="S436" s="72"/>
      <c r="T436" s="72"/>
      <c r="U436" s="72"/>
      <c r="V436" s="72"/>
      <c r="W436" s="72" t="s">
        <v>1435</v>
      </c>
      <c r="X436" s="72" t="s">
        <v>982</v>
      </c>
      <c r="Y436" s="72" t="s">
        <v>982</v>
      </c>
      <c r="Z436" s="80">
        <v>44158</v>
      </c>
    </row>
    <row r="437" spans="1:26" x14ac:dyDescent="0.25">
      <c r="A437" s="68">
        <f t="shared" si="132"/>
        <v>457</v>
      </c>
      <c r="B437" s="69" t="s">
        <v>182</v>
      </c>
      <c r="C437" s="68" t="s">
        <v>1963</v>
      </c>
      <c r="D437" s="68" t="s">
        <v>2029</v>
      </c>
      <c r="E437" s="68" t="s">
        <v>885</v>
      </c>
      <c r="F437" s="68" t="s">
        <v>1840</v>
      </c>
      <c r="G437" s="68" t="s">
        <v>6</v>
      </c>
      <c r="H437" s="68" t="s">
        <v>888</v>
      </c>
      <c r="I437" s="68">
        <f t="shared" si="109"/>
        <v>1456</v>
      </c>
      <c r="J437" s="68" t="s">
        <v>2450</v>
      </c>
      <c r="K437" s="68" t="s">
        <v>2447</v>
      </c>
      <c r="L437" s="70">
        <v>30</v>
      </c>
      <c r="M437" s="71" t="s">
        <v>980</v>
      </c>
      <c r="N437" s="72" t="s">
        <v>809</v>
      </c>
      <c r="O437" s="68">
        <v>1452</v>
      </c>
      <c r="P437" s="69" t="str">
        <f t="shared" si="137"/>
        <v>Courgette Peas &amp; Lemon Fritter 30G - GFF252R</v>
      </c>
      <c r="Q437" s="72">
        <v>29.7</v>
      </c>
      <c r="R437" s="72">
        <f t="shared" ref="R437:R438" si="138">($Q437/5)*4</f>
        <v>23.759999999999998</v>
      </c>
      <c r="S437" s="72">
        <f t="shared" ref="S437:S438" si="139">($Q437/5)*3</f>
        <v>17.82</v>
      </c>
      <c r="T437" s="72">
        <f t="shared" ref="T437:T438" si="140">($Q437/5)*2</f>
        <v>11.879999999999999</v>
      </c>
      <c r="U437" s="72">
        <f t="shared" ref="U437:U438" si="141">($Q437/5)*1</f>
        <v>5.9399999999999995</v>
      </c>
      <c r="V437" s="72"/>
      <c r="W437" s="72" t="s">
        <v>1435</v>
      </c>
      <c r="X437" s="72" t="s">
        <v>982</v>
      </c>
      <c r="Y437" s="72" t="s">
        <v>982</v>
      </c>
      <c r="Z437" s="80">
        <v>44165</v>
      </c>
    </row>
    <row r="438" spans="1:26" x14ac:dyDescent="0.25">
      <c r="A438" s="68">
        <f t="shared" si="132"/>
        <v>458</v>
      </c>
      <c r="B438" s="69" t="s">
        <v>182</v>
      </c>
      <c r="C438" s="68" t="s">
        <v>1965</v>
      </c>
      <c r="D438" s="68" t="s">
        <v>1968</v>
      </c>
      <c r="E438" s="68" t="s">
        <v>885</v>
      </c>
      <c r="F438" s="68" t="s">
        <v>1840</v>
      </c>
      <c r="G438" s="68" t="s">
        <v>6</v>
      </c>
      <c r="H438" s="68" t="s">
        <v>888</v>
      </c>
      <c r="I438" s="68">
        <f t="shared" si="109"/>
        <v>1457</v>
      </c>
      <c r="J438" s="68" t="s">
        <v>2451</v>
      </c>
      <c r="K438" s="68" t="s">
        <v>2449</v>
      </c>
      <c r="L438" s="70">
        <v>30</v>
      </c>
      <c r="M438" s="71" t="s">
        <v>980</v>
      </c>
      <c r="N438" s="72" t="s">
        <v>809</v>
      </c>
      <c r="O438" s="68">
        <v>1650</v>
      </c>
      <c r="P438" s="69" t="str">
        <f t="shared" si="137"/>
        <v>Sweet Potato &amp; Black Bean Fritter 30G - GFF253R</v>
      </c>
      <c r="Q438" s="72">
        <v>26.5</v>
      </c>
      <c r="R438" s="72">
        <f t="shared" si="138"/>
        <v>21.2</v>
      </c>
      <c r="S438" s="72">
        <f t="shared" si="139"/>
        <v>15.899999999999999</v>
      </c>
      <c r="T438" s="72">
        <f t="shared" si="140"/>
        <v>10.6</v>
      </c>
      <c r="U438" s="72">
        <f t="shared" si="141"/>
        <v>5.3</v>
      </c>
      <c r="V438" s="72"/>
      <c r="W438" s="72" t="s">
        <v>1435</v>
      </c>
      <c r="X438" s="72" t="s">
        <v>982</v>
      </c>
      <c r="Y438" s="72" t="s">
        <v>982</v>
      </c>
      <c r="Z438" s="80">
        <v>44165</v>
      </c>
    </row>
    <row r="439" spans="1:26" x14ac:dyDescent="0.25">
      <c r="A439" s="68">
        <f t="shared" si="132"/>
        <v>459</v>
      </c>
      <c r="B439" s="69" t="s">
        <v>182</v>
      </c>
      <c r="C439" s="68" t="s">
        <v>2413</v>
      </c>
      <c r="D439" s="68" t="s">
        <v>2414</v>
      </c>
      <c r="E439" s="68" t="s">
        <v>885</v>
      </c>
      <c r="F439" s="68" t="s">
        <v>51</v>
      </c>
      <c r="G439" s="68" t="s">
        <v>6</v>
      </c>
      <c r="H439" s="68" t="s">
        <v>888</v>
      </c>
      <c r="I439" s="68">
        <f t="shared" si="109"/>
        <v>1458</v>
      </c>
      <c r="J439" s="68" t="s">
        <v>2452</v>
      </c>
      <c r="K439" s="68" t="s">
        <v>2448</v>
      </c>
      <c r="L439" s="70">
        <v>30</v>
      </c>
      <c r="M439" s="71" t="s">
        <v>980</v>
      </c>
      <c r="N439" s="72" t="s">
        <v>814</v>
      </c>
      <c r="O439" s="68">
        <v>2300</v>
      </c>
      <c r="P439" s="69" t="str">
        <f t="shared" si="137"/>
        <v>Mushroom &amp; Onion Fritter 30G - GFF338R</v>
      </c>
      <c r="Q439" s="72">
        <v>40</v>
      </c>
      <c r="R439" s="72">
        <f t="shared" ref="R439" si="142">($Q439/5)*4</f>
        <v>32</v>
      </c>
      <c r="S439" s="72">
        <f t="shared" ref="S439" si="143">($Q439/5)*3</f>
        <v>24</v>
      </c>
      <c r="T439" s="72">
        <f t="shared" ref="T439" si="144">($Q439/5)*2</f>
        <v>16</v>
      </c>
      <c r="U439" s="72">
        <f t="shared" ref="U439" si="145">($Q439/5)*1</f>
        <v>8</v>
      </c>
      <c r="V439" s="72"/>
      <c r="W439" s="72" t="s">
        <v>1435</v>
      </c>
      <c r="X439" s="72" t="s">
        <v>982</v>
      </c>
      <c r="Y439" s="72" t="s">
        <v>982</v>
      </c>
      <c r="Z439" s="80">
        <v>44165</v>
      </c>
    </row>
    <row r="440" spans="1:26" x14ac:dyDescent="0.25">
      <c r="A440" s="68">
        <f t="shared" si="132"/>
        <v>460</v>
      </c>
      <c r="B440" s="69" t="s">
        <v>2456</v>
      </c>
      <c r="C440" s="68" t="s">
        <v>2457</v>
      </c>
      <c r="D440" s="68" t="s">
        <v>863</v>
      </c>
      <c r="E440" s="68" t="s">
        <v>130</v>
      </c>
      <c r="F440" s="68" t="s">
        <v>130</v>
      </c>
      <c r="G440" s="68" t="s">
        <v>17</v>
      </c>
      <c r="H440" s="68" t="s">
        <v>888</v>
      </c>
      <c r="I440" s="68">
        <f t="shared" si="109"/>
        <v>1459</v>
      </c>
      <c r="J440" s="68" t="s">
        <v>2458</v>
      </c>
      <c r="K440" s="68" t="s">
        <v>2459</v>
      </c>
      <c r="L440" s="70">
        <v>1</v>
      </c>
      <c r="M440" s="71" t="s">
        <v>980</v>
      </c>
      <c r="N440" s="72" t="s">
        <v>814</v>
      </c>
      <c r="O440" s="68">
        <v>1</v>
      </c>
      <c r="P440" s="69" t="str">
        <f t="shared" si="137"/>
        <v>30% Yogurt &amp; Mint  - PIQ001-01</v>
      </c>
      <c r="Q440" s="72"/>
      <c r="R440" s="72"/>
      <c r="S440" s="72"/>
      <c r="T440" s="72"/>
      <c r="U440" s="72"/>
      <c r="V440" s="72"/>
      <c r="W440" s="72" t="s">
        <v>1435</v>
      </c>
      <c r="X440" s="72" t="s">
        <v>2460</v>
      </c>
      <c r="Y440" s="72">
        <v>2</v>
      </c>
      <c r="Z440" s="80">
        <v>44223</v>
      </c>
    </row>
    <row r="441" spans="1:26" x14ac:dyDescent="0.25">
      <c r="A441" s="68">
        <f t="shared" si="132"/>
        <v>461</v>
      </c>
      <c r="B441" s="69" t="s">
        <v>182</v>
      </c>
      <c r="C441" s="68" t="s">
        <v>2461</v>
      </c>
      <c r="D441" s="68" t="s">
        <v>2462</v>
      </c>
      <c r="E441" s="68" t="s">
        <v>886</v>
      </c>
      <c r="F441" s="2" t="s">
        <v>1281</v>
      </c>
      <c r="G441" s="68" t="s">
        <v>6</v>
      </c>
      <c r="H441" s="68" t="s">
        <v>888</v>
      </c>
      <c r="I441" s="68">
        <f t="shared" si="109"/>
        <v>1460</v>
      </c>
      <c r="J441" s="68" t="s">
        <v>2463</v>
      </c>
      <c r="K441" s="68" t="s">
        <v>2464</v>
      </c>
      <c r="L441" s="70">
        <v>1</v>
      </c>
      <c r="M441" s="71" t="s">
        <v>979</v>
      </c>
      <c r="N441" s="72" t="s">
        <v>814</v>
      </c>
      <c r="O441" s="68">
        <v>1</v>
      </c>
      <c r="P441" s="69" t="str">
        <f t="shared" si="137"/>
        <v>Marinated King Prawns R2 - GFF344R</v>
      </c>
      <c r="Q441" s="72"/>
      <c r="R441" s="72"/>
      <c r="S441" s="72"/>
      <c r="T441" s="72"/>
      <c r="U441" s="72"/>
      <c r="V441" s="72"/>
      <c r="W441" s="72" t="s">
        <v>1435</v>
      </c>
      <c r="X441" s="72" t="s">
        <v>1618</v>
      </c>
      <c r="Y441" s="72">
        <v>1</v>
      </c>
      <c r="Z441" s="80">
        <v>44223</v>
      </c>
    </row>
    <row r="442" spans="1:26" x14ac:dyDescent="0.25">
      <c r="A442" s="68">
        <f t="shared" si="132"/>
        <v>462</v>
      </c>
      <c r="B442" s="69" t="s">
        <v>182</v>
      </c>
      <c r="C442" s="68" t="s">
        <v>2468</v>
      </c>
      <c r="D442" s="68" t="s">
        <v>2469</v>
      </c>
      <c r="E442" s="68" t="s">
        <v>886</v>
      </c>
      <c r="F442" s="68" t="s">
        <v>62</v>
      </c>
      <c r="G442" s="68" t="s">
        <v>6</v>
      </c>
      <c r="H442" s="68" t="s">
        <v>888</v>
      </c>
      <c r="I442" s="68">
        <f t="shared" ref="I442:I469" si="146">I441+1</f>
        <v>1461</v>
      </c>
      <c r="J442" s="68" t="s">
        <v>2470</v>
      </c>
      <c r="K442" s="68" t="s">
        <v>2469</v>
      </c>
      <c r="L442" s="70">
        <v>1</v>
      </c>
      <c r="M442" s="71" t="s">
        <v>980</v>
      </c>
      <c r="N442" s="72" t="s">
        <v>809</v>
      </c>
      <c r="O442" s="68">
        <v>1</v>
      </c>
      <c r="P442" s="69" t="str">
        <f t="shared" si="137"/>
        <v>Saag Paneer - GFF348R</v>
      </c>
      <c r="Q442" s="72"/>
      <c r="R442" s="72"/>
      <c r="S442" s="72"/>
      <c r="T442" s="72"/>
      <c r="U442" s="72"/>
      <c r="V442" s="72"/>
      <c r="W442" s="72" t="s">
        <v>1435</v>
      </c>
      <c r="X442" s="72" t="s">
        <v>1480</v>
      </c>
      <c r="Y442" s="72">
        <v>2</v>
      </c>
      <c r="Z442" s="80">
        <v>44235</v>
      </c>
    </row>
    <row r="443" spans="1:26" x14ac:dyDescent="0.25">
      <c r="A443" s="68">
        <f t="shared" si="132"/>
        <v>463</v>
      </c>
      <c r="B443" s="69" t="s">
        <v>182</v>
      </c>
      <c r="C443" s="68" t="s">
        <v>2471</v>
      </c>
      <c r="D443" s="68" t="s">
        <v>2474</v>
      </c>
      <c r="E443" s="68" t="s">
        <v>886</v>
      </c>
      <c r="F443" s="68" t="s">
        <v>62</v>
      </c>
      <c r="G443" s="68" t="s">
        <v>6</v>
      </c>
      <c r="H443" s="68" t="s">
        <v>888</v>
      </c>
      <c r="I443" s="68">
        <f t="shared" si="146"/>
        <v>1462</v>
      </c>
      <c r="J443" s="68" t="s">
        <v>2477</v>
      </c>
      <c r="K443" s="68" t="s">
        <v>2474</v>
      </c>
      <c r="L443" s="70">
        <v>1</v>
      </c>
      <c r="M443" s="71" t="s">
        <v>980</v>
      </c>
      <c r="N443" s="72" t="s">
        <v>814</v>
      </c>
      <c r="O443" s="68">
        <v>1</v>
      </c>
      <c r="P443" s="69" t="str">
        <f t="shared" si="137"/>
        <v>Kadai Sauce (CC) - GFF345R</v>
      </c>
      <c r="Q443" s="72"/>
      <c r="R443" s="72"/>
      <c r="S443" s="72"/>
      <c r="T443" s="72"/>
      <c r="U443" s="72"/>
      <c r="V443" s="72"/>
      <c r="W443" s="72" t="s">
        <v>1435</v>
      </c>
      <c r="X443" s="72" t="s">
        <v>1481</v>
      </c>
      <c r="Y443" s="72">
        <v>3</v>
      </c>
      <c r="Z443" s="80">
        <v>44236</v>
      </c>
    </row>
    <row r="444" spans="1:26" x14ac:dyDescent="0.25">
      <c r="A444" s="68">
        <f t="shared" si="132"/>
        <v>464</v>
      </c>
      <c r="B444" s="69" t="s">
        <v>182</v>
      </c>
      <c r="C444" s="68" t="s">
        <v>2472</v>
      </c>
      <c r="D444" s="68" t="s">
        <v>2475</v>
      </c>
      <c r="E444" s="68" t="s">
        <v>886</v>
      </c>
      <c r="F444" s="68" t="s">
        <v>62</v>
      </c>
      <c r="G444" s="68" t="s">
        <v>6</v>
      </c>
      <c r="H444" s="68" t="s">
        <v>888</v>
      </c>
      <c r="I444" s="68">
        <f t="shared" si="146"/>
        <v>1463</v>
      </c>
      <c r="J444" s="68" t="s">
        <v>2478</v>
      </c>
      <c r="K444" s="68" t="s">
        <v>2475</v>
      </c>
      <c r="L444" s="70">
        <v>1</v>
      </c>
      <c r="M444" s="71" t="s">
        <v>979</v>
      </c>
      <c r="N444" s="72" t="s">
        <v>814</v>
      </c>
      <c r="O444" s="68">
        <v>1</v>
      </c>
      <c r="P444" s="69" t="str">
        <f t="shared" si="137"/>
        <v>Spicy Chicken Tikka (CC) - GFF346R</v>
      </c>
      <c r="Q444" s="72"/>
      <c r="R444" s="72"/>
      <c r="S444" s="72"/>
      <c r="T444" s="72"/>
      <c r="U444" s="72"/>
      <c r="V444" s="72"/>
      <c r="W444" s="72" t="s">
        <v>1435</v>
      </c>
      <c r="X444" s="72" t="s">
        <v>1480</v>
      </c>
      <c r="Y444" s="72">
        <v>2</v>
      </c>
      <c r="Z444" s="80">
        <v>44236</v>
      </c>
    </row>
    <row r="445" spans="1:26" x14ac:dyDescent="0.25">
      <c r="A445" s="68">
        <f t="shared" si="132"/>
        <v>465</v>
      </c>
      <c r="B445" s="69" t="s">
        <v>182</v>
      </c>
      <c r="C445" s="68" t="s">
        <v>2473</v>
      </c>
      <c r="D445" s="68" t="s">
        <v>2476</v>
      </c>
      <c r="E445" s="68" t="s">
        <v>886</v>
      </c>
      <c r="F445" s="68" t="s">
        <v>62</v>
      </c>
      <c r="G445" s="68" t="s">
        <v>6</v>
      </c>
      <c r="H445" s="68" t="s">
        <v>888</v>
      </c>
      <c r="I445" s="68">
        <f t="shared" si="146"/>
        <v>1464</v>
      </c>
      <c r="J445" s="68" t="s">
        <v>2479</v>
      </c>
      <c r="K445" s="68" t="s">
        <v>2476</v>
      </c>
      <c r="L445" s="70">
        <v>1</v>
      </c>
      <c r="M445" s="71" t="s">
        <v>980</v>
      </c>
      <c r="N445" s="72" t="s">
        <v>814</v>
      </c>
      <c r="O445" s="68">
        <v>1</v>
      </c>
      <c r="P445" s="69" t="str">
        <f t="shared" si="137"/>
        <v>Fried Vegetables (CC) - GFF347R</v>
      </c>
      <c r="Q445" s="72"/>
      <c r="R445" s="72"/>
      <c r="S445" s="72"/>
      <c r="T445" s="72"/>
      <c r="U445" s="72"/>
      <c r="V445" s="72"/>
      <c r="W445" s="72" t="s">
        <v>1435</v>
      </c>
      <c r="X445" s="72" t="s">
        <v>982</v>
      </c>
      <c r="Y445" s="72" t="s">
        <v>982</v>
      </c>
      <c r="Z445" s="80">
        <v>44236</v>
      </c>
    </row>
    <row r="446" spans="1:26" x14ac:dyDescent="0.25">
      <c r="A446" s="68">
        <f t="shared" si="132"/>
        <v>466</v>
      </c>
      <c r="B446" s="69" t="s">
        <v>182</v>
      </c>
      <c r="C446" s="68" t="s">
        <v>2483</v>
      </c>
      <c r="D446" s="68" t="s">
        <v>2484</v>
      </c>
      <c r="E446" s="68" t="s">
        <v>885</v>
      </c>
      <c r="F446" s="68" t="s">
        <v>56</v>
      </c>
      <c r="G446" s="68" t="s">
        <v>6</v>
      </c>
      <c r="H446" s="68" t="s">
        <v>888</v>
      </c>
      <c r="I446" s="68">
        <f t="shared" si="146"/>
        <v>1465</v>
      </c>
      <c r="J446" s="68" t="s">
        <v>2493</v>
      </c>
      <c r="K446" s="68" t="s">
        <v>2494</v>
      </c>
      <c r="L446" s="70">
        <v>32.5</v>
      </c>
      <c r="M446" s="71" t="s">
        <v>980</v>
      </c>
      <c r="N446" s="72" t="s">
        <v>814</v>
      </c>
      <c r="O446" s="68">
        <v>525</v>
      </c>
      <c r="P446" s="69" t="str">
        <f t="shared" si="137"/>
        <v>Spinach &amp; Feta Parcel 32.5G - GFF350R</v>
      </c>
      <c r="Q446" s="72">
        <v>40</v>
      </c>
      <c r="R446" s="72">
        <f t="shared" ref="R446" si="147">($Q446/5)*4</f>
        <v>32</v>
      </c>
      <c r="S446" s="72">
        <f t="shared" ref="S446" si="148">($Q446/5)*3</f>
        <v>24</v>
      </c>
      <c r="T446" s="72">
        <f t="shared" ref="T446" si="149">($Q446/5)*2</f>
        <v>16</v>
      </c>
      <c r="U446" s="72">
        <f t="shared" ref="U446" si="150">($Q446/5)*1</f>
        <v>8</v>
      </c>
      <c r="V446" s="72"/>
      <c r="W446" s="72" t="s">
        <v>1435</v>
      </c>
      <c r="X446" s="72" t="s">
        <v>1500</v>
      </c>
      <c r="Y446" s="72">
        <v>2</v>
      </c>
      <c r="Z446" s="80">
        <v>44278</v>
      </c>
    </row>
    <row r="447" spans="1:26" x14ac:dyDescent="0.25">
      <c r="A447" s="68">
        <f t="shared" si="132"/>
        <v>467</v>
      </c>
      <c r="B447" s="69" t="s">
        <v>182</v>
      </c>
      <c r="C447" s="68" t="s">
        <v>2485</v>
      </c>
      <c r="D447" s="68" t="s">
        <v>2486</v>
      </c>
      <c r="E447" s="68" t="s">
        <v>886</v>
      </c>
      <c r="F447" s="68" t="s">
        <v>56</v>
      </c>
      <c r="G447" s="68" t="s">
        <v>6</v>
      </c>
      <c r="H447" s="68" t="s">
        <v>888</v>
      </c>
      <c r="I447" s="68">
        <f t="shared" si="146"/>
        <v>1466</v>
      </c>
      <c r="J447" s="68" t="s">
        <v>2495</v>
      </c>
      <c r="K447" s="68" t="s">
        <v>2486</v>
      </c>
      <c r="L447" s="70">
        <v>1</v>
      </c>
      <c r="M447" s="71" t="s">
        <v>980</v>
      </c>
      <c r="N447" s="72" t="s">
        <v>814</v>
      </c>
      <c r="O447" s="68">
        <v>1</v>
      </c>
      <c r="P447" s="69" t="str">
        <f t="shared" si="137"/>
        <v>Spinach &amp; Feta Parcel Filling - GFF349R</v>
      </c>
      <c r="Q447" s="72"/>
      <c r="R447" s="72"/>
      <c r="S447" s="72"/>
      <c r="T447" s="72"/>
      <c r="U447" s="72"/>
      <c r="V447" s="72"/>
      <c r="W447" s="72" t="s">
        <v>1435</v>
      </c>
      <c r="X447" s="72" t="s">
        <v>1480</v>
      </c>
      <c r="Y447" s="72">
        <v>2</v>
      </c>
      <c r="Z447" s="80">
        <v>44278</v>
      </c>
    </row>
    <row r="448" spans="1:26" x14ac:dyDescent="0.25">
      <c r="A448" s="68">
        <f t="shared" si="132"/>
        <v>468</v>
      </c>
      <c r="B448" s="69" t="s">
        <v>182</v>
      </c>
      <c r="C448" s="68" t="s">
        <v>2487</v>
      </c>
      <c r="D448" s="68" t="s">
        <v>2892</v>
      </c>
      <c r="E448" s="68" t="s">
        <v>886</v>
      </c>
      <c r="F448" s="68" t="s">
        <v>128</v>
      </c>
      <c r="G448" s="68" t="s">
        <v>6</v>
      </c>
      <c r="H448" s="68" t="s">
        <v>888</v>
      </c>
      <c r="I448" s="68">
        <f t="shared" si="146"/>
        <v>1467</v>
      </c>
      <c r="J448" s="68" t="s">
        <v>2496</v>
      </c>
      <c r="K448" s="68" t="s">
        <v>2892</v>
      </c>
      <c r="L448" s="70">
        <v>1</v>
      </c>
      <c r="M448" s="71" t="s">
        <v>980</v>
      </c>
      <c r="N448" s="72" t="s">
        <v>809</v>
      </c>
      <c r="O448" s="68">
        <v>58</v>
      </c>
      <c r="P448" s="69" t="str">
        <f t="shared" si="137"/>
        <v>Thigh Chicken Tikka (JO) - GFF355R</v>
      </c>
      <c r="Q448" s="72"/>
      <c r="R448" s="72"/>
      <c r="S448" s="72"/>
      <c r="T448" s="72"/>
      <c r="U448" s="72"/>
      <c r="V448" s="72"/>
      <c r="W448" s="72" t="s">
        <v>1435</v>
      </c>
      <c r="X448" s="72" t="s">
        <v>1480</v>
      </c>
      <c r="Y448" s="72">
        <v>2</v>
      </c>
      <c r="Z448" s="80">
        <v>44278</v>
      </c>
    </row>
    <row r="449" spans="1:26" x14ac:dyDescent="0.25">
      <c r="A449" s="68">
        <f t="shared" si="132"/>
        <v>469</v>
      </c>
      <c r="B449" s="69" t="s">
        <v>182</v>
      </c>
      <c r="C449" s="68" t="s">
        <v>2488</v>
      </c>
      <c r="D449" s="68" t="s">
        <v>2489</v>
      </c>
      <c r="E449" s="68" t="s">
        <v>886</v>
      </c>
      <c r="F449" s="68" t="s">
        <v>56</v>
      </c>
      <c r="G449" s="68" t="s">
        <v>17</v>
      </c>
      <c r="H449" s="68" t="s">
        <v>888</v>
      </c>
      <c r="I449" s="68">
        <f t="shared" si="146"/>
        <v>1468</v>
      </c>
      <c r="J449" s="68" t="s">
        <v>2497</v>
      </c>
      <c r="K449" s="68" t="s">
        <v>2498</v>
      </c>
      <c r="L449" s="70">
        <v>1</v>
      </c>
      <c r="M449" s="71" t="s">
        <v>980</v>
      </c>
      <c r="N449" s="72" t="s">
        <v>809</v>
      </c>
      <c r="O449" s="68">
        <v>1</v>
      </c>
      <c r="P449" s="69" t="str">
        <f t="shared" si="137"/>
        <v>Spinach Baby Leaves (RTE) - GFF1468</v>
      </c>
      <c r="Q449" s="72"/>
      <c r="R449" s="72"/>
      <c r="S449" s="72"/>
      <c r="T449" s="72"/>
      <c r="U449" s="72"/>
      <c r="V449" s="72"/>
      <c r="W449" s="72" t="s">
        <v>1435</v>
      </c>
      <c r="X449" s="72" t="s">
        <v>982</v>
      </c>
      <c r="Y449" s="72" t="s">
        <v>982</v>
      </c>
      <c r="Z449" s="80">
        <v>44278</v>
      </c>
    </row>
    <row r="450" spans="1:26" x14ac:dyDescent="0.25">
      <c r="A450" s="68">
        <f t="shared" si="132"/>
        <v>470</v>
      </c>
      <c r="B450" s="69" t="s">
        <v>182</v>
      </c>
      <c r="C450" s="68" t="s">
        <v>2503</v>
      </c>
      <c r="D450" s="68" t="s">
        <v>2504</v>
      </c>
      <c r="E450" s="68" t="s">
        <v>886</v>
      </c>
      <c r="F450" s="68" t="s">
        <v>56</v>
      </c>
      <c r="G450" s="68" t="s">
        <v>6</v>
      </c>
      <c r="H450" s="68" t="s">
        <v>888</v>
      </c>
      <c r="I450" s="68">
        <f t="shared" si="146"/>
        <v>1469</v>
      </c>
      <c r="J450" s="68" t="s">
        <v>2505</v>
      </c>
      <c r="K450" s="68" t="s">
        <v>2499</v>
      </c>
      <c r="L450" s="70">
        <v>1</v>
      </c>
      <c r="M450" s="71" t="s">
        <v>980</v>
      </c>
      <c r="N450" s="72" t="s">
        <v>809</v>
      </c>
      <c r="O450" s="68">
        <v>1</v>
      </c>
      <c r="P450" s="69" t="str">
        <f t="shared" si="137"/>
        <v>Mixed Seeds - GFF354R</v>
      </c>
      <c r="Q450" s="72"/>
      <c r="R450" s="72"/>
      <c r="S450" s="72"/>
      <c r="T450" s="72"/>
      <c r="U450" s="72"/>
      <c r="V450" s="72"/>
      <c r="W450" s="72" t="s">
        <v>1435</v>
      </c>
      <c r="X450" s="72" t="s">
        <v>982</v>
      </c>
      <c r="Y450" s="72" t="s">
        <v>982</v>
      </c>
      <c r="Z450" s="80">
        <v>44278</v>
      </c>
    </row>
    <row r="451" spans="1:26" x14ac:dyDescent="0.25">
      <c r="A451" s="68">
        <f t="shared" si="132"/>
        <v>471</v>
      </c>
      <c r="B451" s="69" t="s">
        <v>182</v>
      </c>
      <c r="C451" s="68" t="s">
        <v>2490</v>
      </c>
      <c r="D451" s="68" t="s">
        <v>2491</v>
      </c>
      <c r="E451" s="68" t="s">
        <v>885</v>
      </c>
      <c r="F451" s="68" t="s">
        <v>2492</v>
      </c>
      <c r="G451" s="68" t="s">
        <v>17</v>
      </c>
      <c r="H451" s="68" t="s">
        <v>888</v>
      </c>
      <c r="I451" s="68">
        <f t="shared" si="146"/>
        <v>1470</v>
      </c>
      <c r="J451" s="68" t="s">
        <v>2500</v>
      </c>
      <c r="K451" s="68" t="s">
        <v>2502</v>
      </c>
      <c r="L451" s="70">
        <v>42</v>
      </c>
      <c r="M451" s="71" t="s">
        <v>980</v>
      </c>
      <c r="N451" s="72" t="s">
        <v>814</v>
      </c>
      <c r="O451" s="68">
        <v>1</v>
      </c>
      <c r="P451" s="69" t="str">
        <f t="shared" si="137"/>
        <v>Medium Grd 3 HBE Eggs 42G - GFF1470</v>
      </c>
      <c r="Q451" s="72"/>
      <c r="R451" s="72"/>
      <c r="S451" s="72"/>
      <c r="T451" s="72"/>
      <c r="U451" s="72"/>
      <c r="V451" s="72"/>
      <c r="W451" s="72" t="s">
        <v>1435</v>
      </c>
      <c r="X451" s="72" t="s">
        <v>1497</v>
      </c>
      <c r="Y451" s="72">
        <v>2</v>
      </c>
      <c r="Z451" s="80">
        <v>44278</v>
      </c>
    </row>
    <row r="452" spans="1:26" x14ac:dyDescent="0.25">
      <c r="A452" s="68">
        <f t="shared" si="132"/>
        <v>472</v>
      </c>
      <c r="B452" s="69" t="s">
        <v>182</v>
      </c>
      <c r="C452" s="68" t="s">
        <v>2507</v>
      </c>
      <c r="D452" s="68" t="s">
        <v>2508</v>
      </c>
      <c r="E452" s="68" t="s">
        <v>886</v>
      </c>
      <c r="F452" s="68" t="s">
        <v>62</v>
      </c>
      <c r="G452" s="68" t="s">
        <v>6</v>
      </c>
      <c r="H452" s="68" t="s">
        <v>888</v>
      </c>
      <c r="I452" s="68">
        <f t="shared" si="146"/>
        <v>1471</v>
      </c>
      <c r="J452" s="68" t="s">
        <v>2528</v>
      </c>
      <c r="K452" s="68" t="s">
        <v>2508</v>
      </c>
      <c r="L452" s="70"/>
      <c r="M452" s="71" t="s">
        <v>980</v>
      </c>
      <c r="N452" s="72" t="s">
        <v>814</v>
      </c>
      <c r="O452" s="68">
        <v>1</v>
      </c>
      <c r="P452" s="69" t="str">
        <f t="shared" si="137"/>
        <v>Cashew Satay Sauce (MC) - GFF356R</v>
      </c>
      <c r="Q452" s="72"/>
      <c r="R452" s="72"/>
      <c r="S452" s="72"/>
      <c r="T452" s="72"/>
      <c r="U452" s="72"/>
      <c r="V452" s="72"/>
      <c r="W452" s="72" t="s">
        <v>1435</v>
      </c>
      <c r="X452" s="72" t="s">
        <v>2538</v>
      </c>
      <c r="Y452" s="72">
        <v>1</v>
      </c>
      <c r="Z452" s="80">
        <v>44295</v>
      </c>
    </row>
    <row r="453" spans="1:26" x14ac:dyDescent="0.25">
      <c r="A453" s="68">
        <f t="shared" si="132"/>
        <v>473</v>
      </c>
      <c r="B453" s="69" t="s">
        <v>182</v>
      </c>
      <c r="C453" s="68" t="s">
        <v>2509</v>
      </c>
      <c r="D453" s="68" t="s">
        <v>2510</v>
      </c>
      <c r="E453" s="68" t="s">
        <v>886</v>
      </c>
      <c r="F453" s="68" t="s">
        <v>128</v>
      </c>
      <c r="G453" s="68" t="s">
        <v>6</v>
      </c>
      <c r="H453" s="68" t="s">
        <v>888</v>
      </c>
      <c r="I453" s="68">
        <f t="shared" si="146"/>
        <v>1472</v>
      </c>
      <c r="J453" s="68" t="s">
        <v>2529</v>
      </c>
      <c r="K453" s="68" t="s">
        <v>2510</v>
      </c>
      <c r="L453" s="70"/>
      <c r="M453" s="71" t="s">
        <v>979</v>
      </c>
      <c r="N453" s="72" t="s">
        <v>814</v>
      </c>
      <c r="O453" s="68">
        <v>1</v>
      </c>
      <c r="P453" s="69" t="str">
        <f t="shared" si="137"/>
        <v>Mindful Chef Cooked Chicken  - GFF357R</v>
      </c>
      <c r="Q453" s="72"/>
      <c r="R453" s="72"/>
      <c r="S453" s="72"/>
      <c r="T453" s="72"/>
      <c r="U453" s="72"/>
      <c r="V453" s="72"/>
      <c r="W453" s="72" t="s">
        <v>1435</v>
      </c>
      <c r="X453" s="72" t="s">
        <v>982</v>
      </c>
      <c r="Y453" s="72" t="s">
        <v>982</v>
      </c>
      <c r="Z453" s="80">
        <v>44295</v>
      </c>
    </row>
    <row r="454" spans="1:26" x14ac:dyDescent="0.25">
      <c r="A454" s="68">
        <f t="shared" si="132"/>
        <v>474</v>
      </c>
      <c r="B454" s="69" t="s">
        <v>182</v>
      </c>
      <c r="C454" s="68" t="s">
        <v>2511</v>
      </c>
      <c r="D454" s="68" t="s">
        <v>2512</v>
      </c>
      <c r="E454" s="68" t="s">
        <v>886</v>
      </c>
      <c r="F454" s="68" t="s">
        <v>84</v>
      </c>
      <c r="G454" s="68" t="s">
        <v>6</v>
      </c>
      <c r="H454" s="68" t="s">
        <v>888</v>
      </c>
      <c r="I454" s="68">
        <f t="shared" si="146"/>
        <v>1473</v>
      </c>
      <c r="J454" s="68" t="s">
        <v>2531</v>
      </c>
      <c r="K454" s="68" t="s">
        <v>2512</v>
      </c>
      <c r="L454" s="70"/>
      <c r="M454" s="71" t="s">
        <v>980</v>
      </c>
      <c r="N454" s="72" t="s">
        <v>814</v>
      </c>
      <c r="O454" s="68">
        <v>1</v>
      </c>
      <c r="P454" s="69" t="str">
        <f t="shared" si="137"/>
        <v>Barbacoa Sauce (MC) - GFF359R</v>
      </c>
      <c r="Q454" s="72"/>
      <c r="R454" s="72"/>
      <c r="S454" s="72"/>
      <c r="T454" s="72"/>
      <c r="U454" s="72"/>
      <c r="V454" s="72"/>
      <c r="W454" s="72" t="s">
        <v>1435</v>
      </c>
      <c r="X454" s="72" t="s">
        <v>982</v>
      </c>
      <c r="Y454" s="72" t="s">
        <v>982</v>
      </c>
      <c r="Z454" s="80">
        <v>43746</v>
      </c>
    </row>
    <row r="455" spans="1:26" x14ac:dyDescent="0.25">
      <c r="A455" s="68">
        <f t="shared" si="132"/>
        <v>475</v>
      </c>
      <c r="B455" s="69" t="s">
        <v>182</v>
      </c>
      <c r="C455" s="68" t="s">
        <v>2513</v>
      </c>
      <c r="D455" s="68" t="s">
        <v>2514</v>
      </c>
      <c r="E455" s="68" t="s">
        <v>886</v>
      </c>
      <c r="F455" s="68" t="s">
        <v>1414</v>
      </c>
      <c r="G455" s="68" t="s">
        <v>6</v>
      </c>
      <c r="H455" s="68" t="s">
        <v>888</v>
      </c>
      <c r="I455" s="68">
        <f t="shared" si="146"/>
        <v>1474</v>
      </c>
      <c r="J455" s="68" t="s">
        <v>2530</v>
      </c>
      <c r="K455" s="68" t="s">
        <v>2514</v>
      </c>
      <c r="L455" s="70"/>
      <c r="M455" s="71" t="s">
        <v>979</v>
      </c>
      <c r="N455" s="72" t="s">
        <v>814</v>
      </c>
      <c r="O455" s="68">
        <v>1</v>
      </c>
      <c r="P455" s="69" t="str">
        <f t="shared" si="137"/>
        <v>Cooked Beef Chuck (MC) - GFF360R</v>
      </c>
      <c r="Q455" s="72"/>
      <c r="R455" s="72"/>
      <c r="S455" s="72"/>
      <c r="T455" s="72"/>
      <c r="U455" s="72"/>
      <c r="V455" s="72"/>
      <c r="W455" s="72" t="s">
        <v>1435</v>
      </c>
      <c r="X455" s="72" t="s">
        <v>982</v>
      </c>
      <c r="Y455" s="72" t="s">
        <v>982</v>
      </c>
      <c r="Z455" s="80">
        <v>44295</v>
      </c>
    </row>
    <row r="456" spans="1:26" x14ac:dyDescent="0.25">
      <c r="A456" s="68">
        <f t="shared" si="132"/>
        <v>476</v>
      </c>
      <c r="B456" s="69" t="s">
        <v>182</v>
      </c>
      <c r="C456" s="68" t="s">
        <v>2515</v>
      </c>
      <c r="D456" s="68" t="s">
        <v>2516</v>
      </c>
      <c r="E456" s="68" t="s">
        <v>886</v>
      </c>
      <c r="F456" s="68" t="s">
        <v>56</v>
      </c>
      <c r="G456" s="68" t="s">
        <v>6</v>
      </c>
      <c r="H456" s="68" t="s">
        <v>888</v>
      </c>
      <c r="I456" s="68">
        <f t="shared" si="146"/>
        <v>1475</v>
      </c>
      <c r="J456" s="68" t="s">
        <v>2532</v>
      </c>
      <c r="K456" s="68" t="s">
        <v>2516</v>
      </c>
      <c r="L456" s="70"/>
      <c r="M456" s="71" t="s">
        <v>980</v>
      </c>
      <c r="N456" s="72" t="s">
        <v>814</v>
      </c>
      <c r="O456" s="68">
        <v>1</v>
      </c>
      <c r="P456" s="69" t="str">
        <f t="shared" si="137"/>
        <v>Steamed Sweetcorn (MC) - GFF361R</v>
      </c>
      <c r="Q456" s="72"/>
      <c r="R456" s="72"/>
      <c r="S456" s="72"/>
      <c r="T456" s="72"/>
      <c r="U456" s="72"/>
      <c r="V456" s="72"/>
      <c r="W456" s="72" t="s">
        <v>1435</v>
      </c>
      <c r="X456" s="72" t="s">
        <v>982</v>
      </c>
      <c r="Y456" s="72" t="s">
        <v>982</v>
      </c>
      <c r="Z456" s="80">
        <v>44295</v>
      </c>
    </row>
    <row r="457" spans="1:26" x14ac:dyDescent="0.25">
      <c r="A457" s="68">
        <f t="shared" si="132"/>
        <v>477</v>
      </c>
      <c r="B457" s="69" t="s">
        <v>182</v>
      </c>
      <c r="C457" s="68" t="s">
        <v>2517</v>
      </c>
      <c r="D457" s="68" t="s">
        <v>2518</v>
      </c>
      <c r="E457" s="68" t="s">
        <v>886</v>
      </c>
      <c r="F457" s="68" t="s">
        <v>56</v>
      </c>
      <c r="G457" s="68" t="s">
        <v>6</v>
      </c>
      <c r="H457" s="68" t="s">
        <v>888</v>
      </c>
      <c r="I457" s="68">
        <f t="shared" si="146"/>
        <v>1476</v>
      </c>
      <c r="J457" s="68" t="s">
        <v>2533</v>
      </c>
      <c r="K457" s="68" t="s">
        <v>2518</v>
      </c>
      <c r="L457" s="70"/>
      <c r="M457" s="71" t="s">
        <v>980</v>
      </c>
      <c r="N457" s="72" t="s">
        <v>814</v>
      </c>
      <c r="O457" s="68">
        <v>1</v>
      </c>
      <c r="P457" s="69" t="str">
        <f t="shared" si="137"/>
        <v>Keralan Curry Sauce (MC) - GFF362R</v>
      </c>
      <c r="Q457" s="72"/>
      <c r="R457" s="72"/>
      <c r="S457" s="72"/>
      <c r="T457" s="72"/>
      <c r="U457" s="72"/>
      <c r="V457" s="72"/>
      <c r="W457" s="72" t="s">
        <v>1435</v>
      </c>
      <c r="X457" s="72" t="s">
        <v>1808</v>
      </c>
      <c r="Y457" s="72">
        <v>2</v>
      </c>
      <c r="Z457" s="80">
        <v>43746</v>
      </c>
    </row>
    <row r="458" spans="1:26" x14ac:dyDescent="0.25">
      <c r="A458" s="68">
        <f t="shared" si="132"/>
        <v>478</v>
      </c>
      <c r="B458" s="69" t="s">
        <v>182</v>
      </c>
      <c r="C458" s="68" t="s">
        <v>2519</v>
      </c>
      <c r="D458" s="68" t="s">
        <v>2520</v>
      </c>
      <c r="E458" s="68" t="s">
        <v>886</v>
      </c>
      <c r="F458" s="68" t="s">
        <v>1483</v>
      </c>
      <c r="G458" s="68" t="s">
        <v>6</v>
      </c>
      <c r="H458" s="68" t="s">
        <v>888</v>
      </c>
      <c r="I458" s="68">
        <f t="shared" si="146"/>
        <v>1477</v>
      </c>
      <c r="J458" s="68" t="s">
        <v>2534</v>
      </c>
      <c r="K458" s="68" t="s">
        <v>2520</v>
      </c>
      <c r="L458" s="70"/>
      <c r="M458" s="71" t="s">
        <v>979</v>
      </c>
      <c r="N458" s="72" t="s">
        <v>814</v>
      </c>
      <c r="O458" s="68">
        <v>1</v>
      </c>
      <c r="P458" s="69" t="str">
        <f t="shared" si="137"/>
        <v>Steamed Cod (MC) - GFF363R</v>
      </c>
      <c r="Q458" s="72"/>
      <c r="R458" s="72"/>
      <c r="S458" s="72"/>
      <c r="T458" s="72"/>
      <c r="U458" s="72"/>
      <c r="V458" s="72"/>
      <c r="W458" s="72" t="s">
        <v>1435</v>
      </c>
      <c r="X458" s="72" t="s">
        <v>1483</v>
      </c>
      <c r="Y458" s="72">
        <v>1</v>
      </c>
      <c r="Z458" s="80">
        <v>44295</v>
      </c>
    </row>
    <row r="459" spans="1:26" x14ac:dyDescent="0.25">
      <c r="A459" s="68">
        <f t="shared" si="132"/>
        <v>479</v>
      </c>
      <c r="B459" s="69" t="s">
        <v>182</v>
      </c>
      <c r="C459" s="68" t="s">
        <v>2521</v>
      </c>
      <c r="D459" s="68" t="s">
        <v>2522</v>
      </c>
      <c r="E459" s="68" t="s">
        <v>886</v>
      </c>
      <c r="F459" s="68" t="s">
        <v>2527</v>
      </c>
      <c r="G459" s="68" t="s">
        <v>6</v>
      </c>
      <c r="H459" s="68" t="s">
        <v>888</v>
      </c>
      <c r="I459" s="68">
        <f t="shared" si="146"/>
        <v>1478</v>
      </c>
      <c r="J459" s="68" t="s">
        <v>2535</v>
      </c>
      <c r="K459" s="68" t="s">
        <v>2522</v>
      </c>
      <c r="L459" s="70"/>
      <c r="M459" s="71" t="s">
        <v>980</v>
      </c>
      <c r="N459" s="72" t="s">
        <v>814</v>
      </c>
      <c r="O459" s="68">
        <v>1</v>
      </c>
      <c r="P459" s="69" t="str">
        <f t="shared" si="137"/>
        <v>Mediterranean Sauce (MC) - GFF364R</v>
      </c>
      <c r="Q459" s="72"/>
      <c r="R459" s="72"/>
      <c r="S459" s="72"/>
      <c r="T459" s="72"/>
      <c r="U459" s="72"/>
      <c r="V459" s="72"/>
      <c r="W459" s="72" t="s">
        <v>1435</v>
      </c>
      <c r="X459" s="72" t="s">
        <v>982</v>
      </c>
      <c r="Y459" s="72" t="s">
        <v>982</v>
      </c>
      <c r="Z459" s="80">
        <v>44295</v>
      </c>
    </row>
    <row r="460" spans="1:26" x14ac:dyDescent="0.25">
      <c r="A460" s="68">
        <f t="shared" si="132"/>
        <v>480</v>
      </c>
      <c r="B460" s="69" t="s">
        <v>182</v>
      </c>
      <c r="C460" s="68" t="s">
        <v>2523</v>
      </c>
      <c r="D460" s="68" t="s">
        <v>2524</v>
      </c>
      <c r="E460" s="68" t="s">
        <v>886</v>
      </c>
      <c r="F460" s="68" t="s">
        <v>1483</v>
      </c>
      <c r="G460" s="68" t="s">
        <v>6</v>
      </c>
      <c r="H460" s="68" t="s">
        <v>888</v>
      </c>
      <c r="I460" s="68">
        <f t="shared" si="146"/>
        <v>1479</v>
      </c>
      <c r="J460" s="68" t="s">
        <v>2536</v>
      </c>
      <c r="K460" s="68" t="s">
        <v>2524</v>
      </c>
      <c r="L460" s="70"/>
      <c r="M460" s="71" t="s">
        <v>979</v>
      </c>
      <c r="N460" s="72" t="s">
        <v>814</v>
      </c>
      <c r="O460" s="68">
        <v>1</v>
      </c>
      <c r="P460" s="69" t="str">
        <f t="shared" si="137"/>
        <v>Pesto Salmon (MC) - GFF365R</v>
      </c>
      <c r="Q460" s="72"/>
      <c r="R460" s="72"/>
      <c r="S460" s="72"/>
      <c r="T460" s="72"/>
      <c r="U460" s="72"/>
      <c r="V460" s="72"/>
      <c r="W460" s="72" t="s">
        <v>1435</v>
      </c>
      <c r="X460" s="72" t="s">
        <v>2539</v>
      </c>
      <c r="Y460" s="72">
        <v>1</v>
      </c>
      <c r="Z460" s="80">
        <v>44295</v>
      </c>
    </row>
    <row r="461" spans="1:26" x14ac:dyDescent="0.25">
      <c r="A461" s="68">
        <f t="shared" si="132"/>
        <v>481</v>
      </c>
      <c r="B461" s="69" t="s">
        <v>182</v>
      </c>
      <c r="C461" s="68" t="s">
        <v>2525</v>
      </c>
      <c r="D461" s="68" t="s">
        <v>2526</v>
      </c>
      <c r="E461" s="68" t="s">
        <v>886</v>
      </c>
      <c r="F461" s="68" t="s">
        <v>56</v>
      </c>
      <c r="G461" s="68" t="s">
        <v>6</v>
      </c>
      <c r="H461" s="68" t="s">
        <v>888</v>
      </c>
      <c r="I461" s="68">
        <f t="shared" si="146"/>
        <v>1480</v>
      </c>
      <c r="J461" s="68" t="s">
        <v>2537</v>
      </c>
      <c r="K461" s="68" t="s">
        <v>2526</v>
      </c>
      <c r="L461" s="70"/>
      <c r="M461" s="71" t="s">
        <v>980</v>
      </c>
      <c r="N461" s="72" t="s">
        <v>814</v>
      </c>
      <c r="O461" s="68">
        <v>1</v>
      </c>
      <c r="P461" s="69" t="str">
        <f t="shared" si="137"/>
        <v>Stir Fry Veg for Cashew Chicken (MC) - GFF358R</v>
      </c>
      <c r="Q461" s="72"/>
      <c r="R461" s="72"/>
      <c r="S461" s="72"/>
      <c r="T461" s="72"/>
      <c r="U461" s="72"/>
      <c r="V461" s="72"/>
      <c r="W461" s="72" t="s">
        <v>1435</v>
      </c>
      <c r="X461" s="72" t="s">
        <v>1814</v>
      </c>
      <c r="Y461" s="72">
        <v>3</v>
      </c>
      <c r="Z461" s="80">
        <v>44295</v>
      </c>
    </row>
    <row r="462" spans="1:26" x14ac:dyDescent="0.25">
      <c r="A462" s="68">
        <f t="shared" si="132"/>
        <v>482</v>
      </c>
      <c r="B462" s="69" t="s">
        <v>182</v>
      </c>
      <c r="C462" s="68" t="s">
        <v>2544</v>
      </c>
      <c r="D462" s="68" t="s">
        <v>2545</v>
      </c>
      <c r="E462" s="68" t="s">
        <v>886</v>
      </c>
      <c r="F462" s="68" t="s">
        <v>56</v>
      </c>
      <c r="G462" s="68" t="s">
        <v>6</v>
      </c>
      <c r="H462" s="68" t="s">
        <v>888</v>
      </c>
      <c r="I462" s="68">
        <f t="shared" si="146"/>
        <v>1481</v>
      </c>
      <c r="J462" s="68" t="s">
        <v>2547</v>
      </c>
      <c r="K462" s="68" t="s">
        <v>2545</v>
      </c>
      <c r="L462" s="70"/>
      <c r="M462" s="71" t="s">
        <v>980</v>
      </c>
      <c r="N462" s="72" t="s">
        <v>814</v>
      </c>
      <c r="O462" s="68">
        <v>1</v>
      </c>
      <c r="P462" s="69" t="str">
        <f t="shared" si="137"/>
        <v>Parsley Sweet Potato Mash (MC) - GFF366R</v>
      </c>
      <c r="Q462" s="72"/>
      <c r="R462" s="72"/>
      <c r="S462" s="72"/>
      <c r="T462" s="72"/>
      <c r="U462" s="72"/>
      <c r="V462" s="72"/>
      <c r="W462" s="72" t="s">
        <v>1435</v>
      </c>
      <c r="X462" s="72" t="s">
        <v>982</v>
      </c>
      <c r="Y462" s="72" t="s">
        <v>982</v>
      </c>
      <c r="Z462" s="80">
        <v>44356</v>
      </c>
    </row>
    <row r="463" spans="1:26" x14ac:dyDescent="0.25">
      <c r="A463" s="68">
        <f t="shared" si="132"/>
        <v>483</v>
      </c>
      <c r="B463" s="69" t="s">
        <v>182</v>
      </c>
      <c r="C463" s="68" t="s">
        <v>2543</v>
      </c>
      <c r="D463" s="68" t="s">
        <v>2546</v>
      </c>
      <c r="E463" s="68" t="s">
        <v>886</v>
      </c>
      <c r="F463" s="68" t="s">
        <v>56</v>
      </c>
      <c r="G463" s="68" t="s">
        <v>6</v>
      </c>
      <c r="H463" s="68" t="s">
        <v>888</v>
      </c>
      <c r="I463" s="68">
        <f t="shared" si="146"/>
        <v>1482</v>
      </c>
      <c r="J463" s="68" t="s">
        <v>2548</v>
      </c>
      <c r="K463" s="68" t="s">
        <v>2546</v>
      </c>
      <c r="L463" s="70"/>
      <c r="M463" s="71" t="s">
        <v>979</v>
      </c>
      <c r="N463" s="72" t="s">
        <v>814</v>
      </c>
      <c r="O463" s="68">
        <v>1</v>
      </c>
      <c r="P463" s="69" t="str">
        <f t="shared" si="137"/>
        <v>Fish Pie Mix (MC) - GFF367R</v>
      </c>
      <c r="Q463" s="72"/>
      <c r="R463" s="72"/>
      <c r="S463" s="72"/>
      <c r="T463" s="72"/>
      <c r="U463" s="72"/>
      <c r="V463" s="72"/>
      <c r="W463" s="72" t="s">
        <v>1435</v>
      </c>
      <c r="X463" s="72" t="s">
        <v>1876</v>
      </c>
      <c r="Y463" s="72">
        <v>1</v>
      </c>
      <c r="Z463" s="80">
        <v>44356</v>
      </c>
    </row>
    <row r="464" spans="1:26" x14ac:dyDescent="0.25">
      <c r="A464" s="68">
        <f t="shared" ref="A464:A469" si="151">+A463+1</f>
        <v>484</v>
      </c>
      <c r="B464" s="69" t="s">
        <v>182</v>
      </c>
      <c r="C464" s="68" t="s">
        <v>2551</v>
      </c>
      <c r="D464" s="68" t="s">
        <v>2552</v>
      </c>
      <c r="E464" s="68" t="s">
        <v>885</v>
      </c>
      <c r="F464" s="68" t="s">
        <v>23</v>
      </c>
      <c r="G464" s="68" t="s">
        <v>6</v>
      </c>
      <c r="H464" s="68" t="s">
        <v>888</v>
      </c>
      <c r="I464" s="68">
        <f t="shared" si="146"/>
        <v>1483</v>
      </c>
      <c r="J464" s="68" t="s">
        <v>2554</v>
      </c>
      <c r="K464" s="68" t="s">
        <v>2555</v>
      </c>
      <c r="L464" s="70">
        <v>40</v>
      </c>
      <c r="M464" s="71" t="s">
        <v>979</v>
      </c>
      <c r="N464" s="72" t="s">
        <v>814</v>
      </c>
      <c r="O464" s="68">
        <v>7750</v>
      </c>
      <c r="P464" s="69" t="str">
        <f t="shared" si="137"/>
        <v>Lamb Samosa Cocktail 40G- R2 - GFF368R</v>
      </c>
      <c r="Q464" s="72">
        <v>30</v>
      </c>
      <c r="R464" s="72">
        <f t="shared" ref="R464:R466" si="152">($Q464/5)*4</f>
        <v>24</v>
      </c>
      <c r="S464" s="72">
        <f t="shared" ref="S464:S466" si="153">($Q464/5)*3</f>
        <v>18</v>
      </c>
      <c r="T464" s="72">
        <f t="shared" ref="T464:T466" si="154">($Q464/5)*2</f>
        <v>12</v>
      </c>
      <c r="U464" s="72">
        <f t="shared" ref="U464:U466" si="155">($Q464/5)*1</f>
        <v>6</v>
      </c>
      <c r="V464" s="72"/>
      <c r="W464" s="72" t="s">
        <v>1435</v>
      </c>
      <c r="X464" s="72" t="s">
        <v>1501</v>
      </c>
      <c r="Y464" s="72">
        <v>3</v>
      </c>
      <c r="Z464" s="80">
        <v>44371</v>
      </c>
    </row>
    <row r="465" spans="1:26" x14ac:dyDescent="0.25">
      <c r="A465" s="68">
        <f t="shared" si="151"/>
        <v>485</v>
      </c>
      <c r="B465" s="69" t="s">
        <v>182</v>
      </c>
      <c r="C465" s="68" t="s">
        <v>2550</v>
      </c>
      <c r="D465" s="68" t="s">
        <v>2553</v>
      </c>
      <c r="E465" s="68" t="s">
        <v>885</v>
      </c>
      <c r="F465" s="68" t="s">
        <v>40</v>
      </c>
      <c r="G465" s="68" t="s">
        <v>6</v>
      </c>
      <c r="H465" s="68" t="s">
        <v>888</v>
      </c>
      <c r="I465" s="68">
        <f t="shared" si="146"/>
        <v>1484</v>
      </c>
      <c r="J465" s="68" t="s">
        <v>2557</v>
      </c>
      <c r="K465" s="68" t="s">
        <v>2556</v>
      </c>
      <c r="L465" s="70">
        <v>40</v>
      </c>
      <c r="M465" s="71" t="s">
        <v>980</v>
      </c>
      <c r="N465" s="72" t="s">
        <v>814</v>
      </c>
      <c r="O465" s="68">
        <v>1700</v>
      </c>
      <c r="P465" s="69" t="str">
        <f t="shared" si="137"/>
        <v>Mild Onion Bhaji Cocktail 40G - GFF369R</v>
      </c>
      <c r="Q465" s="72">
        <v>50</v>
      </c>
      <c r="R465" s="72">
        <f t="shared" si="152"/>
        <v>40</v>
      </c>
      <c r="S465" s="72">
        <f t="shared" si="153"/>
        <v>30</v>
      </c>
      <c r="T465" s="72">
        <f t="shared" si="154"/>
        <v>20</v>
      </c>
      <c r="U465" s="72">
        <f t="shared" si="155"/>
        <v>10</v>
      </c>
      <c r="V465" s="72">
        <v>0</v>
      </c>
      <c r="W465" s="72" t="s">
        <v>1435</v>
      </c>
      <c r="X465" s="72" t="s">
        <v>982</v>
      </c>
      <c r="Y465" s="72" t="s">
        <v>982</v>
      </c>
      <c r="Z465" s="80">
        <v>44371</v>
      </c>
    </row>
    <row r="466" spans="1:26" x14ac:dyDescent="0.25">
      <c r="A466" s="68">
        <f t="shared" si="151"/>
        <v>486</v>
      </c>
      <c r="B466" s="69" t="s">
        <v>182</v>
      </c>
      <c r="C466" s="68" t="s">
        <v>2562</v>
      </c>
      <c r="D466" s="68" t="s">
        <v>2563</v>
      </c>
      <c r="E466" s="68" t="s">
        <v>885</v>
      </c>
      <c r="F466" s="68" t="s">
        <v>56</v>
      </c>
      <c r="G466" s="68" t="s">
        <v>6</v>
      </c>
      <c r="H466" s="68" t="s">
        <v>888</v>
      </c>
      <c r="I466" s="68">
        <f t="shared" si="146"/>
        <v>1485</v>
      </c>
      <c r="J466" s="68" t="s">
        <v>2564</v>
      </c>
      <c r="K466" s="68" t="s">
        <v>2565</v>
      </c>
      <c r="L466" s="70">
        <v>150</v>
      </c>
      <c r="M466" s="71" t="s">
        <v>980</v>
      </c>
      <c r="N466" s="72" t="s">
        <v>814</v>
      </c>
      <c r="O466" s="68">
        <v>1200</v>
      </c>
      <c r="P466" s="69" t="str">
        <f t="shared" si="137"/>
        <v>Lancashire Cheese &amp; Plum Chutney Parcels 150G - GFF372R</v>
      </c>
      <c r="Q466" s="72">
        <v>20</v>
      </c>
      <c r="R466" s="72">
        <f t="shared" si="152"/>
        <v>16</v>
      </c>
      <c r="S466" s="72">
        <f t="shared" si="153"/>
        <v>12</v>
      </c>
      <c r="T466" s="72">
        <f t="shared" si="154"/>
        <v>8</v>
      </c>
      <c r="U466" s="72">
        <f t="shared" si="155"/>
        <v>4</v>
      </c>
      <c r="V466" s="72"/>
      <c r="W466" s="72" t="s">
        <v>1435</v>
      </c>
      <c r="X466" s="1" t="s">
        <v>1744</v>
      </c>
      <c r="Y466" s="72">
        <v>2</v>
      </c>
      <c r="Z466" s="80">
        <v>44407</v>
      </c>
    </row>
    <row r="467" spans="1:26" x14ac:dyDescent="0.25">
      <c r="A467" s="68">
        <f t="shared" si="151"/>
        <v>487</v>
      </c>
      <c r="B467" s="69" t="s">
        <v>182</v>
      </c>
      <c r="C467" s="68" t="s">
        <v>2567</v>
      </c>
      <c r="D467" s="68" t="s">
        <v>2005</v>
      </c>
      <c r="E467" s="68" t="s">
        <v>886</v>
      </c>
      <c r="F467" s="68" t="s">
        <v>56</v>
      </c>
      <c r="G467" s="68" t="s">
        <v>6</v>
      </c>
      <c r="H467" s="68" t="s">
        <v>888</v>
      </c>
      <c r="I467" s="68">
        <f t="shared" si="146"/>
        <v>1486</v>
      </c>
      <c r="J467" s="68" t="s">
        <v>2571</v>
      </c>
      <c r="K467" s="68" t="s">
        <v>2576</v>
      </c>
      <c r="L467" s="70"/>
      <c r="M467" s="71" t="s">
        <v>980</v>
      </c>
      <c r="N467" s="72" t="s">
        <v>814</v>
      </c>
      <c r="O467" s="68">
        <v>1</v>
      </c>
      <c r="P467" s="69" t="str">
        <f>K467</f>
        <v>Lentil Mix (MC) - GFF370R</v>
      </c>
      <c r="Q467" s="72"/>
      <c r="R467" s="72"/>
      <c r="S467" s="72"/>
      <c r="T467" s="72"/>
      <c r="U467" s="72"/>
      <c r="V467" s="72"/>
      <c r="W467" s="72" t="s">
        <v>1435</v>
      </c>
      <c r="X467" s="72" t="s">
        <v>982</v>
      </c>
      <c r="Y467" s="72" t="s">
        <v>982</v>
      </c>
      <c r="Z467" s="80">
        <v>44411</v>
      </c>
    </row>
    <row r="468" spans="1:26" x14ac:dyDescent="0.25">
      <c r="A468" s="68">
        <f t="shared" si="151"/>
        <v>488</v>
      </c>
      <c r="B468" s="69" t="s">
        <v>182</v>
      </c>
      <c r="C468" s="68" t="s">
        <v>2568</v>
      </c>
      <c r="D468" s="68" t="s">
        <v>2009</v>
      </c>
      <c r="E468" s="68" t="s">
        <v>886</v>
      </c>
      <c r="F468" s="68" t="s">
        <v>56</v>
      </c>
      <c r="G468" s="68" t="s">
        <v>6</v>
      </c>
      <c r="H468" s="68" t="s">
        <v>888</v>
      </c>
      <c r="I468" s="68">
        <f t="shared" si="146"/>
        <v>1487</v>
      </c>
      <c r="J468" s="68" t="s">
        <v>2572</v>
      </c>
      <c r="K468" s="68" t="s">
        <v>2577</v>
      </c>
      <c r="L468" s="70"/>
      <c r="M468" s="71" t="s">
        <v>980</v>
      </c>
      <c r="N468" s="72" t="s">
        <v>814</v>
      </c>
      <c r="O468" s="68">
        <v>1</v>
      </c>
      <c r="P468" s="69" t="str">
        <f>K468</f>
        <v>Coconut Bechamel (MC) - GFF371R</v>
      </c>
      <c r="Q468" s="72"/>
      <c r="R468" s="72"/>
      <c r="S468" s="72"/>
      <c r="T468" s="72"/>
      <c r="U468" s="72"/>
      <c r="V468" s="72"/>
      <c r="W468" s="72" t="s">
        <v>1435</v>
      </c>
      <c r="X468" s="72" t="s">
        <v>982</v>
      </c>
      <c r="Y468" s="72" t="s">
        <v>982</v>
      </c>
      <c r="Z468" s="80">
        <v>44411</v>
      </c>
    </row>
    <row r="469" spans="1:26" x14ac:dyDescent="0.25">
      <c r="A469" s="68">
        <f t="shared" si="151"/>
        <v>489</v>
      </c>
      <c r="B469" s="69" t="s">
        <v>2456</v>
      </c>
      <c r="C469" s="68" t="s">
        <v>2569</v>
      </c>
      <c r="D469" s="68" t="s">
        <v>2570</v>
      </c>
      <c r="E469" s="68" t="s">
        <v>130</v>
      </c>
      <c r="F469" s="68" t="s">
        <v>130</v>
      </c>
      <c r="G469" s="68" t="s">
        <v>17</v>
      </c>
      <c r="H469" s="68" t="s">
        <v>888</v>
      </c>
      <c r="I469" s="68">
        <f t="shared" si="146"/>
        <v>1488</v>
      </c>
      <c r="J469" s="68" t="s">
        <v>2573</v>
      </c>
      <c r="K469" s="68" t="s">
        <v>2570</v>
      </c>
      <c r="L469" s="70">
        <v>1</v>
      </c>
      <c r="M469" s="71" t="s">
        <v>980</v>
      </c>
      <c r="N469" s="72" t="s">
        <v>814</v>
      </c>
      <c r="O469" s="68">
        <v>1</v>
      </c>
      <c r="P469" s="69" t="str">
        <f>K469&amp;" - "&amp; C469</f>
        <v>Marie Rose Sauce - PIQ001-02</v>
      </c>
      <c r="Q469" s="72"/>
      <c r="R469" s="72"/>
      <c r="S469" s="72"/>
      <c r="T469" s="72"/>
      <c r="U469" s="72"/>
      <c r="V469" s="72"/>
      <c r="W469" s="72" t="s">
        <v>1435</v>
      </c>
      <c r="X469" s="72" t="s">
        <v>1618</v>
      </c>
      <c r="Y469" s="72">
        <v>1</v>
      </c>
      <c r="Z469" s="80">
        <v>44411</v>
      </c>
    </row>
    <row r="470" spans="1:26" x14ac:dyDescent="0.25">
      <c r="A470" s="68">
        <f t="shared" ref="A470:A552" si="156">+A469+1</f>
        <v>490</v>
      </c>
      <c r="B470" s="69" t="s">
        <v>182</v>
      </c>
      <c r="C470" s="68" t="s">
        <v>2589</v>
      </c>
      <c r="D470" s="68" t="s">
        <v>2106</v>
      </c>
      <c r="E470" s="68" t="s">
        <v>886</v>
      </c>
      <c r="F470" s="68" t="s">
        <v>56</v>
      </c>
      <c r="G470" s="68" t="s">
        <v>6</v>
      </c>
      <c r="H470" s="68" t="s">
        <v>888</v>
      </c>
      <c r="I470" s="68">
        <f t="shared" ref="I470:I544" si="157">I469+1</f>
        <v>1489</v>
      </c>
      <c r="J470" s="68" t="s">
        <v>2601</v>
      </c>
      <c r="K470" s="68" t="s">
        <v>2615</v>
      </c>
      <c r="L470" s="70"/>
      <c r="M470" s="71" t="s">
        <v>980</v>
      </c>
      <c r="N470" s="72" t="s">
        <v>814</v>
      </c>
      <c r="O470" s="68">
        <v>1</v>
      </c>
      <c r="P470" s="69" t="str">
        <f t="shared" ref="P470:P544" si="158">K470&amp;" - "&amp; C470</f>
        <v>Cacciatore Sauce (MC) - R1 - GFF375R</v>
      </c>
      <c r="Q470" s="72"/>
      <c r="R470" s="72"/>
      <c r="S470" s="72"/>
      <c r="T470" s="72"/>
      <c r="U470" s="72"/>
      <c r="V470" s="72"/>
      <c r="W470" s="72" t="s">
        <v>1435</v>
      </c>
      <c r="X470" s="72" t="s">
        <v>982</v>
      </c>
      <c r="Y470" s="72" t="s">
        <v>982</v>
      </c>
      <c r="Z470" s="80">
        <v>44419</v>
      </c>
    </row>
    <row r="471" spans="1:26" x14ac:dyDescent="0.25">
      <c r="A471" s="68">
        <f t="shared" si="156"/>
        <v>491</v>
      </c>
      <c r="B471" s="69" t="s">
        <v>182</v>
      </c>
      <c r="C471" s="68" t="s">
        <v>2590</v>
      </c>
      <c r="D471" s="68" t="s">
        <v>2582</v>
      </c>
      <c r="E471" s="68" t="s">
        <v>886</v>
      </c>
      <c r="F471" s="68" t="s">
        <v>56</v>
      </c>
      <c r="G471" s="68" t="s">
        <v>6</v>
      </c>
      <c r="H471" s="68" t="s">
        <v>888</v>
      </c>
      <c r="I471" s="68">
        <f t="shared" si="157"/>
        <v>1490</v>
      </c>
      <c r="J471" s="68" t="s">
        <v>2602</v>
      </c>
      <c r="K471" s="68" t="s">
        <v>2582</v>
      </c>
      <c r="L471" s="70"/>
      <c r="M471" s="71" t="s">
        <v>980</v>
      </c>
      <c r="N471" s="72" t="s">
        <v>814</v>
      </c>
      <c r="O471" s="68">
        <v>1</v>
      </c>
      <c r="P471" s="69" t="str">
        <f t="shared" si="158"/>
        <v>Chickpea Tagine Sauce (MC) - GFF390R</v>
      </c>
      <c r="Q471" s="72"/>
      <c r="R471" s="72"/>
      <c r="S471" s="72"/>
      <c r="T471" s="72"/>
      <c r="U471" s="72"/>
      <c r="V471" s="72"/>
      <c r="W471" s="72" t="s">
        <v>1435</v>
      </c>
      <c r="X471" s="72" t="s">
        <v>982</v>
      </c>
      <c r="Y471" s="72" t="s">
        <v>982</v>
      </c>
      <c r="Z471" s="80">
        <v>44419</v>
      </c>
    </row>
    <row r="472" spans="1:26" x14ac:dyDescent="0.25">
      <c r="A472" s="68">
        <f t="shared" si="156"/>
        <v>492</v>
      </c>
      <c r="B472" s="69" t="s">
        <v>182</v>
      </c>
      <c r="C472" s="68" t="s">
        <v>2591</v>
      </c>
      <c r="D472" s="68" t="s">
        <v>1982</v>
      </c>
      <c r="E472" s="68" t="s">
        <v>886</v>
      </c>
      <c r="F472" s="68" t="s">
        <v>56</v>
      </c>
      <c r="G472" s="68" t="s">
        <v>6</v>
      </c>
      <c r="H472" s="68" t="s">
        <v>888</v>
      </c>
      <c r="I472" s="68">
        <f t="shared" si="157"/>
        <v>1491</v>
      </c>
      <c r="J472" s="68" t="s">
        <v>2603</v>
      </c>
      <c r="K472" s="68" t="s">
        <v>2616</v>
      </c>
      <c r="L472" s="70"/>
      <c r="M472" s="71" t="s">
        <v>980</v>
      </c>
      <c r="N472" s="72" t="s">
        <v>809</v>
      </c>
      <c r="O472" s="68">
        <v>1</v>
      </c>
      <c r="P472" s="69" t="str">
        <f t="shared" si="158"/>
        <v>Tikka Masala Sauce (MC) - R1 - GFF378R</v>
      </c>
      <c r="Q472" s="72"/>
      <c r="R472" s="72"/>
      <c r="S472" s="72"/>
      <c r="T472" s="72"/>
      <c r="U472" s="72"/>
      <c r="V472" s="72"/>
      <c r="W472" s="72" t="s">
        <v>1435</v>
      </c>
      <c r="X472" s="72" t="s">
        <v>982</v>
      </c>
      <c r="Y472" s="72" t="s">
        <v>982</v>
      </c>
      <c r="Z472" s="80">
        <v>44419</v>
      </c>
    </row>
    <row r="473" spans="1:26" x14ac:dyDescent="0.25">
      <c r="A473" s="68">
        <f t="shared" si="156"/>
        <v>493</v>
      </c>
      <c r="B473" s="69" t="s">
        <v>182</v>
      </c>
      <c r="C473" s="68" t="s">
        <v>2592</v>
      </c>
      <c r="D473" s="68" t="s">
        <v>1985</v>
      </c>
      <c r="E473" s="68" t="s">
        <v>886</v>
      </c>
      <c r="F473" s="68" t="s">
        <v>128</v>
      </c>
      <c r="G473" s="68" t="s">
        <v>6</v>
      </c>
      <c r="H473" s="68" t="s">
        <v>888</v>
      </c>
      <c r="I473" s="68">
        <f t="shared" si="157"/>
        <v>1492</v>
      </c>
      <c r="J473" s="68" t="s">
        <v>2604</v>
      </c>
      <c r="K473" s="68" t="s">
        <v>2617</v>
      </c>
      <c r="L473" s="70"/>
      <c r="M473" s="71" t="s">
        <v>979</v>
      </c>
      <c r="N473" s="72" t="s">
        <v>814</v>
      </c>
      <c r="O473" s="68">
        <v>1</v>
      </c>
      <c r="P473" s="69" t="str">
        <f t="shared" si="158"/>
        <v>Marinated Chicken Tikka (MC) - R1 - GFF379R</v>
      </c>
      <c r="Q473" s="72"/>
      <c r="R473" s="72"/>
      <c r="S473" s="72"/>
      <c r="T473" s="72"/>
      <c r="U473" s="72"/>
      <c r="V473" s="72"/>
      <c r="W473" s="72" t="s">
        <v>1435</v>
      </c>
      <c r="X473" s="72" t="s">
        <v>982</v>
      </c>
      <c r="Y473" s="72" t="s">
        <v>982</v>
      </c>
      <c r="Z473" s="80">
        <v>44978</v>
      </c>
    </row>
    <row r="474" spans="1:26" x14ac:dyDescent="0.25">
      <c r="A474" s="68">
        <f t="shared" si="156"/>
        <v>494</v>
      </c>
      <c r="B474" s="69" t="s">
        <v>182</v>
      </c>
      <c r="C474" s="68" t="s">
        <v>2593</v>
      </c>
      <c r="D474" s="68" t="s">
        <v>2583</v>
      </c>
      <c r="E474" s="68" t="s">
        <v>886</v>
      </c>
      <c r="F474" s="68" t="s">
        <v>56</v>
      </c>
      <c r="G474" s="68" t="s">
        <v>6</v>
      </c>
      <c r="H474" s="68" t="s">
        <v>888</v>
      </c>
      <c r="I474" s="68">
        <f t="shared" si="157"/>
        <v>1493</v>
      </c>
      <c r="J474" s="68" t="s">
        <v>2605</v>
      </c>
      <c r="K474" s="68" t="s">
        <v>2583</v>
      </c>
      <c r="L474" s="70"/>
      <c r="M474" s="71" t="s">
        <v>980</v>
      </c>
      <c r="N474" s="72" t="s">
        <v>814</v>
      </c>
      <c r="O474" s="68">
        <v>1</v>
      </c>
      <c r="P474" s="69" t="str">
        <f t="shared" si="158"/>
        <v>Chickpea Tikka Masala Sauce (MC) - GFF387R</v>
      </c>
      <c r="Q474" s="72"/>
      <c r="R474" s="72"/>
      <c r="S474" s="72"/>
      <c r="T474" s="72"/>
      <c r="U474" s="72"/>
      <c r="V474" s="72"/>
      <c r="W474" s="72" t="s">
        <v>1435</v>
      </c>
      <c r="X474" s="72" t="s">
        <v>982</v>
      </c>
      <c r="Y474" s="72" t="s">
        <v>982</v>
      </c>
      <c r="Z474" s="80">
        <v>44419</v>
      </c>
    </row>
    <row r="475" spans="1:26" x14ac:dyDescent="0.25">
      <c r="A475" s="68">
        <f t="shared" si="156"/>
        <v>495</v>
      </c>
      <c r="B475" s="69" t="s">
        <v>182</v>
      </c>
      <c r="C475" s="68" t="s">
        <v>2594</v>
      </c>
      <c r="D475" s="68" t="s">
        <v>2584</v>
      </c>
      <c r="E475" s="68" t="s">
        <v>886</v>
      </c>
      <c r="F475" s="68" t="s">
        <v>56</v>
      </c>
      <c r="G475" s="68" t="s">
        <v>6</v>
      </c>
      <c r="H475" s="68" t="s">
        <v>888</v>
      </c>
      <c r="I475" s="68">
        <f t="shared" si="157"/>
        <v>1494</v>
      </c>
      <c r="J475" s="68" t="s">
        <v>2606</v>
      </c>
      <c r="K475" s="68" t="s">
        <v>2584</v>
      </c>
      <c r="L475" s="70"/>
      <c r="M475" s="71" t="s">
        <v>980</v>
      </c>
      <c r="N475" s="72" t="s">
        <v>814</v>
      </c>
      <c r="O475" s="68">
        <v>1</v>
      </c>
      <c r="P475" s="69" t="str">
        <f t="shared" si="158"/>
        <v>Pasteurising Coconut Chips - GFF391R</v>
      </c>
      <c r="Q475" s="72"/>
      <c r="R475" s="72"/>
      <c r="S475" s="72"/>
      <c r="T475" s="72"/>
      <c r="U475" s="72"/>
      <c r="V475" s="72"/>
      <c r="W475" s="72" t="s">
        <v>1435</v>
      </c>
      <c r="X475" s="72" t="s">
        <v>982</v>
      </c>
      <c r="Y475" s="72" t="s">
        <v>982</v>
      </c>
      <c r="Z475" s="80">
        <v>44419</v>
      </c>
    </row>
    <row r="476" spans="1:26" x14ac:dyDescent="0.25">
      <c r="A476" s="68">
        <f t="shared" si="156"/>
        <v>496</v>
      </c>
      <c r="B476" s="69" t="s">
        <v>182</v>
      </c>
      <c r="C476" s="68" t="s">
        <v>2595</v>
      </c>
      <c r="D476" s="68" t="s">
        <v>2585</v>
      </c>
      <c r="E476" s="68" t="s">
        <v>886</v>
      </c>
      <c r="F476" s="68" t="s">
        <v>1862</v>
      </c>
      <c r="G476" s="68" t="s">
        <v>6</v>
      </c>
      <c r="H476" s="68" t="s">
        <v>888</v>
      </c>
      <c r="I476" s="68">
        <f t="shared" si="157"/>
        <v>1495</v>
      </c>
      <c r="J476" s="68" t="s">
        <v>2607</v>
      </c>
      <c r="K476" s="68" t="s">
        <v>2585</v>
      </c>
      <c r="L476" s="70"/>
      <c r="M476" s="71" t="s">
        <v>980</v>
      </c>
      <c r="N476" s="72" t="s">
        <v>814</v>
      </c>
      <c r="O476" s="68">
        <v>1</v>
      </c>
      <c r="P476" s="69" t="str">
        <f t="shared" si="158"/>
        <v>Pasteurising Cashew Nuts - GFF352R</v>
      </c>
      <c r="Q476" s="72"/>
      <c r="R476" s="72"/>
      <c r="S476" s="72"/>
      <c r="T476" s="72"/>
      <c r="U476" s="72"/>
      <c r="V476" s="72"/>
      <c r="W476" s="72" t="s">
        <v>1435</v>
      </c>
      <c r="X476" s="72" t="s">
        <v>1862</v>
      </c>
      <c r="Y476" s="72">
        <v>1</v>
      </c>
      <c r="Z476" s="80">
        <v>44419</v>
      </c>
    </row>
    <row r="477" spans="1:26" x14ac:dyDescent="0.25">
      <c r="A477" s="68">
        <f t="shared" si="156"/>
        <v>497</v>
      </c>
      <c r="B477" s="69" t="s">
        <v>182</v>
      </c>
      <c r="C477" s="68" t="s">
        <v>2596</v>
      </c>
      <c r="D477" s="68" t="s">
        <v>1999</v>
      </c>
      <c r="E477" s="68" t="s">
        <v>886</v>
      </c>
      <c r="F477" s="68" t="s">
        <v>609</v>
      </c>
      <c r="G477" s="68" t="s">
        <v>6</v>
      </c>
      <c r="H477" s="68" t="s">
        <v>888</v>
      </c>
      <c r="I477" s="68">
        <f t="shared" si="157"/>
        <v>1496</v>
      </c>
      <c r="J477" s="68" t="s">
        <v>2608</v>
      </c>
      <c r="K477" s="68" t="s">
        <v>2618</v>
      </c>
      <c r="L477" s="70"/>
      <c r="M477" s="71" t="s">
        <v>979</v>
      </c>
      <c r="N477" s="72" t="s">
        <v>814</v>
      </c>
      <c r="O477" s="68">
        <v>1</v>
      </c>
      <c r="P477" s="69" t="str">
        <f t="shared" si="158"/>
        <v>Cooked Lamb Shoulder (MC) - R1 - GFF389R</v>
      </c>
      <c r="Q477" s="72"/>
      <c r="R477" s="72"/>
      <c r="S477" s="72"/>
      <c r="T477" s="72"/>
      <c r="U477" s="72"/>
      <c r="V477" s="72"/>
      <c r="W477" s="72" t="s">
        <v>1435</v>
      </c>
      <c r="X477" s="72" t="s">
        <v>982</v>
      </c>
      <c r="Y477" s="72" t="s">
        <v>982</v>
      </c>
      <c r="Z477" s="80">
        <v>44419</v>
      </c>
    </row>
    <row r="478" spans="1:26" x14ac:dyDescent="0.25">
      <c r="A478" s="68">
        <f t="shared" si="156"/>
        <v>498</v>
      </c>
      <c r="B478" s="69" t="s">
        <v>182</v>
      </c>
      <c r="C478" s="68" t="s">
        <v>2597</v>
      </c>
      <c r="D478" s="68" t="s">
        <v>2586</v>
      </c>
      <c r="E478" s="68" t="s">
        <v>886</v>
      </c>
      <c r="F478" s="68" t="s">
        <v>56</v>
      </c>
      <c r="G478" s="68" t="s">
        <v>6</v>
      </c>
      <c r="H478" s="68" t="s">
        <v>888</v>
      </c>
      <c r="I478" s="68">
        <f t="shared" si="157"/>
        <v>1497</v>
      </c>
      <c r="J478" s="68" t="s">
        <v>2609</v>
      </c>
      <c r="K478" s="68" t="s">
        <v>2586</v>
      </c>
      <c r="L478" s="70"/>
      <c r="M478" s="71" t="s">
        <v>980</v>
      </c>
      <c r="N478" s="72" t="s">
        <v>814</v>
      </c>
      <c r="O478" s="68">
        <v>1</v>
      </c>
      <c r="P478" s="69" t="str">
        <f t="shared" si="158"/>
        <v>Pasteurising Almond Flakes - GFF351R</v>
      </c>
      <c r="Q478" s="72"/>
      <c r="R478" s="72"/>
      <c r="S478" s="72"/>
      <c r="T478" s="72"/>
      <c r="U478" s="72"/>
      <c r="V478" s="72"/>
      <c r="W478" s="72" t="s">
        <v>1435</v>
      </c>
      <c r="X478" s="72" t="s">
        <v>1862</v>
      </c>
      <c r="Y478" s="72">
        <v>1</v>
      </c>
      <c r="Z478" s="80">
        <v>44419</v>
      </c>
    </row>
    <row r="479" spans="1:26" x14ac:dyDescent="0.25">
      <c r="A479" s="68">
        <f t="shared" si="156"/>
        <v>499</v>
      </c>
      <c r="B479" s="69" t="s">
        <v>182</v>
      </c>
      <c r="C479" s="68" t="s">
        <v>2598</v>
      </c>
      <c r="D479" s="68" t="s">
        <v>2587</v>
      </c>
      <c r="E479" s="68" t="s">
        <v>886</v>
      </c>
      <c r="F479" s="68" t="s">
        <v>56</v>
      </c>
      <c r="G479" s="68" t="s">
        <v>6</v>
      </c>
      <c r="H479" s="68" t="s">
        <v>888</v>
      </c>
      <c r="I479" s="68">
        <f t="shared" si="157"/>
        <v>1498</v>
      </c>
      <c r="J479" s="68" t="s">
        <v>2610</v>
      </c>
      <c r="K479" s="68" t="s">
        <v>2587</v>
      </c>
      <c r="L479" s="70"/>
      <c r="M479" s="71" t="s">
        <v>979</v>
      </c>
      <c r="N479" s="72" t="s">
        <v>814</v>
      </c>
      <c r="O479" s="68">
        <v>1</v>
      </c>
      <c r="P479" s="69" t="str">
        <f t="shared" si="158"/>
        <v>Panang Curry Sauce (MC) - GFF377R</v>
      </c>
      <c r="Q479" s="72"/>
      <c r="R479" s="72"/>
      <c r="S479" s="72"/>
      <c r="T479" s="72"/>
      <c r="U479" s="72"/>
      <c r="V479" s="72"/>
      <c r="W479" s="72" t="s">
        <v>1435</v>
      </c>
      <c r="X479" s="72" t="s">
        <v>1618</v>
      </c>
      <c r="Y479" s="72">
        <v>1</v>
      </c>
      <c r="Z479" s="80">
        <v>44419</v>
      </c>
    </row>
    <row r="480" spans="1:26" x14ac:dyDescent="0.25">
      <c r="A480" s="68">
        <f t="shared" si="156"/>
        <v>500</v>
      </c>
      <c r="B480" s="69" t="s">
        <v>182</v>
      </c>
      <c r="C480" s="68" t="s">
        <v>2599</v>
      </c>
      <c r="D480" s="68" t="s">
        <v>2588</v>
      </c>
      <c r="E480" s="68" t="s">
        <v>886</v>
      </c>
      <c r="F480" s="68" t="s">
        <v>56</v>
      </c>
      <c r="G480" s="68" t="s">
        <v>6</v>
      </c>
      <c r="H480" s="68" t="s">
        <v>888</v>
      </c>
      <c r="I480" s="68">
        <f t="shared" si="157"/>
        <v>1499</v>
      </c>
      <c r="J480" s="68" t="s">
        <v>2611</v>
      </c>
      <c r="K480" s="68" t="s">
        <v>2588</v>
      </c>
      <c r="L480" s="70"/>
      <c r="M480" s="71" t="s">
        <v>980</v>
      </c>
      <c r="N480" s="72" t="s">
        <v>814</v>
      </c>
      <c r="O480" s="68">
        <v>1</v>
      </c>
      <c r="P480" s="69" t="str">
        <f t="shared" si="158"/>
        <v>Sunflower Bolognese Sauce (MC) - GFF382R</v>
      </c>
      <c r="Q480" s="72"/>
      <c r="R480" s="72"/>
      <c r="S480" s="72"/>
      <c r="T480" s="72"/>
      <c r="U480" s="72"/>
      <c r="V480" s="72"/>
      <c r="W480" s="72" t="s">
        <v>1435</v>
      </c>
      <c r="X480" s="72" t="s">
        <v>982</v>
      </c>
      <c r="Y480" s="72" t="s">
        <v>982</v>
      </c>
      <c r="Z480" s="80">
        <v>44419</v>
      </c>
    </row>
    <row r="481" spans="1:26" x14ac:dyDescent="0.25">
      <c r="A481" s="68">
        <f t="shared" si="156"/>
        <v>501</v>
      </c>
      <c r="B481" s="69" t="s">
        <v>2600</v>
      </c>
      <c r="C481" s="68" t="s">
        <v>2620</v>
      </c>
      <c r="D481" s="68" t="s">
        <v>2619</v>
      </c>
      <c r="E481" s="68" t="s">
        <v>1628</v>
      </c>
      <c r="F481" s="68" t="s">
        <v>128</v>
      </c>
      <c r="G481" s="68" t="s">
        <v>17</v>
      </c>
      <c r="H481" s="68" t="s">
        <v>888</v>
      </c>
      <c r="I481" s="68">
        <f t="shared" si="157"/>
        <v>1500</v>
      </c>
      <c r="J481" s="68" t="s">
        <v>2612</v>
      </c>
      <c r="K481" s="68" t="s">
        <v>2619</v>
      </c>
      <c r="L481" s="70">
        <v>1</v>
      </c>
      <c r="M481" s="71" t="s">
        <v>979</v>
      </c>
      <c r="N481" s="72" t="s">
        <v>809</v>
      </c>
      <c r="O481" s="68">
        <v>1</v>
      </c>
      <c r="P481" s="69" t="str">
        <f t="shared" si="158"/>
        <v>Diced Lemon &amp; Garlic Chicken  - GFF1500</v>
      </c>
      <c r="Q481" s="72"/>
      <c r="R481" s="72"/>
      <c r="S481" s="72"/>
      <c r="T481" s="72"/>
      <c r="U481" s="72"/>
      <c r="V481" s="72"/>
      <c r="W481" s="72" t="s">
        <v>1435</v>
      </c>
      <c r="X481" s="72" t="s">
        <v>982</v>
      </c>
      <c r="Y481" s="72" t="s">
        <v>982</v>
      </c>
      <c r="Z481" s="80" t="s">
        <v>2890</v>
      </c>
    </row>
    <row r="482" spans="1:26" x14ac:dyDescent="0.25">
      <c r="A482" s="68">
        <f t="shared" si="156"/>
        <v>502</v>
      </c>
      <c r="B482" s="69" t="s">
        <v>182</v>
      </c>
      <c r="C482" s="68" t="s">
        <v>2621</v>
      </c>
      <c r="D482" s="68" t="s">
        <v>2625</v>
      </c>
      <c r="E482" s="68" t="s">
        <v>886</v>
      </c>
      <c r="F482" s="68" t="s">
        <v>609</v>
      </c>
      <c r="G482" s="68" t="s">
        <v>6</v>
      </c>
      <c r="H482" s="68" t="s">
        <v>888</v>
      </c>
      <c r="I482" s="68">
        <f t="shared" si="157"/>
        <v>1501</v>
      </c>
      <c r="J482" s="68" t="s">
        <v>2628</v>
      </c>
      <c r="K482" s="68" t="s">
        <v>2625</v>
      </c>
      <c r="L482" s="70"/>
      <c r="M482" s="71" t="s">
        <v>979</v>
      </c>
      <c r="N482" s="72" t="s">
        <v>814</v>
      </c>
      <c r="O482" s="68">
        <v>1</v>
      </c>
      <c r="P482" s="69" t="str">
        <f t="shared" si="158"/>
        <v>Lamb Shepherd's Pie Mix (MC) - GFF374R</v>
      </c>
      <c r="Q482" s="72"/>
      <c r="R482" s="72"/>
      <c r="S482" s="72"/>
      <c r="T482" s="72"/>
      <c r="U482" s="72"/>
      <c r="V482" s="72"/>
      <c r="W482" s="72" t="s">
        <v>1435</v>
      </c>
      <c r="X482" s="72" t="s">
        <v>982</v>
      </c>
      <c r="Y482" s="72" t="s">
        <v>982</v>
      </c>
      <c r="Z482" s="80">
        <v>44419</v>
      </c>
    </row>
    <row r="483" spans="1:26" x14ac:dyDescent="0.25">
      <c r="A483" s="68">
        <f t="shared" si="156"/>
        <v>503</v>
      </c>
      <c r="B483" s="69" t="s">
        <v>182</v>
      </c>
      <c r="C483" s="68" t="s">
        <v>2622</v>
      </c>
      <c r="D483" s="68" t="s">
        <v>1992</v>
      </c>
      <c r="E483" s="68" t="s">
        <v>886</v>
      </c>
      <c r="F483" s="68" t="s">
        <v>56</v>
      </c>
      <c r="G483" s="68" t="s">
        <v>6</v>
      </c>
      <c r="H483" s="68" t="s">
        <v>888</v>
      </c>
      <c r="I483" s="68">
        <f t="shared" si="157"/>
        <v>1502</v>
      </c>
      <c r="J483" s="68" t="s">
        <v>2629</v>
      </c>
      <c r="K483" s="68" t="s">
        <v>2632</v>
      </c>
      <c r="L483" s="70"/>
      <c r="M483" s="71" t="s">
        <v>980</v>
      </c>
      <c r="N483" s="72" t="s">
        <v>814</v>
      </c>
      <c r="O483" s="68">
        <v>1</v>
      </c>
      <c r="P483" s="69" t="str">
        <f t="shared" si="158"/>
        <v>Tagine Sauce (MC)-R1 - GFF388R</v>
      </c>
      <c r="Q483" s="72"/>
      <c r="R483" s="72"/>
      <c r="S483" s="72"/>
      <c r="T483" s="72"/>
      <c r="U483" s="72"/>
      <c r="V483" s="72"/>
      <c r="W483" s="72" t="s">
        <v>1435</v>
      </c>
      <c r="X483" s="72" t="s">
        <v>982</v>
      </c>
      <c r="Y483" s="72" t="s">
        <v>982</v>
      </c>
      <c r="Z483" s="80">
        <v>44419</v>
      </c>
    </row>
    <row r="484" spans="1:26" x14ac:dyDescent="0.25">
      <c r="A484" s="68">
        <f t="shared" si="156"/>
        <v>504</v>
      </c>
      <c r="B484" s="69" t="s">
        <v>182</v>
      </c>
      <c r="C484" s="68" t="s">
        <v>2623</v>
      </c>
      <c r="D484" s="68" t="s">
        <v>2626</v>
      </c>
      <c r="E484" s="68" t="s">
        <v>886</v>
      </c>
      <c r="F484" s="68" t="s">
        <v>62</v>
      </c>
      <c r="G484" s="68" t="s">
        <v>6</v>
      </c>
      <c r="H484" s="68" t="s">
        <v>888</v>
      </c>
      <c r="I484" s="68">
        <f t="shared" si="157"/>
        <v>1503</v>
      </c>
      <c r="J484" s="68" t="s">
        <v>2630</v>
      </c>
      <c r="K484" s="68" t="s">
        <v>2633</v>
      </c>
      <c r="L484" s="70"/>
      <c r="M484" s="71" t="s">
        <v>980</v>
      </c>
      <c r="N484" s="72" t="s">
        <v>809</v>
      </c>
      <c r="O484" s="68">
        <v>1</v>
      </c>
      <c r="P484" s="69" t="str">
        <f t="shared" si="158"/>
        <v>Chickpea Korma Sauce (MC)-R1 - GFF373R</v>
      </c>
      <c r="Q484" s="72"/>
      <c r="R484" s="72"/>
      <c r="S484" s="72"/>
      <c r="T484" s="72"/>
      <c r="U484" s="72"/>
      <c r="V484" s="72"/>
      <c r="W484" s="72" t="s">
        <v>1435</v>
      </c>
      <c r="X484" s="72" t="s">
        <v>1862</v>
      </c>
      <c r="Y484" s="72">
        <v>1</v>
      </c>
      <c r="Z484" s="80">
        <v>44419</v>
      </c>
    </row>
    <row r="485" spans="1:26" x14ac:dyDescent="0.25">
      <c r="A485" s="68">
        <f t="shared" si="156"/>
        <v>505</v>
      </c>
      <c r="B485" s="69" t="s">
        <v>182</v>
      </c>
      <c r="C485" s="68" t="s">
        <v>2624</v>
      </c>
      <c r="D485" s="68" t="s">
        <v>2627</v>
      </c>
      <c r="E485" s="68" t="s">
        <v>886</v>
      </c>
      <c r="F485" s="68" t="s">
        <v>84</v>
      </c>
      <c r="G485" s="68" t="s">
        <v>6</v>
      </c>
      <c r="H485" s="68" t="s">
        <v>888</v>
      </c>
      <c r="I485" s="68">
        <f t="shared" si="157"/>
        <v>1504</v>
      </c>
      <c r="J485" s="68" t="s">
        <v>2631</v>
      </c>
      <c r="K485" s="68" t="s">
        <v>2627</v>
      </c>
      <c r="L485" s="70"/>
      <c r="M485" s="71" t="s">
        <v>979</v>
      </c>
      <c r="N485" s="72" t="s">
        <v>809</v>
      </c>
      <c r="O485" s="68">
        <v>1</v>
      </c>
      <c r="P485" s="69" t="str">
        <f t="shared" si="158"/>
        <v>Chilli Con Carne Mix (MC) - GFF381R</v>
      </c>
      <c r="Q485" s="72"/>
      <c r="R485" s="72"/>
      <c r="S485" s="72"/>
      <c r="T485" s="72"/>
      <c r="U485" s="72"/>
      <c r="V485" s="72"/>
      <c r="W485" s="72" t="s">
        <v>1435</v>
      </c>
      <c r="X485" s="72" t="s">
        <v>1814</v>
      </c>
      <c r="Y485" s="72">
        <v>3</v>
      </c>
      <c r="Z485" s="80">
        <v>44419</v>
      </c>
    </row>
    <row r="486" spans="1:26" x14ac:dyDescent="0.25">
      <c r="A486" s="68">
        <f t="shared" si="156"/>
        <v>506</v>
      </c>
      <c r="B486" s="69" t="s">
        <v>182</v>
      </c>
      <c r="C486" s="68" t="s">
        <v>2641</v>
      </c>
      <c r="D486" s="68" t="s">
        <v>2643</v>
      </c>
      <c r="E486" s="68" t="s">
        <v>886</v>
      </c>
      <c r="F486" s="68" t="s">
        <v>56</v>
      </c>
      <c r="G486" s="68" t="s">
        <v>6</v>
      </c>
      <c r="H486" s="68" t="s">
        <v>888</v>
      </c>
      <c r="I486" s="68">
        <f t="shared" si="157"/>
        <v>1505</v>
      </c>
      <c r="J486" s="68" t="s">
        <v>2642</v>
      </c>
      <c r="K486" s="68" t="s">
        <v>2643</v>
      </c>
      <c r="L486" s="70"/>
      <c r="M486" s="71" t="s">
        <v>980</v>
      </c>
      <c r="N486" s="72" t="s">
        <v>814</v>
      </c>
      <c r="O486" s="68">
        <v>1</v>
      </c>
      <c r="P486" s="69" t="str">
        <f t="shared" si="158"/>
        <v>Steamed Green Beans Fresh - GFF392R</v>
      </c>
      <c r="Q486" s="72"/>
      <c r="R486" s="72"/>
      <c r="S486" s="72"/>
      <c r="T486" s="72"/>
      <c r="U486" s="72"/>
      <c r="V486" s="72"/>
      <c r="W486" s="72" t="s">
        <v>1435</v>
      </c>
      <c r="X486" s="72" t="s">
        <v>982</v>
      </c>
      <c r="Y486" s="72" t="s">
        <v>982</v>
      </c>
      <c r="Z486" s="80">
        <v>44428</v>
      </c>
    </row>
    <row r="487" spans="1:26" x14ac:dyDescent="0.25">
      <c r="A487" s="68">
        <f t="shared" si="156"/>
        <v>507</v>
      </c>
      <c r="B487" s="69" t="s">
        <v>1775</v>
      </c>
      <c r="C487" s="68" t="s">
        <v>2720</v>
      </c>
      <c r="D487" s="68" t="s">
        <v>2647</v>
      </c>
      <c r="E487" s="68" t="s">
        <v>885</v>
      </c>
      <c r="F487" s="68" t="s">
        <v>32</v>
      </c>
      <c r="G487" s="68" t="s">
        <v>2149</v>
      </c>
      <c r="H487" s="68" t="s">
        <v>939</v>
      </c>
      <c r="I487" s="68">
        <f t="shared" si="157"/>
        <v>1506</v>
      </c>
      <c r="J487" s="68" t="s">
        <v>2651</v>
      </c>
      <c r="K487" s="68" t="s">
        <v>2655</v>
      </c>
      <c r="L487" s="70">
        <v>21</v>
      </c>
      <c r="M487" s="71" t="s">
        <v>980</v>
      </c>
      <c r="N487" s="72" t="s">
        <v>814</v>
      </c>
      <c r="O487" s="68">
        <v>1000</v>
      </c>
      <c r="P487" s="69" t="str">
        <f t="shared" si="158"/>
        <v>Lemon Grass Spring Rolls 21G - GFF405R</v>
      </c>
      <c r="Q487" s="72"/>
      <c r="R487" s="72"/>
      <c r="S487" s="72"/>
      <c r="T487" s="72"/>
      <c r="U487" s="72"/>
      <c r="V487" s="72"/>
      <c r="W487" s="72" t="s">
        <v>1435</v>
      </c>
      <c r="X487" s="72" t="s">
        <v>1725</v>
      </c>
      <c r="Y487" s="72">
        <v>1</v>
      </c>
      <c r="Z487" s="80">
        <v>44445</v>
      </c>
    </row>
    <row r="488" spans="1:26" x14ac:dyDescent="0.25">
      <c r="A488" s="68">
        <f t="shared" si="156"/>
        <v>508</v>
      </c>
      <c r="B488" s="69" t="s">
        <v>182</v>
      </c>
      <c r="C488" s="68" t="s">
        <v>2665</v>
      </c>
      <c r="D488" s="68" t="s">
        <v>2648</v>
      </c>
      <c r="E488" s="68" t="s">
        <v>885</v>
      </c>
      <c r="F488" s="68" t="s">
        <v>51</v>
      </c>
      <c r="G488" s="68" t="s">
        <v>6</v>
      </c>
      <c r="H488" s="68" t="s">
        <v>888</v>
      </c>
      <c r="I488" s="68">
        <f t="shared" si="157"/>
        <v>1507</v>
      </c>
      <c r="J488" s="68" t="s">
        <v>2652</v>
      </c>
      <c r="K488" s="68" t="s">
        <v>2656</v>
      </c>
      <c r="L488" s="70">
        <v>1</v>
      </c>
      <c r="M488" s="71" t="s">
        <v>980</v>
      </c>
      <c r="N488" s="72" t="s">
        <v>814</v>
      </c>
      <c r="O488" s="74">
        <v>25</v>
      </c>
      <c r="P488" s="69" t="str">
        <f t="shared" si="158"/>
        <v>Bang Bang Couliflour KG - GFF394R</v>
      </c>
      <c r="Q488" s="72"/>
      <c r="R488" s="72">
        <f t="shared" ref="R488:R489" si="159">($Q488/5)*4</f>
        <v>0</v>
      </c>
      <c r="S488" s="72">
        <f t="shared" ref="S488:S489" si="160">($Q488/5)*3</f>
        <v>0</v>
      </c>
      <c r="T488" s="72">
        <f t="shared" ref="T488:T489" si="161">($Q488/5)*2</f>
        <v>0</v>
      </c>
      <c r="U488" s="72">
        <f t="shared" ref="U488:U489" si="162">($Q488/5)*1</f>
        <v>0</v>
      </c>
      <c r="V488" s="72"/>
      <c r="W488" s="72" t="s">
        <v>1435</v>
      </c>
      <c r="X488" s="72" t="s">
        <v>1501</v>
      </c>
      <c r="Y488" s="72">
        <v>3</v>
      </c>
      <c r="Z488" s="80">
        <v>44445</v>
      </c>
    </row>
    <row r="489" spans="1:26" x14ac:dyDescent="0.25">
      <c r="A489" s="68">
        <f t="shared" si="156"/>
        <v>509</v>
      </c>
      <c r="B489" s="69" t="s">
        <v>182</v>
      </c>
      <c r="C489" s="68" t="s">
        <v>2715</v>
      </c>
      <c r="D489" s="68" t="s">
        <v>2649</v>
      </c>
      <c r="E489" s="68" t="s">
        <v>885</v>
      </c>
      <c r="F489" s="68" t="s">
        <v>1840</v>
      </c>
      <c r="G489" s="68" t="s">
        <v>6</v>
      </c>
      <c r="H489" s="68" t="s">
        <v>888</v>
      </c>
      <c r="I489" s="68">
        <f t="shared" si="157"/>
        <v>1508</v>
      </c>
      <c r="J489" s="68" t="s">
        <v>2653</v>
      </c>
      <c r="K489" s="68" t="s">
        <v>2657</v>
      </c>
      <c r="L489" s="70">
        <v>20</v>
      </c>
      <c r="M489" s="71" t="s">
        <v>980</v>
      </c>
      <c r="N489" s="72" t="s">
        <v>814</v>
      </c>
      <c r="O489" s="68">
        <v>5200</v>
      </c>
      <c r="P489" s="69" t="str">
        <f t="shared" si="158"/>
        <v>Pea &amp; Mint Fritter 20G - GFF404R</v>
      </c>
      <c r="Q489" s="72">
        <v>25</v>
      </c>
      <c r="R489" s="72">
        <f t="shared" si="159"/>
        <v>20</v>
      </c>
      <c r="S489" s="72">
        <f t="shared" si="160"/>
        <v>15</v>
      </c>
      <c r="T489" s="72">
        <f t="shared" si="161"/>
        <v>10</v>
      </c>
      <c r="U489" s="72">
        <f t="shared" si="162"/>
        <v>5</v>
      </c>
      <c r="V489" s="72"/>
      <c r="W489" s="72" t="s">
        <v>1435</v>
      </c>
      <c r="X489" s="72" t="s">
        <v>1814</v>
      </c>
      <c r="Y489" s="72">
        <v>3</v>
      </c>
      <c r="Z489" s="80">
        <v>44445</v>
      </c>
    </row>
    <row r="490" spans="1:26" x14ac:dyDescent="0.25">
      <c r="A490" s="68">
        <f t="shared" si="156"/>
        <v>510</v>
      </c>
      <c r="B490" s="69" t="s">
        <v>2645</v>
      </c>
      <c r="C490" s="68" t="s">
        <v>2646</v>
      </c>
      <c r="D490" s="68" t="s">
        <v>2650</v>
      </c>
      <c r="E490" s="68" t="s">
        <v>885</v>
      </c>
      <c r="F490" s="68" t="s">
        <v>1414</v>
      </c>
      <c r="G490" s="68" t="s">
        <v>17</v>
      </c>
      <c r="H490" s="68" t="s">
        <v>939</v>
      </c>
      <c r="I490" s="68">
        <f t="shared" si="157"/>
        <v>1509</v>
      </c>
      <c r="J490" s="68" t="s">
        <v>2646</v>
      </c>
      <c r="K490" s="68" t="s">
        <v>2658</v>
      </c>
      <c r="L490" s="70">
        <v>14.5</v>
      </c>
      <c r="M490" s="71" t="s">
        <v>979</v>
      </c>
      <c r="N490" s="72" t="s">
        <v>814</v>
      </c>
      <c r="O490" s="68">
        <v>1</v>
      </c>
      <c r="P490" s="69" t="str">
        <f t="shared" si="158"/>
        <v>Beef &amp; Horseredish York Pudding 14.5G - FIN002-01</v>
      </c>
      <c r="Q490" s="72"/>
      <c r="R490" s="72"/>
      <c r="S490" s="72"/>
      <c r="T490" s="72"/>
      <c r="U490" s="72"/>
      <c r="V490" s="72"/>
      <c r="W490" s="72" t="s">
        <v>1435</v>
      </c>
      <c r="X490" s="72" t="s">
        <v>982</v>
      </c>
      <c r="Y490" s="72" t="s">
        <v>982</v>
      </c>
      <c r="Z490" s="80">
        <v>44445</v>
      </c>
    </row>
    <row r="491" spans="1:26" x14ac:dyDescent="0.25">
      <c r="A491" s="68">
        <f t="shared" si="156"/>
        <v>511</v>
      </c>
      <c r="B491" s="69" t="s">
        <v>182</v>
      </c>
      <c r="C491" s="68" t="s">
        <v>2664</v>
      </c>
      <c r="D491" s="68" t="s">
        <v>2563</v>
      </c>
      <c r="E491" s="68" t="s">
        <v>885</v>
      </c>
      <c r="F491" s="68" t="s">
        <v>56</v>
      </c>
      <c r="G491" s="68" t="s">
        <v>6</v>
      </c>
      <c r="H491" s="68" t="s">
        <v>888</v>
      </c>
      <c r="I491" s="68">
        <f t="shared" si="157"/>
        <v>1510</v>
      </c>
      <c r="J491" s="68" t="s">
        <v>2654</v>
      </c>
      <c r="K491" s="68" t="s">
        <v>2659</v>
      </c>
      <c r="L491" s="70">
        <v>20</v>
      </c>
      <c r="M491" s="71" t="s">
        <v>980</v>
      </c>
      <c r="N491" s="72" t="s">
        <v>814</v>
      </c>
      <c r="O491" s="68">
        <v>11280</v>
      </c>
      <c r="P491" s="69" t="str">
        <f t="shared" si="158"/>
        <v>Lancashire Cheese &amp; Plum Chutney Parcels 20G - GFF393R</v>
      </c>
      <c r="Q491" s="72">
        <v>15</v>
      </c>
      <c r="R491" s="72">
        <f t="shared" ref="R491:R492" si="163">($Q491/5)*4</f>
        <v>12</v>
      </c>
      <c r="S491" s="72">
        <f t="shared" ref="S491:S492" si="164">($Q491/5)*3</f>
        <v>9</v>
      </c>
      <c r="T491" s="72">
        <f t="shared" ref="T491:T492" si="165">($Q491/5)*2</f>
        <v>6</v>
      </c>
      <c r="U491" s="72">
        <f t="shared" ref="U491:U492" si="166">($Q491/5)*1</f>
        <v>3</v>
      </c>
      <c r="V491" s="72"/>
      <c r="W491" s="72" t="s">
        <v>1435</v>
      </c>
      <c r="X491" s="1" t="s">
        <v>1744</v>
      </c>
      <c r="Y491" s="72">
        <v>2</v>
      </c>
      <c r="Z491" s="80">
        <v>44445</v>
      </c>
    </row>
    <row r="492" spans="1:26" x14ac:dyDescent="0.25">
      <c r="A492" s="68">
        <f t="shared" si="156"/>
        <v>512</v>
      </c>
      <c r="B492" s="69" t="s">
        <v>182</v>
      </c>
      <c r="C492" s="68" t="s">
        <v>2714</v>
      </c>
      <c r="D492" s="68" t="s">
        <v>2717</v>
      </c>
      <c r="E492" s="68" t="s">
        <v>885</v>
      </c>
      <c r="F492" s="68" t="s">
        <v>56</v>
      </c>
      <c r="G492" s="68" t="s">
        <v>6</v>
      </c>
      <c r="H492" s="68" t="s">
        <v>939</v>
      </c>
      <c r="I492" s="68">
        <f t="shared" si="157"/>
        <v>1511</v>
      </c>
      <c r="J492" s="68" t="s">
        <v>2661</v>
      </c>
      <c r="K492" s="68" t="s">
        <v>2662</v>
      </c>
      <c r="L492" s="70">
        <v>25</v>
      </c>
      <c r="M492" s="71" t="s">
        <v>980</v>
      </c>
      <c r="N492" s="72" t="s">
        <v>814</v>
      </c>
      <c r="O492" s="68">
        <v>4000</v>
      </c>
      <c r="P492" s="69" t="str">
        <f t="shared" si="158"/>
        <v>Spinach &amp; Feta Parcel 25G - GFF402R</v>
      </c>
      <c r="Q492" s="72">
        <v>37.5</v>
      </c>
      <c r="R492" s="72">
        <f t="shared" si="163"/>
        <v>30</v>
      </c>
      <c r="S492" s="72">
        <f t="shared" si="164"/>
        <v>22.5</v>
      </c>
      <c r="T492" s="72">
        <f t="shared" si="165"/>
        <v>15</v>
      </c>
      <c r="U492" s="72">
        <f t="shared" si="166"/>
        <v>7.5</v>
      </c>
      <c r="V492" s="72"/>
      <c r="W492" s="72" t="s">
        <v>1435</v>
      </c>
      <c r="X492" s="1" t="s">
        <v>1744</v>
      </c>
      <c r="Y492" s="72">
        <v>2</v>
      </c>
      <c r="Z492" s="80">
        <v>44445</v>
      </c>
    </row>
    <row r="493" spans="1:26" x14ac:dyDescent="0.25">
      <c r="A493" s="68">
        <f t="shared" si="156"/>
        <v>513</v>
      </c>
      <c r="B493" s="69" t="s">
        <v>182</v>
      </c>
      <c r="C493" s="68" t="s">
        <v>2666</v>
      </c>
      <c r="D493" s="68" t="s">
        <v>2187</v>
      </c>
      <c r="E493" s="68" t="s">
        <v>886</v>
      </c>
      <c r="F493" s="68" t="s">
        <v>73</v>
      </c>
      <c r="G493" s="68" t="s">
        <v>6</v>
      </c>
      <c r="H493" s="68" t="s">
        <v>888</v>
      </c>
      <c r="I493" s="68">
        <f t="shared" si="157"/>
        <v>1512</v>
      </c>
      <c r="J493" s="68" t="s">
        <v>2670</v>
      </c>
      <c r="K493" s="68" t="s">
        <v>2668</v>
      </c>
      <c r="L493" s="70"/>
      <c r="M493" s="71" t="s">
        <v>979</v>
      </c>
      <c r="N493" s="72" t="s">
        <v>814</v>
      </c>
      <c r="O493" s="68">
        <v>1</v>
      </c>
      <c r="P493" s="69" t="str">
        <f t="shared" si="158"/>
        <v>Thai Green Curry Sauce (MC) - R1 - GFF376R</v>
      </c>
      <c r="Q493" s="72"/>
      <c r="R493" s="72"/>
      <c r="S493" s="72"/>
      <c r="T493" s="72"/>
      <c r="U493" s="72"/>
      <c r="V493" s="72"/>
      <c r="W493" s="72" t="s">
        <v>1435</v>
      </c>
      <c r="X493" s="72" t="s">
        <v>982</v>
      </c>
      <c r="Y493" s="72" t="s">
        <v>982</v>
      </c>
      <c r="Z493" s="80">
        <v>44459</v>
      </c>
    </row>
    <row r="494" spans="1:26" x14ac:dyDescent="0.25">
      <c r="A494" s="68">
        <f t="shared" si="156"/>
        <v>514</v>
      </c>
      <c r="B494" s="69" t="s">
        <v>182</v>
      </c>
      <c r="C494" s="68" t="s">
        <v>2667</v>
      </c>
      <c r="D494" s="68" t="s">
        <v>2178</v>
      </c>
      <c r="E494" s="68" t="s">
        <v>886</v>
      </c>
      <c r="F494" s="68" t="s">
        <v>62</v>
      </c>
      <c r="G494" s="68" t="s">
        <v>6</v>
      </c>
      <c r="H494" s="68" t="s">
        <v>888</v>
      </c>
      <c r="I494" s="68">
        <f t="shared" si="157"/>
        <v>1513</v>
      </c>
      <c r="J494" s="68" t="s">
        <v>2671</v>
      </c>
      <c r="K494" s="68" t="s">
        <v>2669</v>
      </c>
      <c r="L494" s="70"/>
      <c r="M494" s="71" t="s">
        <v>980</v>
      </c>
      <c r="N494" s="72" t="s">
        <v>809</v>
      </c>
      <c r="O494" s="68">
        <v>1</v>
      </c>
      <c r="P494" s="69" t="str">
        <f t="shared" si="158"/>
        <v>Spinach Dahl (MC) - R1 - GFF384R</v>
      </c>
      <c r="Q494" s="72"/>
      <c r="R494" s="72"/>
      <c r="S494" s="72"/>
      <c r="T494" s="72"/>
      <c r="U494" s="72"/>
      <c r="V494" s="72"/>
      <c r="W494" s="72" t="s">
        <v>1435</v>
      </c>
      <c r="X494" s="72" t="s">
        <v>982</v>
      </c>
      <c r="Y494" s="72" t="s">
        <v>982</v>
      </c>
      <c r="Z494" s="80">
        <v>44459</v>
      </c>
    </row>
    <row r="495" spans="1:26" x14ac:dyDescent="0.25">
      <c r="A495" s="68">
        <f t="shared" si="156"/>
        <v>515</v>
      </c>
      <c r="B495" s="69" t="s">
        <v>182</v>
      </c>
      <c r="C495" s="68" t="s">
        <v>2674</v>
      </c>
      <c r="D495" s="68" t="s">
        <v>2675</v>
      </c>
      <c r="E495" s="68" t="s">
        <v>886</v>
      </c>
      <c r="F495" s="68" t="s">
        <v>84</v>
      </c>
      <c r="G495" s="68" t="s">
        <v>6</v>
      </c>
      <c r="H495" s="68" t="s">
        <v>888</v>
      </c>
      <c r="I495" s="68">
        <f t="shared" si="157"/>
        <v>1514</v>
      </c>
      <c r="J495" s="68" t="s">
        <v>2688</v>
      </c>
      <c r="K495" s="68" t="s">
        <v>2675</v>
      </c>
      <c r="L495" s="70"/>
      <c r="M495" s="71" t="s">
        <v>980</v>
      </c>
      <c r="N495" s="72" t="s">
        <v>814</v>
      </c>
      <c r="O495" s="68">
        <v>1</v>
      </c>
      <c r="P495" s="69" t="str">
        <f t="shared" si="158"/>
        <v>Fried Potato Wedges - GFF396R</v>
      </c>
      <c r="Q495" s="72"/>
      <c r="R495" s="72"/>
      <c r="S495" s="72"/>
      <c r="T495" s="72"/>
      <c r="U495" s="72"/>
      <c r="V495" s="72"/>
      <c r="W495" s="72" t="s">
        <v>1435</v>
      </c>
      <c r="X495" s="72" t="s">
        <v>1501</v>
      </c>
      <c r="Y495" s="72">
        <v>3</v>
      </c>
      <c r="Z495" s="80">
        <v>44468</v>
      </c>
    </row>
    <row r="496" spans="1:26" x14ac:dyDescent="0.25">
      <c r="A496" s="68">
        <f t="shared" si="156"/>
        <v>516</v>
      </c>
      <c r="B496" s="69" t="s">
        <v>182</v>
      </c>
      <c r="C496" s="68" t="s">
        <v>2676</v>
      </c>
      <c r="D496" s="68" t="s">
        <v>2677</v>
      </c>
      <c r="E496" s="68" t="s">
        <v>886</v>
      </c>
      <c r="F496" s="68" t="s">
        <v>84</v>
      </c>
      <c r="G496" s="68" t="s">
        <v>6</v>
      </c>
      <c r="H496" s="68" t="s">
        <v>888</v>
      </c>
      <c r="I496" s="68">
        <f t="shared" si="157"/>
        <v>1515</v>
      </c>
      <c r="J496" s="68" t="s">
        <v>2689</v>
      </c>
      <c r="K496" s="68" t="s">
        <v>2677</v>
      </c>
      <c r="L496" s="70"/>
      <c r="M496" s="71" t="s">
        <v>980</v>
      </c>
      <c r="N496" s="72" t="s">
        <v>814</v>
      </c>
      <c r="O496" s="68">
        <v>1</v>
      </c>
      <c r="P496" s="69" t="str">
        <f t="shared" si="158"/>
        <v>Salsa Sauce  - GFF397R</v>
      </c>
      <c r="Q496" s="72"/>
      <c r="R496" s="72"/>
      <c r="S496" s="72"/>
      <c r="T496" s="72"/>
      <c r="U496" s="72"/>
      <c r="V496" s="72"/>
      <c r="W496" s="72" t="s">
        <v>1435</v>
      </c>
      <c r="X496" s="72" t="s">
        <v>982</v>
      </c>
      <c r="Y496" s="72" t="s">
        <v>982</v>
      </c>
      <c r="Z496" s="80">
        <v>44468</v>
      </c>
    </row>
    <row r="497" spans="1:26" x14ac:dyDescent="0.25">
      <c r="A497" s="68">
        <f t="shared" si="156"/>
        <v>517</v>
      </c>
      <c r="B497" s="69" t="s">
        <v>182</v>
      </c>
      <c r="C497" s="68" t="s">
        <v>2678</v>
      </c>
      <c r="D497" s="68" t="s">
        <v>2679</v>
      </c>
      <c r="E497" s="68" t="s">
        <v>886</v>
      </c>
      <c r="F497" s="68" t="s">
        <v>84</v>
      </c>
      <c r="G497" s="68" t="s">
        <v>6</v>
      </c>
      <c r="H497" s="68" t="s">
        <v>888</v>
      </c>
      <c r="I497" s="68">
        <f t="shared" si="157"/>
        <v>1516</v>
      </c>
      <c r="J497" s="68" t="s">
        <v>2690</v>
      </c>
      <c r="K497" s="68" t="s">
        <v>2679</v>
      </c>
      <c r="L497" s="70"/>
      <c r="M497" s="71" t="s">
        <v>979</v>
      </c>
      <c r="N497" s="72" t="s">
        <v>814</v>
      </c>
      <c r="O497" s="68">
        <v>1</v>
      </c>
      <c r="P497" s="69" t="str">
        <f t="shared" si="158"/>
        <v>Mix for Enchilada Roll  - GFF398R</v>
      </c>
      <c r="Q497" s="72"/>
      <c r="R497" s="72"/>
      <c r="S497" s="72"/>
      <c r="T497" s="72"/>
      <c r="U497" s="72"/>
      <c r="V497" s="72"/>
      <c r="W497" s="72" t="s">
        <v>1435</v>
      </c>
      <c r="X497" s="72" t="s">
        <v>2693</v>
      </c>
      <c r="Y497" s="72">
        <v>3</v>
      </c>
      <c r="Z497" s="80">
        <v>44468</v>
      </c>
    </row>
    <row r="498" spans="1:26" x14ac:dyDescent="0.25">
      <c r="A498" s="68">
        <f t="shared" si="156"/>
        <v>518</v>
      </c>
      <c r="B498" s="69" t="s">
        <v>182</v>
      </c>
      <c r="C498" s="68" t="s">
        <v>2680</v>
      </c>
      <c r="D498" s="68" t="s">
        <v>2681</v>
      </c>
      <c r="E498" s="68" t="s">
        <v>885</v>
      </c>
      <c r="F498" s="68" t="s">
        <v>84</v>
      </c>
      <c r="G498" s="68" t="s">
        <v>6</v>
      </c>
      <c r="H498" s="68" t="s">
        <v>888</v>
      </c>
      <c r="I498" s="68">
        <f t="shared" si="157"/>
        <v>1517</v>
      </c>
      <c r="J498" s="68" t="s">
        <v>2691</v>
      </c>
      <c r="K498" s="68" t="s">
        <v>2681</v>
      </c>
      <c r="L498" s="70">
        <v>240</v>
      </c>
      <c r="M498" s="71" t="s">
        <v>979</v>
      </c>
      <c r="N498" s="72" t="s">
        <v>814</v>
      </c>
      <c r="O498" s="68">
        <v>220</v>
      </c>
      <c r="P498" s="69" t="str">
        <f t="shared" si="158"/>
        <v>Enchilada Roll - GFF399R</v>
      </c>
      <c r="Q498" s="72">
        <v>5.5</v>
      </c>
      <c r="R498" s="72">
        <f t="shared" ref="R498" si="167">($Q498/5)*4</f>
        <v>4.4000000000000004</v>
      </c>
      <c r="S498" s="72">
        <f t="shared" ref="S498" si="168">($Q498/5)*3</f>
        <v>3.3000000000000003</v>
      </c>
      <c r="T498" s="72">
        <f t="shared" ref="T498" si="169">($Q498/5)*2</f>
        <v>2.2000000000000002</v>
      </c>
      <c r="U498" s="72">
        <f t="shared" ref="U498" si="170">($Q498/5)*1</f>
        <v>1.1000000000000001</v>
      </c>
      <c r="V498" s="72"/>
      <c r="W498" s="72" t="s">
        <v>1435</v>
      </c>
      <c r="X498" s="72" t="s">
        <v>2694</v>
      </c>
      <c r="Y498" s="72">
        <v>3</v>
      </c>
      <c r="Z498" s="80">
        <v>44468</v>
      </c>
    </row>
    <row r="499" spans="1:26" x14ac:dyDescent="0.25">
      <c r="A499" s="68">
        <f t="shared" si="156"/>
        <v>519</v>
      </c>
      <c r="B499" s="69" t="s">
        <v>182</v>
      </c>
      <c r="C499" s="68" t="s">
        <v>2682</v>
      </c>
      <c r="D499" s="68" t="s">
        <v>2683</v>
      </c>
      <c r="E499" s="68" t="s">
        <v>886</v>
      </c>
      <c r="F499" s="68" t="s">
        <v>84</v>
      </c>
      <c r="G499" s="68" t="s">
        <v>6</v>
      </c>
      <c r="H499" s="68" t="s">
        <v>888</v>
      </c>
      <c r="I499" s="68">
        <f t="shared" si="157"/>
        <v>1518</v>
      </c>
      <c r="J499" s="68" t="s">
        <v>2692</v>
      </c>
      <c r="K499" s="68" t="s">
        <v>2683</v>
      </c>
      <c r="L499" s="70"/>
      <c r="M499" s="71" t="s">
        <v>980</v>
      </c>
      <c r="N499" s="72" t="s">
        <v>814</v>
      </c>
      <c r="O499" s="68">
        <v>1</v>
      </c>
      <c r="P499" s="69" t="str">
        <f t="shared" si="158"/>
        <v>Enchilada Sauce  - GFF400R</v>
      </c>
      <c r="Q499" s="72"/>
      <c r="R499" s="72"/>
      <c r="S499" s="72"/>
      <c r="T499" s="72"/>
      <c r="U499" s="72"/>
      <c r="V499" s="72"/>
      <c r="W499" s="72" t="s">
        <v>1435</v>
      </c>
      <c r="X499" s="72" t="s">
        <v>1565</v>
      </c>
      <c r="Y499" s="72">
        <v>3</v>
      </c>
      <c r="Z499" s="80">
        <v>44468</v>
      </c>
    </row>
    <row r="500" spans="1:26" x14ac:dyDescent="0.25">
      <c r="A500" s="68">
        <f t="shared" si="156"/>
        <v>520</v>
      </c>
      <c r="B500" s="69" t="s">
        <v>182</v>
      </c>
      <c r="C500" s="68" t="s">
        <v>2684</v>
      </c>
      <c r="D500" s="68" t="s">
        <v>2686</v>
      </c>
      <c r="E500" s="68" t="s">
        <v>1115</v>
      </c>
      <c r="F500" s="68" t="s">
        <v>84</v>
      </c>
      <c r="G500" s="68" t="s">
        <v>17</v>
      </c>
      <c r="H500" s="68" t="s">
        <v>888</v>
      </c>
      <c r="I500" s="68">
        <f t="shared" si="157"/>
        <v>1519</v>
      </c>
      <c r="J500" s="68" t="s">
        <v>2684</v>
      </c>
      <c r="K500" s="68" t="s">
        <v>2686</v>
      </c>
      <c r="L500" s="70"/>
      <c r="M500" s="71" t="s">
        <v>980</v>
      </c>
      <c r="N500" s="72" t="s">
        <v>814</v>
      </c>
      <c r="O500" s="68">
        <v>1</v>
      </c>
      <c r="P500" s="69" t="str">
        <f t="shared" si="158"/>
        <v>Medium Hot &amp; Chunky Salsa Picante - MXF001-02</v>
      </c>
      <c r="Q500" s="72"/>
      <c r="R500" s="72"/>
      <c r="S500" s="72"/>
      <c r="T500" s="72"/>
      <c r="U500" s="72"/>
      <c r="V500" s="72"/>
      <c r="W500" s="72" t="s">
        <v>1435</v>
      </c>
      <c r="X500" s="72" t="s">
        <v>982</v>
      </c>
      <c r="Y500" s="72" t="s">
        <v>982</v>
      </c>
      <c r="Z500" s="80">
        <v>44468</v>
      </c>
    </row>
    <row r="501" spans="1:26" x14ac:dyDescent="0.25">
      <c r="A501" s="68">
        <f t="shared" si="156"/>
        <v>521</v>
      </c>
      <c r="B501" s="69" t="s">
        <v>182</v>
      </c>
      <c r="C501" s="68" t="s">
        <v>2685</v>
      </c>
      <c r="D501" s="68" t="s">
        <v>2687</v>
      </c>
      <c r="E501" s="68" t="s">
        <v>1115</v>
      </c>
      <c r="F501" s="68" t="s">
        <v>84</v>
      </c>
      <c r="G501" s="68" t="s">
        <v>17</v>
      </c>
      <c r="H501" s="68" t="s">
        <v>888</v>
      </c>
      <c r="I501" s="68">
        <f t="shared" si="157"/>
        <v>1520</v>
      </c>
      <c r="J501" s="68" t="s">
        <v>2685</v>
      </c>
      <c r="K501" s="68" t="s">
        <v>2687</v>
      </c>
      <c r="L501" s="70"/>
      <c r="M501" s="71" t="s">
        <v>980</v>
      </c>
      <c r="N501" s="72" t="s">
        <v>814</v>
      </c>
      <c r="O501" s="68">
        <v>1</v>
      </c>
      <c r="P501" s="69" t="str">
        <f t="shared" si="158"/>
        <v>Sliced Jalapeno - FUN001-23</v>
      </c>
      <c r="Q501" s="72"/>
      <c r="R501" s="72"/>
      <c r="S501" s="72"/>
      <c r="T501" s="72"/>
      <c r="U501" s="72"/>
      <c r="V501" s="72"/>
      <c r="W501" s="72" t="s">
        <v>1435</v>
      </c>
      <c r="X501" s="72" t="s">
        <v>982</v>
      </c>
      <c r="Y501" s="72" t="s">
        <v>982</v>
      </c>
      <c r="Z501" s="80">
        <v>44468</v>
      </c>
    </row>
    <row r="502" spans="1:26" x14ac:dyDescent="0.25">
      <c r="A502" s="68">
        <f t="shared" si="156"/>
        <v>522</v>
      </c>
      <c r="B502" s="69" t="s">
        <v>182</v>
      </c>
      <c r="C502" s="68" t="s">
        <v>1311</v>
      </c>
      <c r="D502" s="68" t="s">
        <v>820</v>
      </c>
      <c r="E502" s="68" t="s">
        <v>885</v>
      </c>
      <c r="F502" s="68" t="s">
        <v>32</v>
      </c>
      <c r="G502" s="68" t="s">
        <v>6</v>
      </c>
      <c r="H502" s="68" t="s">
        <v>888</v>
      </c>
      <c r="I502" s="68">
        <f t="shared" si="157"/>
        <v>1521</v>
      </c>
      <c r="J502" s="68" t="s">
        <v>2696</v>
      </c>
      <c r="K502" s="68" t="s">
        <v>2697</v>
      </c>
      <c r="L502" s="70">
        <v>50</v>
      </c>
      <c r="M502" s="71" t="s">
        <v>980</v>
      </c>
      <c r="N502" s="72" t="s">
        <v>814</v>
      </c>
      <c r="O502" s="68">
        <v>3700</v>
      </c>
      <c r="P502" s="69" t="str">
        <f t="shared" si="158"/>
        <v>Vegetable Spring Roll Medium 50G- Cook - GFF114R</v>
      </c>
      <c r="Q502" s="72">
        <v>35</v>
      </c>
      <c r="R502" s="72">
        <f t="shared" ref="R502" si="171">($Q502/5)*4</f>
        <v>28</v>
      </c>
      <c r="S502" s="72">
        <f t="shared" ref="S502" si="172">($Q502/5)*3</f>
        <v>21</v>
      </c>
      <c r="T502" s="72">
        <f t="shared" ref="T502" si="173">($Q502/5)*2</f>
        <v>14</v>
      </c>
      <c r="U502" s="72">
        <f t="shared" ref="U502" si="174">($Q502/5)*1</f>
        <v>7</v>
      </c>
      <c r="V502" s="72">
        <v>20</v>
      </c>
      <c r="W502" s="72" t="s">
        <v>1435</v>
      </c>
      <c r="X502" s="72" t="s">
        <v>1499</v>
      </c>
      <c r="Y502" s="72">
        <v>3</v>
      </c>
      <c r="Z502" s="80">
        <v>44469</v>
      </c>
    </row>
    <row r="503" spans="1:26" x14ac:dyDescent="0.25">
      <c r="A503" s="68">
        <f t="shared" si="156"/>
        <v>523</v>
      </c>
      <c r="B503" s="69" t="s">
        <v>182</v>
      </c>
      <c r="C503" s="68" t="s">
        <v>2699</v>
      </c>
      <c r="D503" s="68" t="s">
        <v>2012</v>
      </c>
      <c r="E503" s="68" t="s">
        <v>886</v>
      </c>
      <c r="F503" s="68" t="s">
        <v>56</v>
      </c>
      <c r="G503" s="68" t="s">
        <v>6</v>
      </c>
      <c r="H503" s="68" t="s">
        <v>888</v>
      </c>
      <c r="I503" s="68">
        <f t="shared" si="157"/>
        <v>1522</v>
      </c>
      <c r="J503" s="68" t="s">
        <v>2705</v>
      </c>
      <c r="K503" s="68" t="s">
        <v>2702</v>
      </c>
      <c r="L503" s="70"/>
      <c r="M503" s="71" t="s">
        <v>980</v>
      </c>
      <c r="N503" s="72" t="s">
        <v>814</v>
      </c>
      <c r="O503" s="68">
        <v>1</v>
      </c>
      <c r="P503" s="69" t="str">
        <f t="shared" si="158"/>
        <v>Veggie Pie Mix (MC)- R1 - GFF383R</v>
      </c>
      <c r="Q503" s="72"/>
      <c r="R503" s="72"/>
      <c r="S503" s="72"/>
      <c r="T503" s="72"/>
      <c r="U503" s="72"/>
      <c r="V503" s="72"/>
      <c r="W503" s="72" t="s">
        <v>1435</v>
      </c>
      <c r="X503" s="72" t="s">
        <v>982</v>
      </c>
      <c r="Y503" s="72" t="s">
        <v>982</v>
      </c>
      <c r="Z503" s="80">
        <v>44469</v>
      </c>
    </row>
    <row r="504" spans="1:26" x14ac:dyDescent="0.25">
      <c r="A504" s="68">
        <f t="shared" si="156"/>
        <v>524</v>
      </c>
      <c r="B504" s="69" t="s">
        <v>182</v>
      </c>
      <c r="C504" s="68" t="s">
        <v>2700</v>
      </c>
      <c r="D504" s="68" t="s">
        <v>2084</v>
      </c>
      <c r="E504" s="68" t="s">
        <v>886</v>
      </c>
      <c r="F504" s="68" t="s">
        <v>56</v>
      </c>
      <c r="G504" s="68" t="s">
        <v>6</v>
      </c>
      <c r="H504" s="68" t="s">
        <v>888</v>
      </c>
      <c r="I504" s="68">
        <f t="shared" si="157"/>
        <v>1523</v>
      </c>
      <c r="J504" s="68" t="s">
        <v>2706</v>
      </c>
      <c r="K504" s="68" t="s">
        <v>2703</v>
      </c>
      <c r="L504" s="70"/>
      <c r="M504" s="71" t="s">
        <v>980</v>
      </c>
      <c r="N504" s="72" t="s">
        <v>814</v>
      </c>
      <c r="O504" s="68">
        <v>1</v>
      </c>
      <c r="P504" s="69" t="str">
        <f t="shared" si="158"/>
        <v>Bean Bake Mix (MC)- R1 - GFF385R</v>
      </c>
      <c r="Q504" s="72"/>
      <c r="R504" s="72"/>
      <c r="S504" s="72"/>
      <c r="T504" s="72"/>
      <c r="U504" s="72"/>
      <c r="V504" s="72"/>
      <c r="W504" s="72" t="s">
        <v>1435</v>
      </c>
      <c r="X504" s="72" t="s">
        <v>982</v>
      </c>
      <c r="Y504" s="72" t="s">
        <v>982</v>
      </c>
      <c r="Z504" s="80">
        <v>44469</v>
      </c>
    </row>
    <row r="505" spans="1:26" x14ac:dyDescent="0.25">
      <c r="A505" s="68">
        <f t="shared" si="156"/>
        <v>525</v>
      </c>
      <c r="B505" s="69" t="s">
        <v>182</v>
      </c>
      <c r="C505" s="68" t="s">
        <v>2701</v>
      </c>
      <c r="D505" s="68" t="s">
        <v>2098</v>
      </c>
      <c r="E505" s="68" t="s">
        <v>886</v>
      </c>
      <c r="F505" s="68" t="s">
        <v>56</v>
      </c>
      <c r="G505" s="68" t="s">
        <v>6</v>
      </c>
      <c r="H505" s="68" t="s">
        <v>888</v>
      </c>
      <c r="I505" s="68">
        <f t="shared" si="157"/>
        <v>1524</v>
      </c>
      <c r="J505" s="68" t="s">
        <v>2707</v>
      </c>
      <c r="K505" s="68" t="s">
        <v>2704</v>
      </c>
      <c r="L505" s="70"/>
      <c r="M505" s="71" t="s">
        <v>980</v>
      </c>
      <c r="N505" s="72" t="s">
        <v>814</v>
      </c>
      <c r="O505" s="68">
        <v>1</v>
      </c>
      <c r="P505" s="69" t="str">
        <f t="shared" si="158"/>
        <v>Crumb Mix (MC)- R1 - GFF386R</v>
      </c>
      <c r="Q505" s="72"/>
      <c r="R505" s="72"/>
      <c r="S505" s="72"/>
      <c r="T505" s="72"/>
      <c r="U505" s="72"/>
      <c r="V505" s="72"/>
      <c r="W505" s="72" t="s">
        <v>1435</v>
      </c>
      <c r="X505" s="72" t="s">
        <v>1862</v>
      </c>
      <c r="Y505" s="72">
        <v>1</v>
      </c>
      <c r="Z505" s="80">
        <v>44469</v>
      </c>
    </row>
    <row r="506" spans="1:26" x14ac:dyDescent="0.25">
      <c r="A506" s="68">
        <f t="shared" si="156"/>
        <v>526</v>
      </c>
      <c r="B506" s="69" t="s">
        <v>182</v>
      </c>
      <c r="C506" s="68" t="s">
        <v>2710</v>
      </c>
      <c r="D506" s="68" t="s">
        <v>2711</v>
      </c>
      <c r="E506" s="68" t="s">
        <v>886</v>
      </c>
      <c r="F506" s="68" t="s">
        <v>1281</v>
      </c>
      <c r="G506" s="68" t="s">
        <v>6</v>
      </c>
      <c r="H506" s="68" t="s">
        <v>888</v>
      </c>
      <c r="I506" s="68">
        <f t="shared" si="157"/>
        <v>1525</v>
      </c>
      <c r="J506" s="68" t="s">
        <v>2712</v>
      </c>
      <c r="K506" s="68" t="s">
        <v>2711</v>
      </c>
      <c r="L506" s="70"/>
      <c r="M506" s="71" t="s">
        <v>979</v>
      </c>
      <c r="N506" s="72" t="s">
        <v>814</v>
      </c>
      <c r="O506" s="68">
        <v>1</v>
      </c>
      <c r="P506" s="69" t="str">
        <f t="shared" si="158"/>
        <v>Marinated King Prawns (Ready Meals) - GFF403R</v>
      </c>
      <c r="Q506" s="72"/>
      <c r="R506" s="72"/>
      <c r="S506" s="72"/>
      <c r="T506" s="72"/>
      <c r="U506" s="72"/>
      <c r="V506" s="72"/>
      <c r="W506" s="72" t="s">
        <v>1435</v>
      </c>
      <c r="X506" s="72" t="s">
        <v>1618</v>
      </c>
      <c r="Y506" s="72">
        <v>1</v>
      </c>
      <c r="Z506" s="80">
        <v>44446</v>
      </c>
    </row>
    <row r="507" spans="1:26" x14ac:dyDescent="0.25">
      <c r="A507" s="68">
        <f t="shared" si="156"/>
        <v>527</v>
      </c>
      <c r="B507" s="69" t="s">
        <v>182</v>
      </c>
      <c r="C507" s="68" t="s">
        <v>2713</v>
      </c>
      <c r="D507" s="68" t="s">
        <v>2716</v>
      </c>
      <c r="E507" s="68" t="s">
        <v>886</v>
      </c>
      <c r="F507" s="68" t="s">
        <v>56</v>
      </c>
      <c r="G507" s="68" t="s">
        <v>6</v>
      </c>
      <c r="H507" s="68" t="s">
        <v>939</v>
      </c>
      <c r="I507" s="68">
        <f t="shared" si="157"/>
        <v>1526</v>
      </c>
      <c r="J507" s="68" t="s">
        <v>2718</v>
      </c>
      <c r="K507" s="68" t="s">
        <v>2716</v>
      </c>
      <c r="L507" s="70"/>
      <c r="M507" s="71" t="s">
        <v>980</v>
      </c>
      <c r="N507" s="72" t="s">
        <v>814</v>
      </c>
      <c r="O507" s="68">
        <v>1</v>
      </c>
      <c r="P507" s="69" t="str">
        <f t="shared" si="158"/>
        <v>Spinach &amp; Feta Parcel Filling (xmas) - GFF401R</v>
      </c>
      <c r="Q507" s="72"/>
      <c r="R507" s="72"/>
      <c r="S507" s="72"/>
      <c r="T507" s="72"/>
      <c r="U507" s="72"/>
      <c r="V507" s="72"/>
      <c r="W507" s="72" t="s">
        <v>1435</v>
      </c>
      <c r="X507" s="72" t="s">
        <v>1480</v>
      </c>
      <c r="Y507" s="72">
        <v>2</v>
      </c>
      <c r="Z507" s="80">
        <v>44477</v>
      </c>
    </row>
    <row r="508" spans="1:26" x14ac:dyDescent="0.25">
      <c r="A508" s="68">
        <f t="shared" si="156"/>
        <v>528</v>
      </c>
      <c r="B508" s="69" t="s">
        <v>182</v>
      </c>
      <c r="C508" s="68" t="s">
        <v>2722</v>
      </c>
      <c r="D508" s="68" t="s">
        <v>2723</v>
      </c>
      <c r="E508" s="68" t="s">
        <v>886</v>
      </c>
      <c r="F508" s="68" t="s">
        <v>56</v>
      </c>
      <c r="G508" s="68" t="s">
        <v>6</v>
      </c>
      <c r="H508" s="68" t="s">
        <v>939</v>
      </c>
      <c r="I508" s="68">
        <f t="shared" si="157"/>
        <v>1527</v>
      </c>
      <c r="J508" s="68" t="s">
        <v>2724</v>
      </c>
      <c r="K508" s="68" t="s">
        <v>2725</v>
      </c>
      <c r="L508" s="70"/>
      <c r="M508" s="71" t="s">
        <v>980</v>
      </c>
      <c r="N508" s="72" t="s">
        <v>814</v>
      </c>
      <c r="O508" s="68">
        <v>1</v>
      </c>
      <c r="P508" s="69" t="str">
        <f t="shared" si="158"/>
        <v>Steamed Spinach - GFF406R</v>
      </c>
      <c r="Q508" s="72"/>
      <c r="R508" s="72"/>
      <c r="S508" s="72"/>
      <c r="T508" s="72"/>
      <c r="U508" s="72"/>
      <c r="V508" s="72"/>
      <c r="W508" s="72" t="s">
        <v>1435</v>
      </c>
      <c r="X508" s="72" t="s">
        <v>982</v>
      </c>
      <c r="Y508" s="72" t="s">
        <v>982</v>
      </c>
      <c r="Z508" s="80">
        <v>44487</v>
      </c>
    </row>
    <row r="509" spans="1:26" x14ac:dyDescent="0.25">
      <c r="A509" s="68">
        <f t="shared" si="156"/>
        <v>529</v>
      </c>
      <c r="B509" s="69" t="s">
        <v>182</v>
      </c>
      <c r="C509" s="68" t="s">
        <v>2726</v>
      </c>
      <c r="D509" s="68" t="s">
        <v>2097</v>
      </c>
      <c r="E509" s="68" t="s">
        <v>886</v>
      </c>
      <c r="F509" s="68" t="s">
        <v>56</v>
      </c>
      <c r="G509" s="68" t="s">
        <v>6</v>
      </c>
      <c r="H509" s="68" t="s">
        <v>888</v>
      </c>
      <c r="I509" s="68">
        <f t="shared" si="157"/>
        <v>1528</v>
      </c>
      <c r="J509" s="68" t="s">
        <v>2727</v>
      </c>
      <c r="K509" s="68" t="s">
        <v>2728</v>
      </c>
      <c r="L509" s="70"/>
      <c r="M509" s="71" t="s">
        <v>980</v>
      </c>
      <c r="N509" s="72" t="s">
        <v>814</v>
      </c>
      <c r="O509" s="68">
        <v>1</v>
      </c>
      <c r="P509" s="69" t="str">
        <f t="shared" si="158"/>
        <v>Chipotle Sauce (MC)- R1 - GFF380R</v>
      </c>
      <c r="Q509" s="72"/>
      <c r="R509" s="72"/>
      <c r="S509" s="72"/>
      <c r="T509" s="72"/>
      <c r="U509" s="72"/>
      <c r="V509" s="72"/>
      <c r="W509" s="72" t="s">
        <v>1435</v>
      </c>
      <c r="X509" s="72" t="s">
        <v>1814</v>
      </c>
      <c r="Y509" s="72">
        <v>3</v>
      </c>
      <c r="Z509" s="80">
        <v>44491</v>
      </c>
    </row>
    <row r="510" spans="1:26" x14ac:dyDescent="0.25">
      <c r="A510" s="68">
        <f t="shared" si="156"/>
        <v>530</v>
      </c>
      <c r="B510" s="69" t="s">
        <v>182</v>
      </c>
      <c r="C510" s="68" t="s">
        <v>2731</v>
      </c>
      <c r="D510" s="68" t="s">
        <v>2732</v>
      </c>
      <c r="E510" s="68" t="s">
        <v>885</v>
      </c>
      <c r="F510" s="68" t="s">
        <v>32</v>
      </c>
      <c r="G510" s="68" t="s">
        <v>6</v>
      </c>
      <c r="H510" s="68" t="s">
        <v>888</v>
      </c>
      <c r="I510" s="68">
        <f t="shared" si="157"/>
        <v>1529</v>
      </c>
      <c r="J510" s="68" t="s">
        <v>2733</v>
      </c>
      <c r="K510" s="68" t="s">
        <v>2735</v>
      </c>
      <c r="L510" s="70">
        <v>15</v>
      </c>
      <c r="M510" s="71" t="s">
        <v>980</v>
      </c>
      <c r="N510" s="72" t="s">
        <v>814</v>
      </c>
      <c r="O510" s="68">
        <v>1050</v>
      </c>
      <c r="P510" s="69" t="s">
        <v>2735</v>
      </c>
      <c r="Q510" s="72">
        <v>24</v>
      </c>
      <c r="R510" s="72">
        <f t="shared" ref="R510" si="175">($Q510/5)*4</f>
        <v>19.2</v>
      </c>
      <c r="S510" s="72">
        <f t="shared" ref="S510" si="176">($Q510/5)*3</f>
        <v>14.399999999999999</v>
      </c>
      <c r="T510" s="72">
        <f t="shared" ref="T510" si="177">($Q510/5)*2</f>
        <v>9.6</v>
      </c>
      <c r="U510" s="72">
        <f t="shared" ref="U510" si="178">($Q510/5)*1</f>
        <v>4.8</v>
      </c>
      <c r="V510" s="72">
        <v>0</v>
      </c>
      <c r="W510" s="72" t="s">
        <v>1435</v>
      </c>
      <c r="X510" s="72" t="s">
        <v>1499</v>
      </c>
      <c r="Y510" s="72">
        <v>3</v>
      </c>
      <c r="Z510" s="80">
        <v>44538</v>
      </c>
    </row>
    <row r="511" spans="1:26" x14ac:dyDescent="0.25">
      <c r="A511" s="68">
        <f t="shared" si="156"/>
        <v>531</v>
      </c>
      <c r="B511" s="69" t="s">
        <v>182</v>
      </c>
      <c r="C511" s="68" t="s">
        <v>2736</v>
      </c>
      <c r="D511" s="68" t="s">
        <v>2740</v>
      </c>
      <c r="E511" s="68" t="s">
        <v>886</v>
      </c>
      <c r="F511" s="68" t="s">
        <v>62</v>
      </c>
      <c r="G511" s="68" t="s">
        <v>6</v>
      </c>
      <c r="H511" s="68" t="s">
        <v>888</v>
      </c>
      <c r="I511" s="68">
        <f t="shared" si="157"/>
        <v>1530</v>
      </c>
      <c r="J511" s="68" t="s">
        <v>2743</v>
      </c>
      <c r="K511" s="68" t="s">
        <v>2740</v>
      </c>
      <c r="L511" s="70"/>
      <c r="M511" s="71" t="s">
        <v>980</v>
      </c>
      <c r="N511" s="72" t="s">
        <v>814</v>
      </c>
      <c r="O511" s="68">
        <v>1</v>
      </c>
      <c r="P511" s="69" t="str">
        <f t="shared" si="158"/>
        <v>Makhani Sauce (MC) - GFF410R</v>
      </c>
      <c r="Q511" s="72"/>
      <c r="R511" s="72"/>
      <c r="S511" s="72"/>
      <c r="T511" s="72"/>
      <c r="U511" s="72"/>
      <c r="V511" s="72"/>
      <c r="W511" s="72" t="s">
        <v>1435</v>
      </c>
      <c r="X511" s="72" t="s">
        <v>1862</v>
      </c>
      <c r="Y511" s="72">
        <v>1</v>
      </c>
      <c r="Z511" s="80">
        <v>44553</v>
      </c>
    </row>
    <row r="512" spans="1:26" x14ac:dyDescent="0.25">
      <c r="A512" s="68">
        <f t="shared" si="156"/>
        <v>532</v>
      </c>
      <c r="B512" s="69" t="s">
        <v>182</v>
      </c>
      <c r="C512" s="68" t="s">
        <v>2737</v>
      </c>
      <c r="D512" s="68" t="s">
        <v>2749</v>
      </c>
      <c r="E512" s="68" t="s">
        <v>886</v>
      </c>
      <c r="F512" s="68" t="s">
        <v>73</v>
      </c>
      <c r="G512" s="68" t="s">
        <v>6</v>
      </c>
      <c r="H512" s="68" t="s">
        <v>888</v>
      </c>
      <c r="I512" s="68">
        <f t="shared" si="157"/>
        <v>1531</v>
      </c>
      <c r="J512" s="68" t="s">
        <v>2746</v>
      </c>
      <c r="K512" s="68" t="s">
        <v>2749</v>
      </c>
      <c r="L512" s="70"/>
      <c r="M512" s="71" t="s">
        <v>980</v>
      </c>
      <c r="N512" s="72" t="s">
        <v>814</v>
      </c>
      <c r="O512" s="68">
        <v>1</v>
      </c>
      <c r="P512" s="69" t="str">
        <f t="shared" si="158"/>
        <v>Veg Red Thai Sauce (MC) - GFF411R</v>
      </c>
      <c r="Q512" s="72"/>
      <c r="R512" s="72"/>
      <c r="S512" s="72"/>
      <c r="T512" s="72"/>
      <c r="U512" s="72"/>
      <c r="V512" s="72"/>
      <c r="W512" s="72" t="s">
        <v>1435</v>
      </c>
      <c r="X512" s="72" t="s">
        <v>1814</v>
      </c>
      <c r="Y512" s="72">
        <v>3</v>
      </c>
      <c r="Z512" s="80">
        <v>44553</v>
      </c>
    </row>
    <row r="513" spans="1:26" x14ac:dyDescent="0.25">
      <c r="A513" s="68">
        <f t="shared" si="156"/>
        <v>533</v>
      </c>
      <c r="B513" s="69" t="s">
        <v>182</v>
      </c>
      <c r="C513" s="68" t="s">
        <v>2738</v>
      </c>
      <c r="D513" s="68" t="s">
        <v>2741</v>
      </c>
      <c r="E513" s="68" t="s">
        <v>886</v>
      </c>
      <c r="F513" s="68" t="s">
        <v>62</v>
      </c>
      <c r="G513" s="68" t="s">
        <v>6</v>
      </c>
      <c r="H513" s="68" t="s">
        <v>888</v>
      </c>
      <c r="I513" s="68">
        <f t="shared" si="157"/>
        <v>1532</v>
      </c>
      <c r="J513" s="68" t="s">
        <v>2744</v>
      </c>
      <c r="K513" s="68" t="s">
        <v>2741</v>
      </c>
      <c r="L513" s="70"/>
      <c r="M513" s="71" t="s">
        <v>980</v>
      </c>
      <c r="N513" s="72" t="s">
        <v>814</v>
      </c>
      <c r="O513" s="68">
        <v>1</v>
      </c>
      <c r="P513" s="69" t="str">
        <f t="shared" si="158"/>
        <v>Korma Sauce (MC) - GFF412R</v>
      </c>
      <c r="Q513" s="72"/>
      <c r="R513" s="72"/>
      <c r="S513" s="72"/>
      <c r="T513" s="72"/>
      <c r="U513" s="72"/>
      <c r="V513" s="72"/>
      <c r="W513" s="72" t="s">
        <v>1435</v>
      </c>
      <c r="X513" s="72" t="s">
        <v>1862</v>
      </c>
      <c r="Y513" s="72">
        <v>1</v>
      </c>
      <c r="Z513" s="80">
        <v>44553</v>
      </c>
    </row>
    <row r="514" spans="1:26" x14ac:dyDescent="0.25">
      <c r="A514" s="68">
        <f t="shared" si="156"/>
        <v>534</v>
      </c>
      <c r="B514" s="69" t="s">
        <v>182</v>
      </c>
      <c r="C514" s="68" t="s">
        <v>2739</v>
      </c>
      <c r="D514" s="68" t="s">
        <v>2742</v>
      </c>
      <c r="E514" s="68" t="s">
        <v>886</v>
      </c>
      <c r="F514" s="68" t="s">
        <v>56</v>
      </c>
      <c r="G514" s="68" t="s">
        <v>6</v>
      </c>
      <c r="H514" s="68" t="s">
        <v>888</v>
      </c>
      <c r="I514" s="68">
        <f t="shared" si="157"/>
        <v>1533</v>
      </c>
      <c r="J514" s="68" t="s">
        <v>2745</v>
      </c>
      <c r="K514" s="68" t="s">
        <v>2742</v>
      </c>
      <c r="L514" s="70"/>
      <c r="M514" s="71" t="s">
        <v>980</v>
      </c>
      <c r="N514" s="72" t="s">
        <v>814</v>
      </c>
      <c r="O514" s="68">
        <v>1</v>
      </c>
      <c r="P514" s="69" t="str">
        <f t="shared" si="158"/>
        <v>Saag Chana Butternut Sauce (MC) - GFF413R</v>
      </c>
      <c r="Q514" s="72"/>
      <c r="R514" s="72"/>
      <c r="S514" s="72"/>
      <c r="T514" s="72"/>
      <c r="U514" s="72"/>
      <c r="V514" s="72"/>
      <c r="W514" s="72" t="s">
        <v>1435</v>
      </c>
      <c r="X514" s="72" t="s">
        <v>2747</v>
      </c>
      <c r="Y514" s="72">
        <v>1</v>
      </c>
      <c r="Z514" s="80">
        <v>44553</v>
      </c>
    </row>
    <row r="515" spans="1:26" x14ac:dyDescent="0.25">
      <c r="A515" s="68">
        <f t="shared" si="156"/>
        <v>535</v>
      </c>
      <c r="B515" s="69" t="s">
        <v>182</v>
      </c>
      <c r="C515" s="68" t="s">
        <v>2750</v>
      </c>
      <c r="D515" s="68" t="s">
        <v>2751</v>
      </c>
      <c r="E515" s="68" t="s">
        <v>886</v>
      </c>
      <c r="F515" s="68" t="s">
        <v>56</v>
      </c>
      <c r="G515" s="68" t="s">
        <v>6</v>
      </c>
      <c r="H515" s="68" t="s">
        <v>888</v>
      </c>
      <c r="I515" s="68">
        <f t="shared" si="157"/>
        <v>1534</v>
      </c>
      <c r="J515" s="68" t="s">
        <v>2758</v>
      </c>
      <c r="K515" s="68" t="s">
        <v>2751</v>
      </c>
      <c r="L515" s="70"/>
      <c r="M515" s="71" t="s">
        <v>980</v>
      </c>
      <c r="N515" s="72" t="s">
        <v>809</v>
      </c>
      <c r="O515" s="68">
        <v>1</v>
      </c>
      <c r="P515" s="69" t="str">
        <f t="shared" si="158"/>
        <v>Cooked Vermicelli - GFF414R</v>
      </c>
      <c r="Q515" s="72"/>
      <c r="R515" s="72"/>
      <c r="S515" s="72"/>
      <c r="T515" s="72"/>
      <c r="U515" s="72"/>
      <c r="V515" s="72"/>
      <c r="W515" s="72" t="s">
        <v>1435</v>
      </c>
      <c r="X515" s="72" t="s">
        <v>982</v>
      </c>
      <c r="Y515" s="72" t="s">
        <v>982</v>
      </c>
      <c r="Z515" s="80">
        <v>44572</v>
      </c>
    </row>
    <row r="516" spans="1:26" x14ac:dyDescent="0.25">
      <c r="A516" s="68">
        <f t="shared" si="156"/>
        <v>536</v>
      </c>
      <c r="B516" s="69" t="s">
        <v>182</v>
      </c>
      <c r="C516" s="68" t="s">
        <v>2752</v>
      </c>
      <c r="D516" s="68" t="s">
        <v>2753</v>
      </c>
      <c r="E516" s="68" t="s">
        <v>886</v>
      </c>
      <c r="F516" s="68" t="s">
        <v>56</v>
      </c>
      <c r="G516" s="68" t="s">
        <v>6</v>
      </c>
      <c r="H516" s="68" t="s">
        <v>888</v>
      </c>
      <c r="I516" s="68">
        <f t="shared" si="157"/>
        <v>1535</v>
      </c>
      <c r="J516" s="68" t="s">
        <v>2759</v>
      </c>
      <c r="K516" s="68" t="s">
        <v>2753</v>
      </c>
      <c r="L516" s="70"/>
      <c r="M516" s="71" t="s">
        <v>980</v>
      </c>
      <c r="N516" s="72" t="s">
        <v>809</v>
      </c>
      <c r="O516" s="68">
        <v>1</v>
      </c>
      <c r="P516" s="69" t="str">
        <f t="shared" si="158"/>
        <v>Soaked Mushrooms  - GFF415R</v>
      </c>
      <c r="Q516" s="72"/>
      <c r="R516" s="72"/>
      <c r="S516" s="72"/>
      <c r="T516" s="72"/>
      <c r="U516" s="72"/>
      <c r="V516" s="72"/>
      <c r="W516" s="72" t="s">
        <v>1435</v>
      </c>
      <c r="X516" s="72" t="s">
        <v>982</v>
      </c>
      <c r="Y516" s="72" t="s">
        <v>982</v>
      </c>
      <c r="Z516" s="80">
        <v>44572</v>
      </c>
    </row>
    <row r="517" spans="1:26" x14ac:dyDescent="0.25">
      <c r="A517" s="68">
        <f t="shared" si="156"/>
        <v>537</v>
      </c>
      <c r="B517" s="69" t="s">
        <v>182</v>
      </c>
      <c r="C517" s="68" t="s">
        <v>2754</v>
      </c>
      <c r="D517" s="68" t="s">
        <v>2755</v>
      </c>
      <c r="E517" s="68" t="s">
        <v>886</v>
      </c>
      <c r="F517" s="68" t="s">
        <v>56</v>
      </c>
      <c r="G517" s="68" t="s">
        <v>6</v>
      </c>
      <c r="H517" s="68" t="s">
        <v>888</v>
      </c>
      <c r="I517" s="68">
        <f t="shared" si="157"/>
        <v>1536</v>
      </c>
      <c r="J517" s="68" t="s">
        <v>2760</v>
      </c>
      <c r="K517" s="68" t="s">
        <v>2755</v>
      </c>
      <c r="L517" s="70"/>
      <c r="M517" s="71" t="s">
        <v>980</v>
      </c>
      <c r="N517" s="72" t="s">
        <v>809</v>
      </c>
      <c r="O517" s="68">
        <v>1</v>
      </c>
      <c r="P517" s="69" t="str">
        <f t="shared" si="158"/>
        <v>Mushrooms Spring  Roll Mix - GFF416R</v>
      </c>
      <c r="Q517" s="72"/>
      <c r="R517" s="72"/>
      <c r="S517" s="72"/>
      <c r="T517" s="72"/>
      <c r="U517" s="72"/>
      <c r="V517" s="72"/>
      <c r="W517" s="72" t="s">
        <v>1435</v>
      </c>
      <c r="X517" s="72" t="s">
        <v>1703</v>
      </c>
      <c r="Y517" s="72">
        <v>1</v>
      </c>
      <c r="Z517" s="80">
        <v>44572</v>
      </c>
    </row>
    <row r="518" spans="1:26" x14ac:dyDescent="0.25">
      <c r="A518" s="68">
        <f t="shared" si="156"/>
        <v>538</v>
      </c>
      <c r="B518" s="69" t="s">
        <v>182</v>
      </c>
      <c r="C518" s="68" t="s">
        <v>2756</v>
      </c>
      <c r="D518" s="68" t="s">
        <v>2757</v>
      </c>
      <c r="E518" s="68" t="s">
        <v>885</v>
      </c>
      <c r="F518" s="68" t="s">
        <v>32</v>
      </c>
      <c r="G518" s="68" t="s">
        <v>6</v>
      </c>
      <c r="H518" s="68" t="s">
        <v>888</v>
      </c>
      <c r="I518" s="68">
        <f t="shared" si="157"/>
        <v>1537</v>
      </c>
      <c r="J518" s="68" t="s">
        <v>2761</v>
      </c>
      <c r="K518" s="68" t="s">
        <v>2764</v>
      </c>
      <c r="L518" s="70">
        <v>40</v>
      </c>
      <c r="M518" s="71" t="s">
        <v>980</v>
      </c>
      <c r="N518" s="72" t="s">
        <v>809</v>
      </c>
      <c r="O518" s="68">
        <v>3000</v>
      </c>
      <c r="P518" s="69" t="str">
        <f t="shared" si="158"/>
        <v>Mushroom &amp; Vegetables Spring Roll 40G - GFF417R</v>
      </c>
      <c r="Q518" s="72">
        <v>15</v>
      </c>
      <c r="R518" s="72">
        <f t="shared" ref="R518" si="179">($Q518/5)*4</f>
        <v>12</v>
      </c>
      <c r="S518" s="72">
        <f t="shared" ref="S518" si="180">($Q518/5)*3</f>
        <v>9</v>
      </c>
      <c r="T518" s="72">
        <f t="shared" ref="T518" si="181">($Q518/5)*2</f>
        <v>6</v>
      </c>
      <c r="U518" s="72">
        <f t="shared" ref="U518" si="182">($Q518/5)*1</f>
        <v>3</v>
      </c>
      <c r="V518" s="72"/>
      <c r="W518" s="72" t="s">
        <v>1435</v>
      </c>
      <c r="X518" s="72" t="s">
        <v>2762</v>
      </c>
      <c r="Y518" s="72">
        <v>1</v>
      </c>
      <c r="Z518" s="80">
        <v>44572</v>
      </c>
    </row>
    <row r="519" spans="1:26" x14ac:dyDescent="0.25">
      <c r="A519" s="68">
        <f t="shared" si="156"/>
        <v>539</v>
      </c>
      <c r="B519" s="69" t="s">
        <v>182</v>
      </c>
      <c r="C519" s="68" t="s">
        <v>2766</v>
      </c>
      <c r="D519" s="68" t="s">
        <v>2765</v>
      </c>
      <c r="E519" s="68" t="s">
        <v>1628</v>
      </c>
      <c r="F519" s="68" t="s">
        <v>128</v>
      </c>
      <c r="G519" s="68" t="s">
        <v>17</v>
      </c>
      <c r="H519" s="68" t="s">
        <v>888</v>
      </c>
      <c r="I519" s="68">
        <f t="shared" si="157"/>
        <v>1538</v>
      </c>
      <c r="J519" s="68" t="s">
        <v>2767</v>
      </c>
      <c r="K519" s="68" t="s">
        <v>2765</v>
      </c>
      <c r="L519" s="70"/>
      <c r="M519" s="71" t="s">
        <v>979</v>
      </c>
      <c r="N519" s="72" t="s">
        <v>809</v>
      </c>
      <c r="O519" s="68">
        <v>1</v>
      </c>
      <c r="P519" s="69" t="str">
        <f t="shared" si="158"/>
        <v>Cooked Chicken Tikka Frozen (MC) - GFF1538</v>
      </c>
      <c r="Q519" s="72"/>
      <c r="R519" s="72"/>
      <c r="S519" s="72"/>
      <c r="T519" s="72"/>
      <c r="U519" s="72"/>
      <c r="V519" s="72"/>
      <c r="W519" s="72" t="s">
        <v>1435</v>
      </c>
      <c r="X519" s="72" t="s">
        <v>982</v>
      </c>
      <c r="Y519" s="72" t="s">
        <v>982</v>
      </c>
      <c r="Z519" s="80" t="s">
        <v>2894</v>
      </c>
    </row>
    <row r="520" spans="1:26" x14ac:dyDescent="0.25">
      <c r="A520" s="68">
        <f t="shared" si="156"/>
        <v>540</v>
      </c>
      <c r="B520" s="69" t="s">
        <v>182</v>
      </c>
      <c r="C520" s="68" t="s">
        <v>2769</v>
      </c>
      <c r="D520" s="68" t="s">
        <v>2770</v>
      </c>
      <c r="E520" s="68" t="s">
        <v>886</v>
      </c>
      <c r="F520" s="68" t="s">
        <v>62</v>
      </c>
      <c r="G520" s="68" t="s">
        <v>6</v>
      </c>
      <c r="H520" s="68" t="s">
        <v>888</v>
      </c>
      <c r="I520" s="68">
        <f t="shared" si="157"/>
        <v>1539</v>
      </c>
      <c r="J520" s="68" t="s">
        <v>2771</v>
      </c>
      <c r="K520" s="68" t="s">
        <v>2770</v>
      </c>
      <c r="L520" s="70"/>
      <c r="M520" s="71" t="s">
        <v>980</v>
      </c>
      <c r="N520" s="72" t="s">
        <v>814</v>
      </c>
      <c r="O520" s="68">
        <v>1</v>
      </c>
      <c r="P520" s="69" t="str">
        <f t="shared" si="158"/>
        <v>South Indian Sauce (MC) - GFF418R</v>
      </c>
      <c r="Q520" s="72"/>
      <c r="R520" s="72"/>
      <c r="S520" s="72"/>
      <c r="T520" s="72"/>
      <c r="U520" s="72"/>
      <c r="V520" s="72"/>
      <c r="W520" s="72" t="s">
        <v>1435</v>
      </c>
      <c r="X520" s="72" t="s">
        <v>1808</v>
      </c>
      <c r="Y520" s="72">
        <v>2</v>
      </c>
      <c r="Z520" s="80">
        <v>44642</v>
      </c>
    </row>
    <row r="521" spans="1:26" x14ac:dyDescent="0.25">
      <c r="A521" s="68">
        <f t="shared" si="156"/>
        <v>541</v>
      </c>
      <c r="B521" s="69" t="s">
        <v>1674</v>
      </c>
      <c r="C521" s="68" t="s">
        <v>2776</v>
      </c>
      <c r="D521" s="68" t="s">
        <v>2775</v>
      </c>
      <c r="E521" s="68" t="s">
        <v>885</v>
      </c>
      <c r="F521" s="68" t="s">
        <v>56</v>
      </c>
      <c r="G521" s="68" t="s">
        <v>17</v>
      </c>
      <c r="H521" s="68" t="s">
        <v>888</v>
      </c>
      <c r="I521" s="68">
        <f t="shared" si="157"/>
        <v>1540</v>
      </c>
      <c r="J521" s="68" t="s">
        <v>2776</v>
      </c>
      <c r="K521" s="68" t="s">
        <v>2775</v>
      </c>
      <c r="L521" s="70"/>
      <c r="M521" s="71" t="s">
        <v>980</v>
      </c>
      <c r="N521" s="72" t="s">
        <v>814</v>
      </c>
      <c r="O521" s="68">
        <v>1</v>
      </c>
      <c r="P521" s="69" t="str">
        <f t="shared" si="158"/>
        <v>RTE Carrot Baton - IHF001-76</v>
      </c>
      <c r="Q521" s="72"/>
      <c r="R521" s="72"/>
      <c r="S521" s="72"/>
      <c r="T521" s="72"/>
      <c r="U521" s="72"/>
      <c r="V521" s="72"/>
      <c r="W521" s="72" t="s">
        <v>1435</v>
      </c>
      <c r="X521" s="72" t="s">
        <v>982</v>
      </c>
      <c r="Y521" s="72" t="s">
        <v>982</v>
      </c>
      <c r="Z521" s="80">
        <v>44664</v>
      </c>
    </row>
    <row r="522" spans="1:26" x14ac:dyDescent="0.25">
      <c r="A522" s="68">
        <f t="shared" si="156"/>
        <v>542</v>
      </c>
      <c r="B522" s="69" t="s">
        <v>182</v>
      </c>
      <c r="C522" s="68" t="s">
        <v>2778</v>
      </c>
      <c r="D522" s="68" t="s">
        <v>2779</v>
      </c>
      <c r="E522" s="68" t="s">
        <v>886</v>
      </c>
      <c r="F522" s="68" t="s">
        <v>1414</v>
      </c>
      <c r="G522" s="68" t="s">
        <v>6</v>
      </c>
      <c r="H522" s="68" t="s">
        <v>888</v>
      </c>
      <c r="I522" s="68">
        <f t="shared" si="157"/>
        <v>1541</v>
      </c>
      <c r="J522" s="68" t="s">
        <v>2780</v>
      </c>
      <c r="K522" s="68" t="s">
        <v>2779</v>
      </c>
      <c r="L522" s="70"/>
      <c r="M522" s="71" t="s">
        <v>979</v>
      </c>
      <c r="N522" s="72" t="s">
        <v>814</v>
      </c>
      <c r="O522" s="68">
        <v>1</v>
      </c>
      <c r="P522" s="69" t="str">
        <f t="shared" si="158"/>
        <v>Chilli Con Carne (Takul) - GFF419R</v>
      </c>
      <c r="Q522" s="72"/>
      <c r="R522" s="72"/>
      <c r="S522" s="72"/>
      <c r="T522" s="72"/>
      <c r="U522" s="72"/>
      <c r="V522" s="72"/>
      <c r="W522" s="72" t="s">
        <v>1435</v>
      </c>
      <c r="X522" s="72" t="s">
        <v>982</v>
      </c>
      <c r="Y522" s="72" t="s">
        <v>982</v>
      </c>
      <c r="Z522" s="80">
        <v>44691</v>
      </c>
    </row>
    <row r="523" spans="1:26" x14ac:dyDescent="0.25">
      <c r="A523" s="68">
        <f t="shared" si="156"/>
        <v>543</v>
      </c>
      <c r="B523" s="69" t="s">
        <v>182</v>
      </c>
      <c r="C523" s="68" t="s">
        <v>2781</v>
      </c>
      <c r="D523" s="68" t="s">
        <v>1539</v>
      </c>
      <c r="E523" s="68" t="s">
        <v>886</v>
      </c>
      <c r="F523" s="68" t="s">
        <v>1540</v>
      </c>
      <c r="G523" s="68" t="s">
        <v>6</v>
      </c>
      <c r="H523" s="68" t="s">
        <v>888</v>
      </c>
      <c r="I523" s="68">
        <f t="shared" si="157"/>
        <v>1542</v>
      </c>
      <c r="J523" s="68" t="s">
        <v>2782</v>
      </c>
      <c r="K523" s="68" t="s">
        <v>2783</v>
      </c>
      <c r="L523" s="70"/>
      <c r="M523" s="71" t="s">
        <v>980</v>
      </c>
      <c r="N523" s="72" t="s">
        <v>814</v>
      </c>
      <c r="O523" s="68">
        <v>1</v>
      </c>
      <c r="P523" s="69" t="str">
        <f t="shared" si="158"/>
        <v>Steamed Rice- R1 - GFF420R</v>
      </c>
      <c r="Q523" s="72"/>
      <c r="R523" s="72"/>
      <c r="S523" s="72"/>
      <c r="T523" s="72"/>
      <c r="U523" s="72"/>
      <c r="V523" s="72"/>
      <c r="W523" s="72" t="s">
        <v>1435</v>
      </c>
      <c r="X523" s="72" t="s">
        <v>982</v>
      </c>
      <c r="Y523" s="72" t="s">
        <v>982</v>
      </c>
      <c r="Z523" s="80">
        <v>44691</v>
      </c>
    </row>
    <row r="524" spans="1:26" x14ac:dyDescent="0.25">
      <c r="A524" s="68">
        <f t="shared" si="156"/>
        <v>544</v>
      </c>
      <c r="B524" s="69" t="s">
        <v>182</v>
      </c>
      <c r="C524" s="68" t="s">
        <v>2785</v>
      </c>
      <c r="D524" s="68" t="s">
        <v>2788</v>
      </c>
      <c r="E524" s="68" t="s">
        <v>886</v>
      </c>
      <c r="F524" s="68" t="s">
        <v>56</v>
      </c>
      <c r="G524" s="68" t="s">
        <v>6</v>
      </c>
      <c r="H524" s="68" t="s">
        <v>888</v>
      </c>
      <c r="I524" s="68">
        <f t="shared" si="157"/>
        <v>1543</v>
      </c>
      <c r="J524" s="68" t="s">
        <v>2792</v>
      </c>
      <c r="K524" s="68" t="s">
        <v>2788</v>
      </c>
      <c r="L524" s="70"/>
      <c r="M524" s="71" t="s">
        <v>980</v>
      </c>
      <c r="N524" s="72" t="s">
        <v>814</v>
      </c>
      <c r="O524" s="68">
        <v>1</v>
      </c>
      <c r="P524" s="69" t="str">
        <f t="shared" si="158"/>
        <v>Spinach &amp; Feta Rolls Filling - GFF421R</v>
      </c>
      <c r="Q524" s="72"/>
      <c r="R524" s="72"/>
      <c r="S524" s="72"/>
      <c r="T524" s="72"/>
      <c r="U524" s="72"/>
      <c r="V524" s="72"/>
      <c r="W524" s="72" t="s">
        <v>1435</v>
      </c>
      <c r="X524" s="72" t="s">
        <v>1480</v>
      </c>
      <c r="Y524" s="72">
        <v>2</v>
      </c>
      <c r="Z524" s="80">
        <v>44718</v>
      </c>
    </row>
    <row r="525" spans="1:26" x14ac:dyDescent="0.25">
      <c r="A525" s="68">
        <f t="shared" si="156"/>
        <v>545</v>
      </c>
      <c r="B525" s="69" t="s">
        <v>182</v>
      </c>
      <c r="C525" s="68" t="s">
        <v>2784</v>
      </c>
      <c r="D525" s="68" t="s">
        <v>2789</v>
      </c>
      <c r="E525" s="68" t="s">
        <v>885</v>
      </c>
      <c r="F525" s="68" t="s">
        <v>56</v>
      </c>
      <c r="G525" s="68" t="s">
        <v>6</v>
      </c>
      <c r="H525" s="68" t="s">
        <v>888</v>
      </c>
      <c r="I525" s="68">
        <f t="shared" si="157"/>
        <v>1544</v>
      </c>
      <c r="J525" s="68" t="s">
        <v>2794</v>
      </c>
      <c r="K525" s="68" t="s">
        <v>2793</v>
      </c>
      <c r="L525" s="70">
        <v>30</v>
      </c>
      <c r="M525" s="71" t="s">
        <v>980</v>
      </c>
      <c r="N525" s="72" t="s">
        <v>814</v>
      </c>
      <c r="O525" s="68">
        <v>10240</v>
      </c>
      <c r="P525" s="69" t="str">
        <f t="shared" si="158"/>
        <v>Spinach &amp; Feta Rolls 30G - GFF422R</v>
      </c>
      <c r="Q525" s="72">
        <v>35</v>
      </c>
      <c r="R525" s="72">
        <f t="shared" ref="R525" si="183">($Q525/5)*4</f>
        <v>28</v>
      </c>
      <c r="S525" s="72">
        <f t="shared" ref="S525" si="184">($Q525/5)*3</f>
        <v>21</v>
      </c>
      <c r="T525" s="72">
        <f t="shared" ref="T525" si="185">($Q525/5)*2</f>
        <v>14</v>
      </c>
      <c r="U525" s="72">
        <f t="shared" ref="U525" si="186">($Q525/5)*1</f>
        <v>7</v>
      </c>
      <c r="V525" s="72"/>
      <c r="W525" s="72" t="s">
        <v>1435</v>
      </c>
      <c r="X525" s="72" t="s">
        <v>1744</v>
      </c>
      <c r="Y525" s="72">
        <v>2</v>
      </c>
      <c r="Z525" s="80">
        <v>44718</v>
      </c>
    </row>
    <row r="526" spans="1:26" x14ac:dyDescent="0.25">
      <c r="A526" s="68">
        <f t="shared" si="156"/>
        <v>546</v>
      </c>
      <c r="B526" s="69" t="s">
        <v>182</v>
      </c>
      <c r="C526" s="68" t="s">
        <v>2786</v>
      </c>
      <c r="D526" s="68" t="s">
        <v>2790</v>
      </c>
      <c r="E526" s="68" t="s">
        <v>885</v>
      </c>
      <c r="F526" s="68" t="s">
        <v>56</v>
      </c>
      <c r="G526" s="68" t="s">
        <v>2149</v>
      </c>
      <c r="H526" s="68" t="s">
        <v>888</v>
      </c>
      <c r="I526" s="68">
        <f t="shared" si="157"/>
        <v>1545</v>
      </c>
      <c r="J526" s="68" t="s">
        <v>2797</v>
      </c>
      <c r="K526" s="68" t="s">
        <v>2795</v>
      </c>
      <c r="L526" s="70">
        <v>42.5</v>
      </c>
      <c r="M526" s="71" t="s">
        <v>979</v>
      </c>
      <c r="N526" s="72" t="s">
        <v>814</v>
      </c>
      <c r="O526" s="68">
        <v>1</v>
      </c>
      <c r="P526" s="69" t="str">
        <f t="shared" si="158"/>
        <v>Lamb Potato Chaps 42.5G - GFF423R</v>
      </c>
      <c r="Q526" s="72"/>
      <c r="R526" s="72"/>
      <c r="S526" s="72"/>
      <c r="T526" s="72"/>
      <c r="U526" s="72"/>
      <c r="V526" s="72"/>
      <c r="W526" s="72" t="s">
        <v>1435</v>
      </c>
      <c r="X526" s="72" t="s">
        <v>1814</v>
      </c>
      <c r="Y526" s="72">
        <v>3</v>
      </c>
      <c r="Z526" s="80">
        <v>44718</v>
      </c>
    </row>
    <row r="527" spans="1:26" x14ac:dyDescent="0.25">
      <c r="A527" s="68">
        <f t="shared" si="156"/>
        <v>547</v>
      </c>
      <c r="B527" s="69" t="s">
        <v>182</v>
      </c>
      <c r="C527" s="68" t="s">
        <v>2787</v>
      </c>
      <c r="D527" s="68" t="s">
        <v>2791</v>
      </c>
      <c r="E527" s="68" t="s">
        <v>885</v>
      </c>
      <c r="F527" s="68" t="s">
        <v>56</v>
      </c>
      <c r="G527" s="68" t="s">
        <v>2149</v>
      </c>
      <c r="H527" s="68" t="s">
        <v>888</v>
      </c>
      <c r="I527" s="68">
        <f t="shared" si="157"/>
        <v>1546</v>
      </c>
      <c r="J527" s="68" t="s">
        <v>2798</v>
      </c>
      <c r="K527" s="68" t="s">
        <v>2796</v>
      </c>
      <c r="L527" s="70">
        <v>40</v>
      </c>
      <c r="M527" s="71" t="s">
        <v>980</v>
      </c>
      <c r="N527" s="72" t="s">
        <v>814</v>
      </c>
      <c r="O527" s="68">
        <v>1</v>
      </c>
      <c r="P527" s="69" t="str">
        <f t="shared" si="158"/>
        <v>Broad Bean Bites 40G - GFF424R</v>
      </c>
      <c r="Q527" s="72"/>
      <c r="R527" s="72"/>
      <c r="S527" s="72"/>
      <c r="T527" s="72"/>
      <c r="U527" s="72"/>
      <c r="V527" s="72"/>
      <c r="W527" s="72" t="s">
        <v>1435</v>
      </c>
      <c r="X527" s="72" t="s">
        <v>982</v>
      </c>
      <c r="Y527" s="72" t="s">
        <v>982</v>
      </c>
      <c r="Z527" s="80">
        <v>44718</v>
      </c>
    </row>
    <row r="528" spans="1:26" x14ac:dyDescent="0.25">
      <c r="A528" s="68">
        <f t="shared" si="156"/>
        <v>548</v>
      </c>
      <c r="B528" s="69" t="s">
        <v>2799</v>
      </c>
      <c r="C528" s="68" t="s">
        <v>2800</v>
      </c>
      <c r="D528" s="68" t="s">
        <v>2801</v>
      </c>
      <c r="E528" s="68" t="s">
        <v>130</v>
      </c>
      <c r="F528" s="68" t="s">
        <v>130</v>
      </c>
      <c r="G528" s="68" t="s">
        <v>17</v>
      </c>
      <c r="H528" s="68" t="s">
        <v>888</v>
      </c>
      <c r="I528" s="68">
        <f t="shared" si="157"/>
        <v>1547</v>
      </c>
      <c r="J528" s="68" t="s">
        <v>2802</v>
      </c>
      <c r="K528" s="68" t="s">
        <v>2803</v>
      </c>
      <c r="L528" s="70">
        <v>40</v>
      </c>
      <c r="M528" s="71" t="s">
        <v>980</v>
      </c>
      <c r="N528" s="72" t="s">
        <v>809</v>
      </c>
      <c r="O528" s="68">
        <v>1</v>
      </c>
      <c r="P528" s="69" t="str">
        <f t="shared" si="158"/>
        <v>Spicy Tomato Dip Sachet 40G - JAR001-01</v>
      </c>
      <c r="Q528" s="72"/>
      <c r="R528" s="72"/>
      <c r="S528" s="72"/>
      <c r="T528" s="72"/>
      <c r="U528" s="72"/>
      <c r="V528" s="72"/>
      <c r="W528" s="72" t="s">
        <v>1435</v>
      </c>
      <c r="X528" s="72" t="s">
        <v>982</v>
      </c>
      <c r="Y528" s="72" t="s">
        <v>982</v>
      </c>
      <c r="Z528" s="80" t="s">
        <v>3492</v>
      </c>
    </row>
    <row r="529" spans="1:26" x14ac:dyDescent="0.25">
      <c r="A529" s="68">
        <f t="shared" si="156"/>
        <v>549</v>
      </c>
      <c r="B529" s="69" t="s">
        <v>1775</v>
      </c>
      <c r="C529" s="68" t="s">
        <v>2805</v>
      </c>
      <c r="D529" s="68" t="s">
        <v>2847</v>
      </c>
      <c r="E529" s="68" t="s">
        <v>885</v>
      </c>
      <c r="F529" s="68" t="s">
        <v>3286</v>
      </c>
      <c r="G529" s="68" t="s">
        <v>17</v>
      </c>
      <c r="H529" s="68" t="s">
        <v>939</v>
      </c>
      <c r="I529" s="68">
        <f t="shared" si="157"/>
        <v>1548</v>
      </c>
      <c r="J529" s="68" t="s">
        <v>2805</v>
      </c>
      <c r="K529" s="68" t="s">
        <v>2847</v>
      </c>
      <c r="L529" s="70">
        <v>200</v>
      </c>
      <c r="M529" s="71" t="s">
        <v>980</v>
      </c>
      <c r="N529" s="72" t="s">
        <v>814</v>
      </c>
      <c r="O529" s="68">
        <v>1</v>
      </c>
      <c r="P529" s="69" t="str">
        <f t="shared" si="158"/>
        <v>Vegan Shiumai 200G (Ready Packed) - TRA003-13</v>
      </c>
      <c r="Q529" s="72"/>
      <c r="R529" s="72"/>
      <c r="S529" s="72"/>
      <c r="T529" s="72"/>
      <c r="U529" s="72"/>
      <c r="V529" s="72"/>
      <c r="W529" s="72" t="s">
        <v>1435</v>
      </c>
      <c r="X529" s="72" t="s">
        <v>2882</v>
      </c>
      <c r="Y529" s="72">
        <v>1</v>
      </c>
      <c r="Z529" s="80">
        <v>44809</v>
      </c>
    </row>
    <row r="530" spans="1:26" x14ac:dyDescent="0.25">
      <c r="A530" s="68">
        <f t="shared" si="156"/>
        <v>550</v>
      </c>
      <c r="B530" s="69" t="s">
        <v>1775</v>
      </c>
      <c r="C530" s="68" t="s">
        <v>2806</v>
      </c>
      <c r="D530" s="68" t="s">
        <v>2807</v>
      </c>
      <c r="E530" s="68" t="s">
        <v>885</v>
      </c>
      <c r="F530" s="68" t="s">
        <v>3286</v>
      </c>
      <c r="G530" s="68" t="s">
        <v>17</v>
      </c>
      <c r="H530" s="68" t="s">
        <v>939</v>
      </c>
      <c r="I530" s="68">
        <f t="shared" si="157"/>
        <v>1549</v>
      </c>
      <c r="J530" s="68" t="s">
        <v>2806</v>
      </c>
      <c r="K530" s="68" t="s">
        <v>2807</v>
      </c>
      <c r="L530" s="70">
        <v>200</v>
      </c>
      <c r="M530" s="71" t="s">
        <v>980</v>
      </c>
      <c r="N530" s="72" t="s">
        <v>814</v>
      </c>
      <c r="O530" s="68">
        <v>1</v>
      </c>
      <c r="P530" s="69" t="str">
        <f t="shared" si="158"/>
        <v>No Pork Belly Bites 200G (Ready Packed) - TRA003-14</v>
      </c>
      <c r="Q530" s="72"/>
      <c r="R530" s="72"/>
      <c r="S530" s="72"/>
      <c r="T530" s="72"/>
      <c r="U530" s="72"/>
      <c r="V530" s="72"/>
      <c r="W530" s="72" t="s">
        <v>1435</v>
      </c>
      <c r="X530" s="72" t="s">
        <v>2883</v>
      </c>
      <c r="Y530" s="72">
        <v>1</v>
      </c>
      <c r="Z530" s="80">
        <v>44809</v>
      </c>
    </row>
    <row r="531" spans="1:26" x14ac:dyDescent="0.25">
      <c r="A531" s="68">
        <f t="shared" si="156"/>
        <v>551</v>
      </c>
      <c r="B531" s="69" t="s">
        <v>1775</v>
      </c>
      <c r="C531" s="68" t="s">
        <v>2808</v>
      </c>
      <c r="D531" s="68" t="s">
        <v>2844</v>
      </c>
      <c r="E531" s="68" t="s">
        <v>885</v>
      </c>
      <c r="F531" s="68" t="s">
        <v>3286</v>
      </c>
      <c r="G531" s="68" t="s">
        <v>17</v>
      </c>
      <c r="H531" s="68" t="s">
        <v>939</v>
      </c>
      <c r="I531" s="68">
        <f t="shared" si="157"/>
        <v>1550</v>
      </c>
      <c r="J531" s="68" t="s">
        <v>2808</v>
      </c>
      <c r="K531" s="68" t="s">
        <v>2844</v>
      </c>
      <c r="L531" s="70">
        <v>180</v>
      </c>
      <c r="M531" s="71" t="s">
        <v>980</v>
      </c>
      <c r="N531" s="72" t="s">
        <v>814</v>
      </c>
      <c r="O531" s="68">
        <v>1</v>
      </c>
      <c r="P531" s="69" t="str">
        <f t="shared" si="158"/>
        <v>Prawn Bao Bun Selection 180G (Ready Packed) - TRA003-09</v>
      </c>
      <c r="Q531" s="72"/>
      <c r="R531" s="72"/>
      <c r="S531" s="72"/>
      <c r="T531" s="72"/>
      <c r="U531" s="72"/>
      <c r="V531" s="72"/>
      <c r="W531" s="72" t="s">
        <v>1435</v>
      </c>
      <c r="X531" s="72" t="s">
        <v>2884</v>
      </c>
      <c r="Y531" s="72">
        <v>1</v>
      </c>
      <c r="Z531" s="80">
        <v>44809</v>
      </c>
    </row>
    <row r="532" spans="1:26" x14ac:dyDescent="0.25">
      <c r="A532" s="68">
        <f t="shared" si="156"/>
        <v>552</v>
      </c>
      <c r="B532" s="69" t="s">
        <v>1775</v>
      </c>
      <c r="C532" s="68" t="s">
        <v>2809</v>
      </c>
      <c r="D532" s="68" t="s">
        <v>2810</v>
      </c>
      <c r="E532" s="68" t="s">
        <v>885</v>
      </c>
      <c r="F532" s="68" t="s">
        <v>3286</v>
      </c>
      <c r="G532" s="68" t="s">
        <v>17</v>
      </c>
      <c r="H532" s="68" t="s">
        <v>939</v>
      </c>
      <c r="I532" s="68">
        <f t="shared" si="157"/>
        <v>1551</v>
      </c>
      <c r="J532" s="68" t="s">
        <v>2809</v>
      </c>
      <c r="K532" s="68" t="s">
        <v>2810</v>
      </c>
      <c r="L532" s="70">
        <v>180</v>
      </c>
      <c r="M532" s="71" t="s">
        <v>980</v>
      </c>
      <c r="N532" s="72" t="s">
        <v>814</v>
      </c>
      <c r="O532" s="68">
        <v>1</v>
      </c>
      <c r="P532" s="69" t="str">
        <f t="shared" si="158"/>
        <v>Vegan Bao Bun Selection 180G (Ready Packed) - TRA003-10</v>
      </c>
      <c r="Q532" s="72"/>
      <c r="R532" s="72"/>
      <c r="S532" s="72"/>
      <c r="T532" s="72"/>
      <c r="U532" s="72"/>
      <c r="V532" s="72"/>
      <c r="W532" s="72" t="s">
        <v>1435</v>
      </c>
      <c r="X532" s="72" t="s">
        <v>2882</v>
      </c>
      <c r="Y532" s="72">
        <v>1</v>
      </c>
      <c r="Z532" s="80">
        <v>44809</v>
      </c>
    </row>
    <row r="533" spans="1:26" x14ac:dyDescent="0.25">
      <c r="A533" s="68">
        <f t="shared" si="156"/>
        <v>553</v>
      </c>
      <c r="B533" s="69" t="s">
        <v>1775</v>
      </c>
      <c r="C533" s="68" t="s">
        <v>2811</v>
      </c>
      <c r="D533" s="68" t="s">
        <v>2812</v>
      </c>
      <c r="E533" s="68" t="s">
        <v>885</v>
      </c>
      <c r="F533" s="68" t="s">
        <v>3286</v>
      </c>
      <c r="G533" s="68" t="s">
        <v>17</v>
      </c>
      <c r="H533" s="68" t="s">
        <v>939</v>
      </c>
      <c r="I533" s="68">
        <f t="shared" si="157"/>
        <v>1552</v>
      </c>
      <c r="J533" s="68" t="s">
        <v>2811</v>
      </c>
      <c r="K533" s="68" t="s">
        <v>2812</v>
      </c>
      <c r="L533" s="70">
        <v>136</v>
      </c>
      <c r="M533" s="71" t="s">
        <v>979</v>
      </c>
      <c r="N533" s="72" t="s">
        <v>814</v>
      </c>
      <c r="O533" s="68">
        <v>1</v>
      </c>
      <c r="P533" s="69" t="str">
        <f t="shared" si="158"/>
        <v>Prawn Lollipop Selection 136G (Ready Packed) - TRA003-11</v>
      </c>
      <c r="Q533" s="72"/>
      <c r="R533" s="72"/>
      <c r="S533" s="72"/>
      <c r="T533" s="72"/>
      <c r="U533" s="72"/>
      <c r="V533" s="72"/>
      <c r="W533" s="72" t="s">
        <v>1435</v>
      </c>
      <c r="X533" s="72" t="s">
        <v>1618</v>
      </c>
      <c r="Y533" s="72">
        <v>1</v>
      </c>
      <c r="Z533" s="80">
        <v>44809</v>
      </c>
    </row>
    <row r="534" spans="1:26" x14ac:dyDescent="0.25">
      <c r="A534" s="68">
        <f t="shared" si="156"/>
        <v>554</v>
      </c>
      <c r="B534" s="69" t="s">
        <v>1775</v>
      </c>
      <c r="C534" s="68" t="s">
        <v>2813</v>
      </c>
      <c r="D534" s="68" t="s">
        <v>2814</v>
      </c>
      <c r="E534" s="68" t="s">
        <v>885</v>
      </c>
      <c r="F534" s="68" t="s">
        <v>3286</v>
      </c>
      <c r="G534" s="68" t="s">
        <v>17</v>
      </c>
      <c r="H534" s="68" t="s">
        <v>939</v>
      </c>
      <c r="I534" s="68">
        <f t="shared" si="157"/>
        <v>1553</v>
      </c>
      <c r="J534" s="68" t="s">
        <v>2813</v>
      </c>
      <c r="K534" s="68" t="s">
        <v>2814</v>
      </c>
      <c r="L534" s="70">
        <v>132</v>
      </c>
      <c r="M534" s="71" t="s">
        <v>979</v>
      </c>
      <c r="N534" s="72" t="s">
        <v>814</v>
      </c>
      <c r="O534" s="68">
        <v>1</v>
      </c>
      <c r="P534" s="69" t="str">
        <f t="shared" si="158"/>
        <v>Coated Prawn Selection 132G (Ready Packed) - TRA003-12</v>
      </c>
      <c r="Q534" s="72"/>
      <c r="R534" s="72"/>
      <c r="S534" s="72"/>
      <c r="T534" s="72"/>
      <c r="U534" s="72"/>
      <c r="V534" s="72"/>
      <c r="W534" s="72" t="s">
        <v>1435</v>
      </c>
      <c r="X534" s="72" t="s">
        <v>1618</v>
      </c>
      <c r="Y534" s="72">
        <v>1</v>
      </c>
      <c r="Z534" s="80">
        <v>44809</v>
      </c>
    </row>
    <row r="535" spans="1:26" x14ac:dyDescent="0.25">
      <c r="A535" s="68">
        <f t="shared" si="156"/>
        <v>555</v>
      </c>
      <c r="B535" s="69" t="s">
        <v>2818</v>
      </c>
      <c r="C535" s="68" t="s">
        <v>2815</v>
      </c>
      <c r="D535" s="68" t="s">
        <v>2816</v>
      </c>
      <c r="E535" s="68" t="s">
        <v>885</v>
      </c>
      <c r="F535" s="68" t="s">
        <v>1610</v>
      </c>
      <c r="G535" s="68" t="s">
        <v>2149</v>
      </c>
      <c r="H535" s="68" t="s">
        <v>939</v>
      </c>
      <c r="I535" s="68">
        <f t="shared" si="157"/>
        <v>1554</v>
      </c>
      <c r="J535" s="68" t="s">
        <v>2815</v>
      </c>
      <c r="K535" s="68" t="s">
        <v>2817</v>
      </c>
      <c r="L535" s="70" t="s">
        <v>799</v>
      </c>
      <c r="M535" s="71" t="s">
        <v>980</v>
      </c>
      <c r="N535" s="72" t="s">
        <v>814</v>
      </c>
      <c r="O535" s="68">
        <v>1</v>
      </c>
      <c r="P535" s="69" t="str">
        <f t="shared" si="158"/>
        <v>Halloumi Fries KG - INN001-01</v>
      </c>
      <c r="Q535" s="72"/>
      <c r="R535" s="72"/>
      <c r="S535" s="72"/>
      <c r="T535" s="72"/>
      <c r="U535" s="72"/>
      <c r="V535" s="72"/>
      <c r="W535" s="72" t="s">
        <v>1435</v>
      </c>
      <c r="X535" s="72" t="s">
        <v>2885</v>
      </c>
      <c r="Y535" s="72">
        <v>2</v>
      </c>
      <c r="Z535" s="80">
        <v>44809</v>
      </c>
    </row>
    <row r="536" spans="1:26" x14ac:dyDescent="0.25">
      <c r="A536" s="68">
        <f t="shared" si="156"/>
        <v>556</v>
      </c>
      <c r="B536" s="69" t="s">
        <v>2819</v>
      </c>
      <c r="C536" s="68" t="s">
        <v>2820</v>
      </c>
      <c r="D536" s="68" t="s">
        <v>2823</v>
      </c>
      <c r="E536" s="68" t="s">
        <v>885</v>
      </c>
      <c r="F536" s="68" t="s">
        <v>128</v>
      </c>
      <c r="G536" s="68" t="s">
        <v>2149</v>
      </c>
      <c r="H536" s="68" t="s">
        <v>888</v>
      </c>
      <c r="I536" s="68">
        <f t="shared" si="157"/>
        <v>1555</v>
      </c>
      <c r="J536" s="68" t="s">
        <v>2820</v>
      </c>
      <c r="K536" s="68" t="s">
        <v>2823</v>
      </c>
      <c r="L536" s="70">
        <v>45</v>
      </c>
      <c r="M536" s="71" t="s">
        <v>979</v>
      </c>
      <c r="N536" s="72" t="s">
        <v>814</v>
      </c>
      <c r="O536" s="68">
        <v>1</v>
      </c>
      <c r="P536" s="69" t="str">
        <f t="shared" si="158"/>
        <v>Southern Fried Breaded Mini Fillets (45G-55G) - CKF001-01</v>
      </c>
      <c r="Q536" s="72"/>
      <c r="R536" s="72"/>
      <c r="S536" s="72"/>
      <c r="T536" s="72"/>
      <c r="U536" s="72"/>
      <c r="V536" s="72"/>
      <c r="W536" s="72" t="s">
        <v>1435</v>
      </c>
      <c r="X536" s="72" t="s">
        <v>2886</v>
      </c>
      <c r="Y536" s="72">
        <v>2</v>
      </c>
      <c r="Z536" s="80">
        <v>44809</v>
      </c>
    </row>
    <row r="537" spans="1:26" x14ac:dyDescent="0.25">
      <c r="A537" s="68">
        <f t="shared" si="156"/>
        <v>557</v>
      </c>
      <c r="B537" s="69" t="s">
        <v>2819</v>
      </c>
      <c r="C537" s="68" t="s">
        <v>2821</v>
      </c>
      <c r="D537" s="68" t="s">
        <v>2822</v>
      </c>
      <c r="E537" s="68" t="s">
        <v>885</v>
      </c>
      <c r="F537" s="68" t="s">
        <v>128</v>
      </c>
      <c r="G537" s="68" t="s">
        <v>2149</v>
      </c>
      <c r="H537" s="68" t="s">
        <v>939</v>
      </c>
      <c r="I537" s="68">
        <f t="shared" si="157"/>
        <v>1556</v>
      </c>
      <c r="J537" s="68" t="s">
        <v>2821</v>
      </c>
      <c r="K537" s="68" t="s">
        <v>2822</v>
      </c>
      <c r="L537" s="70">
        <v>15</v>
      </c>
      <c r="M537" s="71" t="s">
        <v>979</v>
      </c>
      <c r="N537" s="72" t="s">
        <v>814</v>
      </c>
      <c r="O537" s="68">
        <v>1</v>
      </c>
      <c r="P537" s="69" t="str">
        <f t="shared" si="158"/>
        <v>Hot &amp; Spicy Chicken Bites (15G-17G) - CKF001-02</v>
      </c>
      <c r="Q537" s="72"/>
      <c r="R537" s="72"/>
      <c r="S537" s="72"/>
      <c r="T537" s="72"/>
      <c r="U537" s="72"/>
      <c r="V537" s="72"/>
      <c r="W537" s="72" t="s">
        <v>1435</v>
      </c>
      <c r="X537" s="72" t="s">
        <v>2887</v>
      </c>
      <c r="Y537" s="72">
        <v>2</v>
      </c>
      <c r="Z537" s="80">
        <v>44809</v>
      </c>
    </row>
    <row r="538" spans="1:26" x14ac:dyDescent="0.25">
      <c r="A538" s="68">
        <f t="shared" si="156"/>
        <v>558</v>
      </c>
      <c r="B538" s="69" t="s">
        <v>2824</v>
      </c>
      <c r="C538" s="68" t="s">
        <v>2825</v>
      </c>
      <c r="D538" s="68" t="s">
        <v>2826</v>
      </c>
      <c r="E538" s="68" t="s">
        <v>130</v>
      </c>
      <c r="F538" s="68" t="s">
        <v>130</v>
      </c>
      <c r="G538" s="68" t="s">
        <v>17</v>
      </c>
      <c r="H538" s="68" t="s">
        <v>939</v>
      </c>
      <c r="I538" s="68">
        <f t="shared" si="157"/>
        <v>1557</v>
      </c>
      <c r="J538" s="68" t="s">
        <v>2827</v>
      </c>
      <c r="K538" s="68" t="s">
        <v>2826</v>
      </c>
      <c r="L538" s="70">
        <v>1</v>
      </c>
      <c r="M538" s="71" t="s">
        <v>980</v>
      </c>
      <c r="N538" s="72" t="s">
        <v>814</v>
      </c>
      <c r="O538" s="68">
        <v>1</v>
      </c>
      <c r="P538" s="69" t="str">
        <f t="shared" si="158"/>
        <v>Chilli Jam - HAW001-04</v>
      </c>
      <c r="Q538" s="72"/>
      <c r="R538" s="72"/>
      <c r="S538" s="72"/>
      <c r="T538" s="72"/>
      <c r="U538" s="72"/>
      <c r="V538" s="72"/>
      <c r="W538" s="72" t="s">
        <v>1435</v>
      </c>
      <c r="X538" s="72" t="s">
        <v>982</v>
      </c>
      <c r="Y538" s="72" t="s">
        <v>982</v>
      </c>
      <c r="Z538" s="80">
        <v>44809</v>
      </c>
    </row>
    <row r="539" spans="1:26" x14ac:dyDescent="0.25">
      <c r="A539" s="68">
        <f t="shared" si="156"/>
        <v>559</v>
      </c>
      <c r="B539" s="69" t="s">
        <v>2456</v>
      </c>
      <c r="C539" s="68" t="s">
        <v>2828</v>
      </c>
      <c r="D539" s="68" t="s">
        <v>2830</v>
      </c>
      <c r="E539" s="68" t="s">
        <v>130</v>
      </c>
      <c r="F539" s="68" t="s">
        <v>130</v>
      </c>
      <c r="G539" s="68" t="s">
        <v>17</v>
      </c>
      <c r="H539" s="68" t="s">
        <v>888</v>
      </c>
      <c r="I539" s="68">
        <f t="shared" si="157"/>
        <v>1558</v>
      </c>
      <c r="J539" s="68" t="s">
        <v>2831</v>
      </c>
      <c r="K539" s="68" t="s">
        <v>2832</v>
      </c>
      <c r="L539" s="70">
        <v>25</v>
      </c>
      <c r="M539" s="71" t="s">
        <v>980</v>
      </c>
      <c r="N539" s="72" t="s">
        <v>814</v>
      </c>
      <c r="O539" s="68">
        <v>1</v>
      </c>
      <c r="P539" s="69" t="str">
        <f t="shared" si="158"/>
        <v>Mint Raita Dip Pot 25G - PIQ001-04</v>
      </c>
      <c r="Q539" s="72"/>
      <c r="R539" s="72"/>
      <c r="S539" s="72"/>
      <c r="T539" s="72"/>
      <c r="U539" s="72"/>
      <c r="V539" s="72"/>
      <c r="W539" s="72" t="s">
        <v>1435</v>
      </c>
      <c r="X539" s="72" t="s">
        <v>2460</v>
      </c>
      <c r="Y539" s="72">
        <v>2</v>
      </c>
      <c r="Z539" s="80">
        <v>44809</v>
      </c>
    </row>
    <row r="540" spans="1:26" x14ac:dyDescent="0.25">
      <c r="A540" s="68">
        <f t="shared" si="156"/>
        <v>560</v>
      </c>
      <c r="B540" s="69" t="s">
        <v>2456</v>
      </c>
      <c r="C540" s="68" t="s">
        <v>2829</v>
      </c>
      <c r="D540" s="68" t="s">
        <v>2833</v>
      </c>
      <c r="E540" s="68" t="s">
        <v>130</v>
      </c>
      <c r="F540" s="68" t="s">
        <v>130</v>
      </c>
      <c r="G540" s="68" t="s">
        <v>17</v>
      </c>
      <c r="H540" s="68" t="s">
        <v>888</v>
      </c>
      <c r="I540" s="68">
        <f t="shared" si="157"/>
        <v>1559</v>
      </c>
      <c r="J540" s="68" t="s">
        <v>2834</v>
      </c>
      <c r="K540" s="68" t="s">
        <v>2835</v>
      </c>
      <c r="L540" s="70">
        <v>25</v>
      </c>
      <c r="M540" s="71" t="s">
        <v>980</v>
      </c>
      <c r="N540" s="72" t="s">
        <v>814</v>
      </c>
      <c r="O540" s="68">
        <v>1</v>
      </c>
      <c r="P540" s="69" t="str">
        <f t="shared" si="158"/>
        <v>Garlic Mayonnaise Dip Pot 25G - PIQ001-05</v>
      </c>
      <c r="Q540" s="72"/>
      <c r="R540" s="72"/>
      <c r="S540" s="72"/>
      <c r="T540" s="72"/>
      <c r="U540" s="72"/>
      <c r="V540" s="72"/>
      <c r="W540" s="72" t="s">
        <v>1435</v>
      </c>
      <c r="X540" s="72" t="s">
        <v>2888</v>
      </c>
      <c r="Y540" s="72">
        <v>2</v>
      </c>
      <c r="Z540" s="80">
        <v>44809</v>
      </c>
    </row>
    <row r="541" spans="1:26" x14ac:dyDescent="0.25">
      <c r="A541" s="68">
        <f t="shared" si="156"/>
        <v>561</v>
      </c>
      <c r="B541" s="69" t="s">
        <v>182</v>
      </c>
      <c r="C541" s="68" t="s">
        <v>2867</v>
      </c>
      <c r="D541" s="68" t="s">
        <v>2836</v>
      </c>
      <c r="E541" s="68" t="s">
        <v>885</v>
      </c>
      <c r="F541" s="68" t="s">
        <v>56</v>
      </c>
      <c r="G541" s="68" t="s">
        <v>6</v>
      </c>
      <c r="H541" s="68" t="s">
        <v>888</v>
      </c>
      <c r="I541" s="68">
        <f t="shared" si="157"/>
        <v>1560</v>
      </c>
      <c r="J541" s="68" t="s">
        <v>2838</v>
      </c>
      <c r="K541" s="68" t="s">
        <v>2841</v>
      </c>
      <c r="L541" s="70">
        <v>150</v>
      </c>
      <c r="M541" s="71" t="s">
        <v>980</v>
      </c>
      <c r="N541" s="72" t="s">
        <v>814</v>
      </c>
      <c r="O541" s="68">
        <v>1050</v>
      </c>
      <c r="P541" s="69" t="str">
        <f t="shared" si="158"/>
        <v>Jack Fruit Hog Roast Parcel 150G - GFF428R</v>
      </c>
      <c r="Q541" s="72">
        <v>20</v>
      </c>
      <c r="R541" s="72">
        <f t="shared" ref="R541:R543" si="187">($Q541/5)*4</f>
        <v>16</v>
      </c>
      <c r="S541" s="72">
        <f t="shared" ref="S541:S543" si="188">($Q541/5)*3</f>
        <v>12</v>
      </c>
      <c r="T541" s="72">
        <f t="shared" ref="T541:T543" si="189">($Q541/5)*2</f>
        <v>8</v>
      </c>
      <c r="U541" s="72">
        <f t="shared" ref="U541:U543" si="190">($Q541/5)*1</f>
        <v>4</v>
      </c>
      <c r="V541" s="72"/>
      <c r="W541" s="72" t="s">
        <v>1435</v>
      </c>
      <c r="X541" s="72" t="s">
        <v>1500</v>
      </c>
      <c r="Y541" s="72">
        <v>2</v>
      </c>
      <c r="Z541" s="80">
        <v>44809</v>
      </c>
    </row>
    <row r="542" spans="1:26" x14ac:dyDescent="0.25">
      <c r="A542" s="68">
        <f t="shared" si="156"/>
        <v>562</v>
      </c>
      <c r="B542" s="69" t="s">
        <v>182</v>
      </c>
      <c r="C542" s="68" t="s">
        <v>2868</v>
      </c>
      <c r="D542" s="68" t="s">
        <v>2837</v>
      </c>
      <c r="E542" s="68" t="s">
        <v>885</v>
      </c>
      <c r="F542" s="68" t="s">
        <v>1610</v>
      </c>
      <c r="G542" s="68" t="s">
        <v>6</v>
      </c>
      <c r="H542" s="68" t="s">
        <v>888</v>
      </c>
      <c r="I542" s="68">
        <f t="shared" si="157"/>
        <v>1561</v>
      </c>
      <c r="J542" s="68" t="s">
        <v>2839</v>
      </c>
      <c r="K542" s="68" t="s">
        <v>2842</v>
      </c>
      <c r="L542" s="70">
        <v>150</v>
      </c>
      <c r="M542" s="71" t="s">
        <v>980</v>
      </c>
      <c r="N542" s="72" t="s">
        <v>814</v>
      </c>
      <c r="O542" s="68">
        <v>1550</v>
      </c>
      <c r="P542" s="69" t="str">
        <f t="shared" si="158"/>
        <v>Red Onion &amp; Goat Cheese Parcel 150G - GFF431R</v>
      </c>
      <c r="Q542" s="72">
        <v>20</v>
      </c>
      <c r="R542" s="72">
        <f t="shared" si="187"/>
        <v>16</v>
      </c>
      <c r="S542" s="72">
        <f t="shared" si="188"/>
        <v>12</v>
      </c>
      <c r="T542" s="72">
        <f t="shared" si="189"/>
        <v>8</v>
      </c>
      <c r="U542" s="72">
        <f t="shared" si="190"/>
        <v>4</v>
      </c>
      <c r="V542" s="72"/>
      <c r="W542" s="72" t="s">
        <v>1435</v>
      </c>
      <c r="X542" s="72" t="s">
        <v>1500</v>
      </c>
      <c r="Y542" s="72">
        <v>2</v>
      </c>
      <c r="Z542" s="80">
        <v>44809</v>
      </c>
    </row>
    <row r="543" spans="1:26" x14ac:dyDescent="0.25">
      <c r="A543" s="68">
        <f t="shared" si="156"/>
        <v>563</v>
      </c>
      <c r="B543" s="69" t="s">
        <v>182</v>
      </c>
      <c r="C543" s="68" t="s">
        <v>2869</v>
      </c>
      <c r="D543" s="68" t="s">
        <v>3443</v>
      </c>
      <c r="E543" s="68" t="s">
        <v>885</v>
      </c>
      <c r="F543" s="68" t="s">
        <v>1610</v>
      </c>
      <c r="G543" s="68" t="s">
        <v>6</v>
      </c>
      <c r="H543" s="68" t="s">
        <v>939</v>
      </c>
      <c r="I543" s="68">
        <f t="shared" si="157"/>
        <v>1562</v>
      </c>
      <c r="J543" s="68" t="s">
        <v>2840</v>
      </c>
      <c r="K543" s="68" t="s">
        <v>3444</v>
      </c>
      <c r="L543" s="70">
        <v>20</v>
      </c>
      <c r="M543" s="71" t="s">
        <v>980</v>
      </c>
      <c r="N543" s="72" t="s">
        <v>814</v>
      </c>
      <c r="O543" s="68">
        <v>4000</v>
      </c>
      <c r="P543" s="69" t="str">
        <f t="shared" si="158"/>
        <v>Brie &amp; Cranberry Money Bags 20G - GFF433R</v>
      </c>
      <c r="Q543" s="72">
        <v>25</v>
      </c>
      <c r="R543" s="72">
        <f t="shared" si="187"/>
        <v>20</v>
      </c>
      <c r="S543" s="72">
        <f t="shared" si="188"/>
        <v>15</v>
      </c>
      <c r="T543" s="72">
        <f t="shared" si="189"/>
        <v>10</v>
      </c>
      <c r="U543" s="72">
        <f t="shared" si="190"/>
        <v>5</v>
      </c>
      <c r="V543" s="72"/>
      <c r="W543" s="72" t="s">
        <v>1435</v>
      </c>
      <c r="X543" s="72" t="s">
        <v>1500</v>
      </c>
      <c r="Y543" s="72">
        <v>2</v>
      </c>
      <c r="Z543" s="80">
        <v>44809</v>
      </c>
    </row>
    <row r="544" spans="1:26" x14ac:dyDescent="0.25">
      <c r="A544" s="68">
        <f t="shared" si="156"/>
        <v>564</v>
      </c>
      <c r="B544" s="69" t="s">
        <v>1775</v>
      </c>
      <c r="C544" s="68" t="s">
        <v>2845</v>
      </c>
      <c r="D544" s="68" t="s">
        <v>2846</v>
      </c>
      <c r="E544" s="68" t="s">
        <v>885</v>
      </c>
      <c r="F544" s="68" t="s">
        <v>1281</v>
      </c>
      <c r="G544" s="68" t="s">
        <v>17</v>
      </c>
      <c r="H544" s="68" t="s">
        <v>939</v>
      </c>
      <c r="I544" s="68">
        <f t="shared" si="157"/>
        <v>1563</v>
      </c>
      <c r="J544" s="68" t="s">
        <v>2845</v>
      </c>
      <c r="K544" s="68" t="s">
        <v>2846</v>
      </c>
      <c r="L544" s="70">
        <v>150</v>
      </c>
      <c r="M544" s="71" t="s">
        <v>979</v>
      </c>
      <c r="N544" s="72" t="s">
        <v>814</v>
      </c>
      <c r="O544" s="68">
        <v>1</v>
      </c>
      <c r="P544" s="69" t="str">
        <f t="shared" si="158"/>
        <v>10 King Prawn Selection 150G (Ready Packed) - TRA003-1.1</v>
      </c>
      <c r="Q544" s="72"/>
      <c r="R544" s="72"/>
      <c r="S544" s="72"/>
      <c r="T544" s="72"/>
      <c r="U544" s="72"/>
      <c r="V544" s="72"/>
      <c r="W544" s="72" t="s">
        <v>1435</v>
      </c>
      <c r="X544" s="72" t="s">
        <v>1618</v>
      </c>
      <c r="Y544" s="72">
        <v>1</v>
      </c>
      <c r="Z544" s="80">
        <v>44810</v>
      </c>
    </row>
    <row r="545" spans="1:26" x14ac:dyDescent="0.25">
      <c r="A545" s="68">
        <f t="shared" si="156"/>
        <v>565</v>
      </c>
      <c r="B545" s="69" t="s">
        <v>182</v>
      </c>
      <c r="C545" s="68" t="s">
        <v>2851</v>
      </c>
      <c r="D545" s="68" t="s">
        <v>824</v>
      </c>
      <c r="E545" s="68" t="s">
        <v>885</v>
      </c>
      <c r="F545" s="68" t="s">
        <v>40</v>
      </c>
      <c r="G545" s="68" t="s">
        <v>6</v>
      </c>
      <c r="H545" s="68" t="s">
        <v>888</v>
      </c>
      <c r="I545" s="68">
        <f t="shared" ref="I545:I608" si="191">I544+1</f>
        <v>1564</v>
      </c>
      <c r="J545" s="68" t="s">
        <v>2856</v>
      </c>
      <c r="K545" s="68" t="s">
        <v>2853</v>
      </c>
      <c r="L545" s="70">
        <v>12</v>
      </c>
      <c r="M545" s="71" t="s">
        <v>980</v>
      </c>
      <c r="N545" s="72" t="s">
        <v>814</v>
      </c>
      <c r="O545" s="68">
        <v>1500</v>
      </c>
      <c r="P545" s="69" t="s">
        <v>2853</v>
      </c>
      <c r="Q545" s="72">
        <v>100</v>
      </c>
      <c r="R545" s="72">
        <f t="shared" ref="R545:R549" si="192">($Q545/5)*4</f>
        <v>80</v>
      </c>
      <c r="S545" s="72">
        <f t="shared" ref="S545:S549" si="193">($Q545/5)*3</f>
        <v>60</v>
      </c>
      <c r="T545" s="72">
        <f t="shared" ref="T545:T549" si="194">($Q545/5)*2</f>
        <v>40</v>
      </c>
      <c r="U545" s="72">
        <f t="shared" ref="U545:U549" si="195">($Q545/5)*1</f>
        <v>20</v>
      </c>
      <c r="V545" s="72">
        <v>0</v>
      </c>
      <c r="W545" s="72" t="s">
        <v>1435</v>
      </c>
      <c r="X545" s="72" t="s">
        <v>982</v>
      </c>
      <c r="Y545" s="72" t="s">
        <v>982</v>
      </c>
      <c r="Z545" s="80">
        <v>44830</v>
      </c>
    </row>
    <row r="546" spans="1:26" x14ac:dyDescent="0.25">
      <c r="A546" s="68">
        <f t="shared" si="156"/>
        <v>566</v>
      </c>
      <c r="B546" s="69" t="s">
        <v>182</v>
      </c>
      <c r="C546" s="68" t="s">
        <v>2852</v>
      </c>
      <c r="D546" s="68" t="s">
        <v>831</v>
      </c>
      <c r="E546" s="68" t="s">
        <v>885</v>
      </c>
      <c r="F546" s="68" t="s">
        <v>51</v>
      </c>
      <c r="G546" s="68" t="s">
        <v>6</v>
      </c>
      <c r="H546" s="68" t="s">
        <v>888</v>
      </c>
      <c r="I546" s="68">
        <f t="shared" si="191"/>
        <v>1565</v>
      </c>
      <c r="J546" s="68" t="s">
        <v>2857</v>
      </c>
      <c r="K546" s="68" t="s">
        <v>2854</v>
      </c>
      <c r="L546" s="70">
        <v>12</v>
      </c>
      <c r="M546" s="71" t="s">
        <v>980</v>
      </c>
      <c r="N546" s="72" t="s">
        <v>814</v>
      </c>
      <c r="O546" s="68">
        <v>1900</v>
      </c>
      <c r="P546" s="69" t="s">
        <v>2854</v>
      </c>
      <c r="Q546" s="72">
        <v>100</v>
      </c>
      <c r="R546" s="72">
        <f t="shared" si="192"/>
        <v>80</v>
      </c>
      <c r="S546" s="72">
        <f t="shared" si="193"/>
        <v>60</v>
      </c>
      <c r="T546" s="72">
        <f t="shared" si="194"/>
        <v>40</v>
      </c>
      <c r="U546" s="72">
        <f t="shared" si="195"/>
        <v>20</v>
      </c>
      <c r="V546" s="72">
        <v>0</v>
      </c>
      <c r="W546" s="72" t="s">
        <v>1435</v>
      </c>
      <c r="X546" s="72" t="s">
        <v>982</v>
      </c>
      <c r="Y546" s="72" t="s">
        <v>982</v>
      </c>
      <c r="Z546" s="80">
        <v>44830</v>
      </c>
    </row>
    <row r="547" spans="1:26" x14ac:dyDescent="0.25">
      <c r="A547" s="68">
        <f t="shared" si="156"/>
        <v>567</v>
      </c>
      <c r="B547" s="69" t="s">
        <v>182</v>
      </c>
      <c r="C547" s="68" t="s">
        <v>1283</v>
      </c>
      <c r="D547" s="68" t="s">
        <v>824</v>
      </c>
      <c r="E547" s="68" t="s">
        <v>885</v>
      </c>
      <c r="F547" s="68" t="s">
        <v>40</v>
      </c>
      <c r="G547" s="68" t="s">
        <v>6</v>
      </c>
      <c r="H547" s="68" t="s">
        <v>888</v>
      </c>
      <c r="I547" s="68">
        <f t="shared" si="191"/>
        <v>1566</v>
      </c>
      <c r="J547" s="68" t="s">
        <v>2858</v>
      </c>
      <c r="K547" s="68" t="s">
        <v>2859</v>
      </c>
      <c r="L547" s="70">
        <v>100</v>
      </c>
      <c r="M547" s="71" t="s">
        <v>980</v>
      </c>
      <c r="N547" s="72" t="s">
        <v>814</v>
      </c>
      <c r="O547" s="68">
        <v>1050</v>
      </c>
      <c r="P547" s="69" t="s">
        <v>2859</v>
      </c>
      <c r="Q547" s="72">
        <v>16</v>
      </c>
      <c r="R547" s="72">
        <f t="shared" si="192"/>
        <v>12.8</v>
      </c>
      <c r="S547" s="72">
        <f t="shared" si="193"/>
        <v>9.6000000000000014</v>
      </c>
      <c r="T547" s="72">
        <f t="shared" si="194"/>
        <v>6.4</v>
      </c>
      <c r="U547" s="72">
        <f t="shared" si="195"/>
        <v>3.2</v>
      </c>
      <c r="V547" s="72">
        <v>0</v>
      </c>
      <c r="W547" s="72" t="s">
        <v>1435</v>
      </c>
      <c r="X547" s="72" t="s">
        <v>982</v>
      </c>
      <c r="Y547" s="72" t="s">
        <v>982</v>
      </c>
      <c r="Z547" s="80">
        <v>44839</v>
      </c>
    </row>
    <row r="548" spans="1:26" x14ac:dyDescent="0.25">
      <c r="A548" s="68">
        <f t="shared" si="156"/>
        <v>568</v>
      </c>
      <c r="B548" s="69" t="s">
        <v>182</v>
      </c>
      <c r="C548" s="68" t="s">
        <v>1284</v>
      </c>
      <c r="D548" s="68" t="s">
        <v>831</v>
      </c>
      <c r="E548" s="68" t="s">
        <v>885</v>
      </c>
      <c r="F548" s="68" t="s">
        <v>51</v>
      </c>
      <c r="G548" s="68" t="s">
        <v>6</v>
      </c>
      <c r="H548" s="68" t="s">
        <v>888</v>
      </c>
      <c r="I548" s="68">
        <f t="shared" si="191"/>
        <v>1567</v>
      </c>
      <c r="J548" s="68" t="s">
        <v>2861</v>
      </c>
      <c r="K548" s="68" t="s">
        <v>2862</v>
      </c>
      <c r="L548" s="70">
        <v>100</v>
      </c>
      <c r="M548" s="71" t="s">
        <v>980</v>
      </c>
      <c r="N548" s="72" t="s">
        <v>814</v>
      </c>
      <c r="O548" s="68">
        <v>1100</v>
      </c>
      <c r="P548" s="69" t="s">
        <v>2862</v>
      </c>
      <c r="Q548" s="72">
        <v>40.700000000000003</v>
      </c>
      <c r="R548" s="72">
        <f t="shared" si="192"/>
        <v>32.56</v>
      </c>
      <c r="S548" s="72">
        <f t="shared" si="193"/>
        <v>24.42</v>
      </c>
      <c r="T548" s="72">
        <f t="shared" si="194"/>
        <v>16.28</v>
      </c>
      <c r="U548" s="72">
        <f t="shared" si="195"/>
        <v>8.14</v>
      </c>
      <c r="V548" s="72">
        <v>0</v>
      </c>
      <c r="W548" s="72" t="s">
        <v>1435</v>
      </c>
      <c r="X548" s="72" t="s">
        <v>982</v>
      </c>
      <c r="Y548" s="72" t="s">
        <v>982</v>
      </c>
      <c r="Z548" s="80">
        <v>44839</v>
      </c>
    </row>
    <row r="549" spans="1:26" x14ac:dyDescent="0.25">
      <c r="A549" s="68">
        <f t="shared" si="156"/>
        <v>569</v>
      </c>
      <c r="B549" s="69" t="s">
        <v>182</v>
      </c>
      <c r="C549" s="68" t="s">
        <v>1337</v>
      </c>
      <c r="D549" s="68" t="s">
        <v>822</v>
      </c>
      <c r="E549" s="68" t="s">
        <v>885</v>
      </c>
      <c r="F549" s="68" t="s">
        <v>30</v>
      </c>
      <c r="G549" s="68" t="s">
        <v>6</v>
      </c>
      <c r="H549" s="68" t="s">
        <v>888</v>
      </c>
      <c r="I549" s="68">
        <f t="shared" si="191"/>
        <v>1568</v>
      </c>
      <c r="J549" s="68" t="s">
        <v>2864</v>
      </c>
      <c r="K549" s="68" t="s">
        <v>2865</v>
      </c>
      <c r="L549" s="70">
        <v>50</v>
      </c>
      <c r="M549" s="71" t="s">
        <v>979</v>
      </c>
      <c r="N549" s="72" t="s">
        <v>809</v>
      </c>
      <c r="O549" s="68">
        <v>800</v>
      </c>
      <c r="P549" s="69" t="str">
        <f t="shared" ref="P549:P552" si="196">K549&amp;" - "&amp; C549</f>
        <v>Chicken Spring Roll Medium 50G - Takul - GFF007R</v>
      </c>
      <c r="Q549" s="72">
        <v>35</v>
      </c>
      <c r="R549" s="72">
        <f t="shared" si="192"/>
        <v>28</v>
      </c>
      <c r="S549" s="72">
        <f t="shared" si="193"/>
        <v>21</v>
      </c>
      <c r="T549" s="72">
        <f t="shared" si="194"/>
        <v>14</v>
      </c>
      <c r="U549" s="72">
        <f t="shared" si="195"/>
        <v>7</v>
      </c>
      <c r="V549" s="72">
        <v>20</v>
      </c>
      <c r="W549" s="72" t="s">
        <v>1435</v>
      </c>
      <c r="X549" s="72" t="s">
        <v>2895</v>
      </c>
      <c r="Y549" s="72">
        <v>2</v>
      </c>
      <c r="Z549" s="80" t="s">
        <v>2943</v>
      </c>
    </row>
    <row r="550" spans="1:26" x14ac:dyDescent="0.25">
      <c r="A550" s="68">
        <f t="shared" si="156"/>
        <v>570</v>
      </c>
      <c r="B550" s="69" t="s">
        <v>182</v>
      </c>
      <c r="C550" s="68" t="s">
        <v>2870</v>
      </c>
      <c r="D550" s="68" t="s">
        <v>2871</v>
      </c>
      <c r="E550" s="68" t="s">
        <v>886</v>
      </c>
      <c r="F550" s="68" t="s">
        <v>56</v>
      </c>
      <c r="G550" s="68" t="s">
        <v>6</v>
      </c>
      <c r="H550" s="68" t="s">
        <v>939</v>
      </c>
      <c r="I550" s="68">
        <f t="shared" si="191"/>
        <v>1569</v>
      </c>
      <c r="J550" s="68" t="s">
        <v>2878</v>
      </c>
      <c r="K550" s="68" t="s">
        <v>2871</v>
      </c>
      <c r="L550" s="70"/>
      <c r="M550" s="71" t="s">
        <v>980</v>
      </c>
      <c r="N550" s="72" t="s">
        <v>814</v>
      </c>
      <c r="O550" s="68">
        <v>1</v>
      </c>
      <c r="P550" s="69" t="str">
        <f t="shared" si="196"/>
        <v>Jackfruit Hog Roast Mix  - GFF427R</v>
      </c>
      <c r="Q550" s="72"/>
      <c r="R550" s="72"/>
      <c r="S550" s="72"/>
      <c r="T550" s="72"/>
      <c r="U550" s="72"/>
      <c r="V550" s="72"/>
      <c r="W550" s="72" t="s">
        <v>1435</v>
      </c>
      <c r="X550" s="72" t="s">
        <v>982</v>
      </c>
      <c r="Y550" s="72" t="s">
        <v>982</v>
      </c>
      <c r="Z550" s="80">
        <v>44852</v>
      </c>
    </row>
    <row r="551" spans="1:26" x14ac:dyDescent="0.25">
      <c r="A551" s="68">
        <f t="shared" si="156"/>
        <v>571</v>
      </c>
      <c r="B551" s="69" t="s">
        <v>182</v>
      </c>
      <c r="C551" s="68" t="s">
        <v>2872</v>
      </c>
      <c r="D551" s="68" t="s">
        <v>2873</v>
      </c>
      <c r="E551" s="68" t="s">
        <v>886</v>
      </c>
      <c r="F551" s="68" t="s">
        <v>56</v>
      </c>
      <c r="G551" s="68" t="s">
        <v>6</v>
      </c>
      <c r="H551" s="68" t="s">
        <v>939</v>
      </c>
      <c r="I551" s="68">
        <f t="shared" si="191"/>
        <v>1570</v>
      </c>
      <c r="J551" s="68" t="s">
        <v>2879</v>
      </c>
      <c r="K551" s="68" t="s">
        <v>2873</v>
      </c>
      <c r="L551" s="70"/>
      <c r="M551" s="71" t="s">
        <v>980</v>
      </c>
      <c r="N551" s="72" t="s">
        <v>814</v>
      </c>
      <c r="O551" s="68">
        <v>1</v>
      </c>
      <c r="P551" s="69" t="str">
        <f t="shared" si="196"/>
        <v>Steamed Red Cabbage - GFF429R</v>
      </c>
      <c r="Q551" s="72"/>
      <c r="R551" s="72"/>
      <c r="S551" s="72"/>
      <c r="T551" s="72"/>
      <c r="U551" s="72"/>
      <c r="V551" s="72"/>
      <c r="W551" s="72" t="s">
        <v>1435</v>
      </c>
      <c r="X551" s="60" t="s">
        <v>982</v>
      </c>
      <c r="Y551" s="72" t="s">
        <v>982</v>
      </c>
      <c r="Z551" s="80">
        <v>44852</v>
      </c>
    </row>
    <row r="552" spans="1:26" x14ac:dyDescent="0.25">
      <c r="A552" s="68">
        <f t="shared" si="156"/>
        <v>572</v>
      </c>
      <c r="B552" s="69" t="s">
        <v>182</v>
      </c>
      <c r="C552" s="68" t="s">
        <v>2874</v>
      </c>
      <c r="D552" s="68" t="s">
        <v>2875</v>
      </c>
      <c r="E552" s="68" t="s">
        <v>886</v>
      </c>
      <c r="F552" s="68" t="s">
        <v>56</v>
      </c>
      <c r="G552" s="68" t="s">
        <v>6</v>
      </c>
      <c r="H552" s="68" t="s">
        <v>939</v>
      </c>
      <c r="I552" s="68">
        <f t="shared" si="191"/>
        <v>1571</v>
      </c>
      <c r="J552" s="68" t="s">
        <v>2880</v>
      </c>
      <c r="K552" s="68" t="s">
        <v>2875</v>
      </c>
      <c r="L552" s="70"/>
      <c r="M552" s="71" t="s">
        <v>980</v>
      </c>
      <c r="N552" s="72" t="s">
        <v>814</v>
      </c>
      <c r="O552" s="68">
        <v>1</v>
      </c>
      <c r="P552" s="69" t="str">
        <f t="shared" si="196"/>
        <v>Marmalade Mix - GFF430R</v>
      </c>
      <c r="Q552" s="72"/>
      <c r="R552" s="72"/>
      <c r="S552" s="72"/>
      <c r="T552" s="72"/>
      <c r="U552" s="72"/>
      <c r="V552" s="72"/>
      <c r="W552" s="72" t="s">
        <v>1435</v>
      </c>
      <c r="X552" s="72" t="s">
        <v>982</v>
      </c>
      <c r="Y552" s="72" t="s">
        <v>982</v>
      </c>
      <c r="Z552" s="80">
        <v>44852</v>
      </c>
    </row>
    <row r="553" spans="1:26" x14ac:dyDescent="0.25">
      <c r="A553" s="68">
        <f t="shared" ref="A553:A616" si="197">+A552+1</f>
        <v>573</v>
      </c>
      <c r="B553" s="69" t="s">
        <v>182</v>
      </c>
      <c r="C553" s="68" t="s">
        <v>2876</v>
      </c>
      <c r="D553" s="68" t="s">
        <v>2877</v>
      </c>
      <c r="E553" s="68" t="s">
        <v>886</v>
      </c>
      <c r="F553" s="68" t="s">
        <v>56</v>
      </c>
      <c r="G553" s="68" t="s">
        <v>6</v>
      </c>
      <c r="H553" s="68" t="s">
        <v>939</v>
      </c>
      <c r="I553" s="68">
        <f t="shared" si="191"/>
        <v>1572</v>
      </c>
      <c r="J553" s="68" t="s">
        <v>2881</v>
      </c>
      <c r="K553" s="68" t="s">
        <v>2877</v>
      </c>
      <c r="L553" s="70"/>
      <c r="M553" s="71" t="s">
        <v>980</v>
      </c>
      <c r="N553" s="72" t="s">
        <v>814</v>
      </c>
      <c r="O553" s="68">
        <v>1</v>
      </c>
      <c r="P553" s="69" t="str">
        <f t="shared" ref="P553:P554" si="198">K553&amp;" - "&amp; C553</f>
        <v>Cranberry Mix  - GFF432R</v>
      </c>
      <c r="Q553" s="72"/>
      <c r="R553" s="72"/>
      <c r="S553" s="72"/>
      <c r="T553" s="72"/>
      <c r="U553" s="72"/>
      <c r="V553" s="72"/>
      <c r="W553" s="72" t="s">
        <v>1435</v>
      </c>
      <c r="X553" s="72" t="s">
        <v>982</v>
      </c>
      <c r="Y553" s="72" t="s">
        <v>982</v>
      </c>
      <c r="Z553" s="80">
        <v>44852</v>
      </c>
    </row>
    <row r="554" spans="1:26" x14ac:dyDescent="0.25">
      <c r="A554" s="68">
        <f t="shared" si="197"/>
        <v>574</v>
      </c>
      <c r="B554" s="69" t="s">
        <v>182</v>
      </c>
      <c r="C554" s="68" t="s">
        <v>2897</v>
      </c>
      <c r="D554" s="68" t="s">
        <v>2915</v>
      </c>
      <c r="E554" s="68" t="s">
        <v>886</v>
      </c>
      <c r="F554" s="68" t="s">
        <v>1540</v>
      </c>
      <c r="G554" s="68" t="s">
        <v>6</v>
      </c>
      <c r="H554" s="68" t="s">
        <v>888</v>
      </c>
      <c r="I554" s="68">
        <f t="shared" si="191"/>
        <v>1573</v>
      </c>
      <c r="J554" s="68" t="s">
        <v>2907</v>
      </c>
      <c r="K554" s="68" t="s">
        <v>2915</v>
      </c>
      <c r="L554" s="70"/>
      <c r="M554" s="71" t="s">
        <v>980</v>
      </c>
      <c r="N554" s="72" t="s">
        <v>814</v>
      </c>
      <c r="O554" s="68">
        <v>1</v>
      </c>
      <c r="P554" s="69" t="str">
        <f t="shared" si="198"/>
        <v>Brown Rice (MC) - GFF434R</v>
      </c>
      <c r="Q554" s="72"/>
      <c r="R554" s="72"/>
      <c r="S554" s="72"/>
      <c r="T554" s="72"/>
      <c r="U554" s="72"/>
      <c r="V554" s="72"/>
      <c r="W554" s="72" t="s">
        <v>1435</v>
      </c>
      <c r="X554" s="72" t="s">
        <v>982</v>
      </c>
      <c r="Y554" s="72" t="s">
        <v>982</v>
      </c>
      <c r="Z554" s="80">
        <v>45006</v>
      </c>
    </row>
    <row r="555" spans="1:26" x14ac:dyDescent="0.25">
      <c r="A555" s="68">
        <f t="shared" si="197"/>
        <v>575</v>
      </c>
      <c r="B555" s="69" t="s">
        <v>182</v>
      </c>
      <c r="C555" s="68" t="s">
        <v>2898</v>
      </c>
      <c r="D555" s="68" t="s">
        <v>2916</v>
      </c>
      <c r="E555" s="68" t="s">
        <v>886</v>
      </c>
      <c r="F555" s="68" t="s">
        <v>84</v>
      </c>
      <c r="G555" s="68" t="s">
        <v>6</v>
      </c>
      <c r="H555" s="68" t="s">
        <v>888</v>
      </c>
      <c r="I555" s="68">
        <f t="shared" si="191"/>
        <v>1574</v>
      </c>
      <c r="J555" s="68" t="s">
        <v>2908</v>
      </c>
      <c r="K555" s="68" t="s">
        <v>2916</v>
      </c>
      <c r="L555" s="70"/>
      <c r="M555" s="71" t="s">
        <v>979</v>
      </c>
      <c r="N555" s="72" t="s">
        <v>814</v>
      </c>
      <c r="O555" s="68">
        <v>1</v>
      </c>
      <c r="P555" s="69" t="str">
        <f t="shared" ref="P555:P556" si="199">K555&amp;" - "&amp; C555</f>
        <v>Chilli Con Carne (MC) - GFF435R</v>
      </c>
      <c r="Q555" s="72"/>
      <c r="R555" s="72"/>
      <c r="S555" s="72"/>
      <c r="T555" s="72"/>
      <c r="U555" s="72"/>
      <c r="V555" s="72"/>
      <c r="W555" s="72" t="s">
        <v>1435</v>
      </c>
      <c r="X555" s="72" t="s">
        <v>1814</v>
      </c>
      <c r="Y555" s="72">
        <v>3</v>
      </c>
      <c r="Z555" s="80">
        <v>45006</v>
      </c>
    </row>
    <row r="556" spans="1:26" x14ac:dyDescent="0.25">
      <c r="A556" s="68">
        <f t="shared" si="197"/>
        <v>576</v>
      </c>
      <c r="B556" s="69" t="s">
        <v>182</v>
      </c>
      <c r="C556" s="68" t="s">
        <v>2899</v>
      </c>
      <c r="D556" s="68" t="s">
        <v>2905</v>
      </c>
      <c r="E556" s="68" t="s">
        <v>886</v>
      </c>
      <c r="F556" s="68" t="s">
        <v>56</v>
      </c>
      <c r="G556" s="68" t="s">
        <v>6</v>
      </c>
      <c r="H556" s="68" t="s">
        <v>888</v>
      </c>
      <c r="I556" s="68">
        <f t="shared" si="191"/>
        <v>1575</v>
      </c>
      <c r="J556" s="68" t="s">
        <v>2909</v>
      </c>
      <c r="K556" s="68" t="s">
        <v>2905</v>
      </c>
      <c r="L556" s="70"/>
      <c r="M556" s="71" t="s">
        <v>980</v>
      </c>
      <c r="N556" s="72" t="s">
        <v>814</v>
      </c>
      <c r="O556" s="68">
        <v>1</v>
      </c>
      <c r="P556" s="69" t="str">
        <f t="shared" si="199"/>
        <v>Roasted Mixed Peppers (MC) - GFF436R</v>
      </c>
      <c r="Q556" s="72"/>
      <c r="R556" s="72"/>
      <c r="S556" s="72"/>
      <c r="T556" s="72"/>
      <c r="U556" s="72"/>
      <c r="V556" s="72"/>
      <c r="W556" s="72" t="s">
        <v>1435</v>
      </c>
      <c r="X556" s="72" t="s">
        <v>982</v>
      </c>
      <c r="Y556" s="72" t="s">
        <v>982</v>
      </c>
      <c r="Z556" s="80">
        <v>45006</v>
      </c>
    </row>
    <row r="557" spans="1:26" x14ac:dyDescent="0.25">
      <c r="A557" s="68">
        <f t="shared" si="197"/>
        <v>577</v>
      </c>
      <c r="B557" s="69" t="s">
        <v>182</v>
      </c>
      <c r="C557" s="68" t="s">
        <v>2900</v>
      </c>
      <c r="D557" s="68" t="s">
        <v>1982</v>
      </c>
      <c r="E557" s="68" t="s">
        <v>886</v>
      </c>
      <c r="F557" s="68" t="s">
        <v>62</v>
      </c>
      <c r="G557" s="68" t="s">
        <v>6</v>
      </c>
      <c r="H557" s="68" t="s">
        <v>888</v>
      </c>
      <c r="I557" s="68">
        <f t="shared" si="191"/>
        <v>1576</v>
      </c>
      <c r="J557" s="68" t="s">
        <v>2910</v>
      </c>
      <c r="K557" s="68" t="s">
        <v>2917</v>
      </c>
      <c r="L557" s="70"/>
      <c r="M557" s="71" t="s">
        <v>980</v>
      </c>
      <c r="N557" s="72" t="s">
        <v>814</v>
      </c>
      <c r="O557" s="68">
        <v>1</v>
      </c>
      <c r="P557" s="69" t="str">
        <f t="shared" ref="P557:P563" si="200">K557&amp;" - "&amp; C557</f>
        <v>Tikka Masala Sauce (MC) - R2 - GFF437R</v>
      </c>
      <c r="Q557" s="72"/>
      <c r="R557" s="72"/>
      <c r="S557" s="72"/>
      <c r="T557" s="72"/>
      <c r="U557" s="72"/>
      <c r="V557" s="72"/>
      <c r="W557" s="72" t="s">
        <v>1435</v>
      </c>
      <c r="X557" s="72" t="s">
        <v>982</v>
      </c>
      <c r="Y557" s="72" t="s">
        <v>982</v>
      </c>
      <c r="Z557" s="80">
        <v>45006</v>
      </c>
    </row>
    <row r="558" spans="1:26" x14ac:dyDescent="0.25">
      <c r="A558" s="68">
        <f t="shared" si="197"/>
        <v>578</v>
      </c>
      <c r="B558" s="69" t="s">
        <v>182</v>
      </c>
      <c r="C558" s="68" t="s">
        <v>2901</v>
      </c>
      <c r="D558" s="68" t="s">
        <v>2918</v>
      </c>
      <c r="E558" s="68" t="s">
        <v>886</v>
      </c>
      <c r="F558" s="68" t="s">
        <v>1540</v>
      </c>
      <c r="G558" s="68" t="s">
        <v>6</v>
      </c>
      <c r="H558" s="68" t="s">
        <v>888</v>
      </c>
      <c r="I558" s="68">
        <f t="shared" si="191"/>
        <v>1577</v>
      </c>
      <c r="J558" s="68" t="s">
        <v>2911</v>
      </c>
      <c r="K558" s="68" t="s">
        <v>2918</v>
      </c>
      <c r="L558" s="70"/>
      <c r="M558" s="71" t="s">
        <v>980</v>
      </c>
      <c r="N558" s="72" t="s">
        <v>814</v>
      </c>
      <c r="O558" s="68">
        <v>1</v>
      </c>
      <c r="P558" s="69" t="str">
        <f t="shared" si="200"/>
        <v>Black Rice (MC) - GFF438R</v>
      </c>
      <c r="Q558" s="72"/>
      <c r="R558" s="72"/>
      <c r="S558" s="72"/>
      <c r="T558" s="72"/>
      <c r="U558" s="72"/>
      <c r="V558" s="72"/>
      <c r="W558" s="72" t="s">
        <v>1435</v>
      </c>
      <c r="X558" s="72" t="s">
        <v>982</v>
      </c>
      <c r="Y558" s="72" t="s">
        <v>982</v>
      </c>
      <c r="Z558" s="80">
        <v>45006</v>
      </c>
    </row>
    <row r="559" spans="1:26" x14ac:dyDescent="0.25">
      <c r="A559" s="68">
        <f t="shared" si="197"/>
        <v>579</v>
      </c>
      <c r="B559" s="69" t="s">
        <v>182</v>
      </c>
      <c r="C559" s="68" t="s">
        <v>2902</v>
      </c>
      <c r="D559" s="68" t="s">
        <v>2626</v>
      </c>
      <c r="E559" s="68" t="s">
        <v>886</v>
      </c>
      <c r="F559" s="68" t="s">
        <v>62</v>
      </c>
      <c r="G559" s="68" t="s">
        <v>6</v>
      </c>
      <c r="H559" s="68" t="s">
        <v>888</v>
      </c>
      <c r="I559" s="68">
        <f t="shared" si="191"/>
        <v>1578</v>
      </c>
      <c r="J559" s="68" t="s">
        <v>2912</v>
      </c>
      <c r="K559" s="68" t="s">
        <v>2919</v>
      </c>
      <c r="L559" s="70"/>
      <c r="M559" s="71" t="s">
        <v>980</v>
      </c>
      <c r="N559" s="72" t="s">
        <v>814</v>
      </c>
      <c r="O559" s="68">
        <v>1</v>
      </c>
      <c r="P559" s="69" t="str">
        <f t="shared" si="200"/>
        <v>Chickpea Korma Sauce (MC)-R2 - GFF439R</v>
      </c>
      <c r="Q559" s="72"/>
      <c r="R559" s="72"/>
      <c r="S559" s="72"/>
      <c r="T559" s="72"/>
      <c r="U559" s="72"/>
      <c r="V559" s="72"/>
      <c r="W559" s="72" t="s">
        <v>1435</v>
      </c>
      <c r="X559" s="72" t="s">
        <v>1862</v>
      </c>
      <c r="Y559" s="72">
        <v>1</v>
      </c>
      <c r="Z559" s="80">
        <v>45006</v>
      </c>
    </row>
    <row r="560" spans="1:26" x14ac:dyDescent="0.25">
      <c r="A560" s="68">
        <f t="shared" si="197"/>
        <v>580</v>
      </c>
      <c r="B560" s="69" t="s">
        <v>182</v>
      </c>
      <c r="C560" s="68" t="s">
        <v>2903</v>
      </c>
      <c r="D560" s="68" t="s">
        <v>2178</v>
      </c>
      <c r="E560" s="68" t="s">
        <v>886</v>
      </c>
      <c r="F560" s="68" t="s">
        <v>62</v>
      </c>
      <c r="G560" s="68" t="s">
        <v>6</v>
      </c>
      <c r="H560" s="68" t="s">
        <v>888</v>
      </c>
      <c r="I560" s="68">
        <f t="shared" si="191"/>
        <v>1579</v>
      </c>
      <c r="J560" s="68" t="s">
        <v>2913</v>
      </c>
      <c r="K560" s="68" t="s">
        <v>2920</v>
      </c>
      <c r="L560" s="70"/>
      <c r="M560" s="71" t="s">
        <v>980</v>
      </c>
      <c r="N560" s="72" t="s">
        <v>814</v>
      </c>
      <c r="O560" s="68">
        <v>1</v>
      </c>
      <c r="P560" s="69" t="str">
        <f t="shared" si="200"/>
        <v>Spinach Dahl (MC) - R2 - GFF440R</v>
      </c>
      <c r="Q560" s="72"/>
      <c r="R560" s="72"/>
      <c r="S560" s="72"/>
      <c r="T560" s="72"/>
      <c r="U560" s="72"/>
      <c r="V560" s="72"/>
      <c r="W560" s="72" t="s">
        <v>1435</v>
      </c>
      <c r="X560" s="72" t="s">
        <v>982</v>
      </c>
      <c r="Y560" s="72" t="s">
        <v>982</v>
      </c>
      <c r="Z560" s="80">
        <v>45006</v>
      </c>
    </row>
    <row r="561" spans="1:26" x14ac:dyDescent="0.25">
      <c r="A561" s="68">
        <f t="shared" si="197"/>
        <v>581</v>
      </c>
      <c r="B561" s="69" t="s">
        <v>182</v>
      </c>
      <c r="C561" s="68" t="s">
        <v>2904</v>
      </c>
      <c r="D561" s="68" t="s">
        <v>2906</v>
      </c>
      <c r="E561" s="68" t="s">
        <v>886</v>
      </c>
      <c r="F561" s="68" t="s">
        <v>56</v>
      </c>
      <c r="G561" s="68" t="s">
        <v>6</v>
      </c>
      <c r="H561" s="68" t="s">
        <v>888</v>
      </c>
      <c r="I561" s="68">
        <f t="shared" si="191"/>
        <v>1580</v>
      </c>
      <c r="J561" s="68" t="s">
        <v>2914</v>
      </c>
      <c r="K561" s="68" t="s">
        <v>2906</v>
      </c>
      <c r="L561" s="70"/>
      <c r="M561" s="71" t="s">
        <v>980</v>
      </c>
      <c r="N561" s="72" t="s">
        <v>814</v>
      </c>
      <c r="O561" s="68">
        <v>1</v>
      </c>
      <c r="P561" s="69" t="str">
        <f t="shared" si="200"/>
        <v>Roasted Butternut Squash (MC) - GFF441R</v>
      </c>
      <c r="Q561" s="72"/>
      <c r="R561" s="72"/>
      <c r="S561" s="72"/>
      <c r="T561" s="72"/>
      <c r="U561" s="72"/>
      <c r="V561" s="72"/>
      <c r="W561" s="72" t="s">
        <v>1435</v>
      </c>
      <c r="X561" s="72" t="s">
        <v>982</v>
      </c>
      <c r="Y561" s="72" t="s">
        <v>982</v>
      </c>
      <c r="Z561" s="80">
        <v>45006</v>
      </c>
    </row>
    <row r="562" spans="1:26" x14ac:dyDescent="0.25">
      <c r="A562" s="68">
        <f t="shared" si="197"/>
        <v>582</v>
      </c>
      <c r="B562" s="69" t="s">
        <v>182</v>
      </c>
      <c r="C562" s="68" t="s">
        <v>2927</v>
      </c>
      <c r="D562" s="68" t="s">
        <v>2928</v>
      </c>
      <c r="E562" s="68" t="s">
        <v>885</v>
      </c>
      <c r="F562" s="68" t="s">
        <v>4</v>
      </c>
      <c r="G562" s="68" t="s">
        <v>6</v>
      </c>
      <c r="H562" s="68" t="s">
        <v>888</v>
      </c>
      <c r="I562" s="68">
        <f t="shared" si="191"/>
        <v>1581</v>
      </c>
      <c r="J562" s="68" t="s">
        <v>2929</v>
      </c>
      <c r="K562" s="68" t="s">
        <v>2930</v>
      </c>
      <c r="L562" s="70">
        <v>40</v>
      </c>
      <c r="M562" s="71" t="s">
        <v>979</v>
      </c>
      <c r="N562" s="72" t="s">
        <v>814</v>
      </c>
      <c r="O562" s="68">
        <v>5500</v>
      </c>
      <c r="P562" s="69" t="str">
        <f t="shared" si="200"/>
        <v>Chicken Tikka Samosa Cook 40G - GFF442R</v>
      </c>
      <c r="Q562" s="72">
        <v>40</v>
      </c>
      <c r="R562" s="72">
        <f t="shared" ref="R562" si="201">($Q562/5)*4</f>
        <v>32</v>
      </c>
      <c r="S562" s="72">
        <f t="shared" ref="S562" si="202">($Q562/5)*3</f>
        <v>24</v>
      </c>
      <c r="T562" s="72">
        <f t="shared" ref="T562" si="203">($Q562/5)*2</f>
        <v>16</v>
      </c>
      <c r="U562" s="72">
        <f t="shared" ref="U562" si="204">($Q562/5)*1</f>
        <v>8</v>
      </c>
      <c r="V562" s="72"/>
      <c r="W562" s="72" t="s">
        <v>1435</v>
      </c>
      <c r="X562" s="72" t="s">
        <v>1501</v>
      </c>
      <c r="Y562" s="72">
        <v>3</v>
      </c>
      <c r="Z562" s="80">
        <v>45044</v>
      </c>
    </row>
    <row r="563" spans="1:26" x14ac:dyDescent="0.25">
      <c r="A563" s="68">
        <f t="shared" si="197"/>
        <v>583</v>
      </c>
      <c r="B563" s="69" t="s">
        <v>182</v>
      </c>
      <c r="C563" s="68" t="s">
        <v>2932</v>
      </c>
      <c r="D563" s="68" t="s">
        <v>2933</v>
      </c>
      <c r="E563" s="68" t="s">
        <v>886</v>
      </c>
      <c r="F563" s="68" t="s">
        <v>56</v>
      </c>
      <c r="G563" s="68" t="s">
        <v>6</v>
      </c>
      <c r="H563" s="68" t="s">
        <v>888</v>
      </c>
      <c r="I563" s="68">
        <f t="shared" si="191"/>
        <v>1582</v>
      </c>
      <c r="J563" s="68" t="s">
        <v>2934</v>
      </c>
      <c r="K563" s="68" t="s">
        <v>2933</v>
      </c>
      <c r="L563" s="70"/>
      <c r="M563" s="71" t="s">
        <v>980</v>
      </c>
      <c r="N563" s="72" t="s">
        <v>809</v>
      </c>
      <c r="O563" s="68">
        <v>1</v>
      </c>
      <c r="P563" s="69" t="str">
        <f t="shared" si="200"/>
        <v>Roasted Red Peppers 10mm - GFF443R</v>
      </c>
      <c r="Q563" s="72"/>
      <c r="R563" s="72"/>
      <c r="S563" s="72"/>
      <c r="T563" s="72"/>
      <c r="U563" s="72"/>
      <c r="V563" s="72"/>
      <c r="W563" s="72" t="s">
        <v>1435</v>
      </c>
      <c r="X563" s="72" t="s">
        <v>982</v>
      </c>
      <c r="Y563" s="72" t="s">
        <v>982</v>
      </c>
      <c r="Z563" s="80">
        <v>45089</v>
      </c>
    </row>
    <row r="564" spans="1:26" x14ac:dyDescent="0.25">
      <c r="A564" s="68">
        <f t="shared" si="197"/>
        <v>584</v>
      </c>
      <c r="B564" s="69" t="s">
        <v>182</v>
      </c>
      <c r="C564" s="68" t="s">
        <v>2938</v>
      </c>
      <c r="D564" s="68" t="s">
        <v>2939</v>
      </c>
      <c r="E564" s="68" t="s">
        <v>886</v>
      </c>
      <c r="F564" s="68" t="s">
        <v>2940</v>
      </c>
      <c r="G564" s="68" t="s">
        <v>6</v>
      </c>
      <c r="H564" s="68" t="s">
        <v>888</v>
      </c>
      <c r="I564" s="68">
        <f t="shared" si="191"/>
        <v>1583</v>
      </c>
      <c r="J564" s="68" t="s">
        <v>2941</v>
      </c>
      <c r="K564" s="68" t="s">
        <v>2939</v>
      </c>
      <c r="L564" s="70"/>
      <c r="M564" s="71" t="s">
        <v>979</v>
      </c>
      <c r="N564" s="72" t="s">
        <v>814</v>
      </c>
      <c r="O564" s="68">
        <v>1</v>
      </c>
      <c r="P564" s="69" t="str">
        <f t="shared" ref="P564:P567" si="205">K564&amp;" - "&amp; C564</f>
        <v>Batter for Chicken Bites - GFF152R-1R</v>
      </c>
      <c r="Q564" s="72"/>
      <c r="R564" s="72"/>
      <c r="S564" s="72"/>
      <c r="T564" s="72"/>
      <c r="U564" s="72"/>
      <c r="V564" s="72">
        <v>0</v>
      </c>
      <c r="W564" s="72" t="s">
        <v>1435</v>
      </c>
      <c r="X564" s="72" t="s">
        <v>1501</v>
      </c>
      <c r="Y564" s="72">
        <v>3</v>
      </c>
      <c r="Z564" s="80">
        <v>45113</v>
      </c>
    </row>
    <row r="565" spans="1:26" x14ac:dyDescent="0.25">
      <c r="A565" s="68">
        <f t="shared" si="197"/>
        <v>585</v>
      </c>
      <c r="B565" s="69" t="s">
        <v>182</v>
      </c>
      <c r="C565" s="68" t="s">
        <v>2948</v>
      </c>
      <c r="D565" s="68" t="s">
        <v>2944</v>
      </c>
      <c r="E565" s="68" t="s">
        <v>885</v>
      </c>
      <c r="F565" s="68" t="s">
        <v>610</v>
      </c>
      <c r="G565" s="68" t="s">
        <v>6</v>
      </c>
      <c r="H565" s="68" t="s">
        <v>888</v>
      </c>
      <c r="I565" s="68">
        <f t="shared" si="191"/>
        <v>1584</v>
      </c>
      <c r="J565" s="68" t="s">
        <v>2945</v>
      </c>
      <c r="K565" s="68" t="s">
        <v>2946</v>
      </c>
      <c r="L565" s="70">
        <v>50</v>
      </c>
      <c r="M565" s="71" t="s">
        <v>979</v>
      </c>
      <c r="N565" s="72" t="s">
        <v>814</v>
      </c>
      <c r="O565" s="68">
        <v>4500</v>
      </c>
      <c r="P565" s="69" t="str">
        <f t="shared" si="205"/>
        <v>Duck Spring Roll Medium 50G (Cook) - GFF452R</v>
      </c>
      <c r="Q565" s="72">
        <v>30</v>
      </c>
      <c r="R565" s="72">
        <v>24</v>
      </c>
      <c r="S565" s="72">
        <v>18</v>
      </c>
      <c r="T565" s="72">
        <v>12</v>
      </c>
      <c r="U565" s="72">
        <v>6</v>
      </c>
      <c r="V565" s="72">
        <v>20</v>
      </c>
      <c r="W565" s="72" t="s">
        <v>1435</v>
      </c>
      <c r="X565" s="72" t="s">
        <v>2947</v>
      </c>
      <c r="Y565" s="72">
        <v>1</v>
      </c>
      <c r="Z565" s="80">
        <v>45169</v>
      </c>
    </row>
    <row r="566" spans="1:26" x14ac:dyDescent="0.25">
      <c r="A566" s="68">
        <f t="shared" si="197"/>
        <v>586</v>
      </c>
      <c r="B566" s="69" t="s">
        <v>182</v>
      </c>
      <c r="C566" s="68" t="s">
        <v>2949</v>
      </c>
      <c r="D566" s="68" t="s">
        <v>2951</v>
      </c>
      <c r="E566" s="68" t="s">
        <v>886</v>
      </c>
      <c r="F566" s="68" t="s">
        <v>73</v>
      </c>
      <c r="G566" s="68" t="s">
        <v>6</v>
      </c>
      <c r="H566" s="68" t="s">
        <v>888</v>
      </c>
      <c r="I566" s="68">
        <f t="shared" si="191"/>
        <v>1585</v>
      </c>
      <c r="J566" s="68" t="s">
        <v>2953</v>
      </c>
      <c r="K566" s="68" t="s">
        <v>2951</v>
      </c>
      <c r="L566" s="70"/>
      <c r="M566" s="71" t="s">
        <v>979</v>
      </c>
      <c r="N566" s="72" t="s">
        <v>814</v>
      </c>
      <c r="O566" s="68">
        <v>1</v>
      </c>
      <c r="P566" s="69" t="str">
        <f t="shared" si="205"/>
        <v>Fragrant Rice - GFF448R</v>
      </c>
      <c r="Q566" s="72"/>
      <c r="R566" s="72"/>
      <c r="S566" s="72"/>
      <c r="T566" s="72"/>
      <c r="U566" s="72"/>
      <c r="V566" s="72"/>
      <c r="W566" s="72" t="s">
        <v>1435</v>
      </c>
      <c r="X566" s="72" t="s">
        <v>1482</v>
      </c>
      <c r="Y566" s="72">
        <v>1</v>
      </c>
      <c r="Z566" s="80">
        <v>45176</v>
      </c>
    </row>
    <row r="567" spans="1:26" x14ac:dyDescent="0.25">
      <c r="A567" s="68">
        <f t="shared" si="197"/>
        <v>587</v>
      </c>
      <c r="B567" s="69" t="s">
        <v>182</v>
      </c>
      <c r="C567" s="68" t="s">
        <v>2950</v>
      </c>
      <c r="D567" s="68" t="s">
        <v>2952</v>
      </c>
      <c r="E567" s="68" t="s">
        <v>886</v>
      </c>
      <c r="F567" s="68" t="s">
        <v>73</v>
      </c>
      <c r="G567" s="68" t="s">
        <v>6</v>
      </c>
      <c r="H567" s="68" t="s">
        <v>888</v>
      </c>
      <c r="I567" s="68">
        <f t="shared" si="191"/>
        <v>1586</v>
      </c>
      <c r="J567" s="68" t="s">
        <v>2954</v>
      </c>
      <c r="K567" s="68" t="s">
        <v>2952</v>
      </c>
      <c r="L567" s="70"/>
      <c r="M567" s="71" t="s">
        <v>979</v>
      </c>
      <c r="N567" s="72" t="s">
        <v>814</v>
      </c>
      <c r="O567" s="68">
        <v>1</v>
      </c>
      <c r="P567" s="69" t="str">
        <f t="shared" si="205"/>
        <v>Red Thai Curry Sauce (Cuisine) - GFF449R</v>
      </c>
      <c r="Q567" s="72"/>
      <c r="R567" s="72"/>
      <c r="S567" s="72"/>
      <c r="T567" s="72"/>
      <c r="U567" s="72"/>
      <c r="V567" s="72"/>
      <c r="W567" s="72" t="s">
        <v>1435</v>
      </c>
      <c r="X567" s="72" t="s">
        <v>1502</v>
      </c>
      <c r="Y567" s="72">
        <v>3</v>
      </c>
      <c r="Z567" s="80">
        <v>45176</v>
      </c>
    </row>
    <row r="568" spans="1:26" x14ac:dyDescent="0.25">
      <c r="A568" s="68">
        <f t="shared" si="197"/>
        <v>588</v>
      </c>
      <c r="B568" s="69" t="s">
        <v>182</v>
      </c>
      <c r="C568" s="68" t="s">
        <v>2957</v>
      </c>
      <c r="D568" s="68" t="s">
        <v>2956</v>
      </c>
      <c r="E568" s="68" t="s">
        <v>1628</v>
      </c>
      <c r="F568" s="68" t="s">
        <v>128</v>
      </c>
      <c r="G568" s="68" t="s">
        <v>17</v>
      </c>
      <c r="H568" s="68" t="s">
        <v>888</v>
      </c>
      <c r="I568" s="68">
        <f t="shared" si="191"/>
        <v>1587</v>
      </c>
      <c r="J568" s="68" t="s">
        <v>2958</v>
      </c>
      <c r="K568" s="68" t="s">
        <v>2956</v>
      </c>
      <c r="L568" s="70"/>
      <c r="M568" s="71" t="s">
        <v>979</v>
      </c>
      <c r="N568" s="72" t="s">
        <v>814</v>
      </c>
      <c r="O568" s="68">
        <v>1</v>
      </c>
      <c r="P568" s="69" t="str">
        <f t="shared" ref="P568:P572" si="206">K568&amp;" - "&amp; C568</f>
        <v>20-25mm Steam Cooked Diced Chicken - GFF1587</v>
      </c>
      <c r="Q568" s="72"/>
      <c r="R568" s="72"/>
      <c r="S568" s="72"/>
      <c r="T568" s="72"/>
      <c r="U568" s="72"/>
      <c r="V568" s="72"/>
      <c r="W568" s="72" t="s">
        <v>1435</v>
      </c>
      <c r="X568" s="72" t="s">
        <v>982</v>
      </c>
      <c r="Y568" s="72" t="s">
        <v>982</v>
      </c>
      <c r="Z568" s="80">
        <v>45177</v>
      </c>
    </row>
    <row r="569" spans="1:26" x14ac:dyDescent="0.25">
      <c r="A569" s="68">
        <f t="shared" si="197"/>
        <v>589</v>
      </c>
      <c r="B569" s="69" t="s">
        <v>182</v>
      </c>
      <c r="C569" s="68" t="s">
        <v>2960</v>
      </c>
      <c r="D569" s="68" t="s">
        <v>2961</v>
      </c>
      <c r="E569" s="68" t="s">
        <v>886</v>
      </c>
      <c r="F569" s="68" t="s">
        <v>130</v>
      </c>
      <c r="G569" s="68" t="s">
        <v>6</v>
      </c>
      <c r="H569" s="68" t="s">
        <v>939</v>
      </c>
      <c r="I569" s="68">
        <f t="shared" si="191"/>
        <v>1588</v>
      </c>
      <c r="J569" s="68" t="s">
        <v>2962</v>
      </c>
      <c r="K569" s="68" t="s">
        <v>2961</v>
      </c>
      <c r="L569" s="70"/>
      <c r="M569" s="71" t="s">
        <v>979</v>
      </c>
      <c r="N569" s="72" t="s">
        <v>814</v>
      </c>
      <c r="O569" s="68">
        <v>1</v>
      </c>
      <c r="P569" s="69" t="str">
        <f t="shared" si="206"/>
        <v>Hoisin Dip - GFF453R</v>
      </c>
      <c r="Q569" s="72"/>
      <c r="R569" s="72"/>
      <c r="S569" s="72"/>
      <c r="T569" s="72"/>
      <c r="U569" s="72"/>
      <c r="V569" s="72"/>
      <c r="W569" s="72" t="s">
        <v>1435</v>
      </c>
      <c r="X569" s="72" t="s">
        <v>2882</v>
      </c>
      <c r="Y569" s="72">
        <v>1</v>
      </c>
      <c r="Z569" s="80">
        <v>45184</v>
      </c>
    </row>
    <row r="570" spans="1:26" x14ac:dyDescent="0.25">
      <c r="A570" s="68">
        <f t="shared" si="197"/>
        <v>590</v>
      </c>
      <c r="B570" s="69" t="s">
        <v>182</v>
      </c>
      <c r="C570" s="68" t="s">
        <v>2963</v>
      </c>
      <c r="D570" s="68" t="s">
        <v>2965</v>
      </c>
      <c r="E570" s="68" t="s">
        <v>885</v>
      </c>
      <c r="F570" s="68" t="s">
        <v>4</v>
      </c>
      <c r="G570" s="68" t="s">
        <v>6</v>
      </c>
      <c r="H570" s="68" t="s">
        <v>888</v>
      </c>
      <c r="I570" s="68">
        <f t="shared" si="191"/>
        <v>1589</v>
      </c>
      <c r="J570" s="68" t="s">
        <v>2967</v>
      </c>
      <c r="K570" s="68" t="s">
        <v>2969</v>
      </c>
      <c r="L570" s="70">
        <v>100</v>
      </c>
      <c r="M570" s="71" t="s">
        <v>979</v>
      </c>
      <c r="N570" s="72" t="s">
        <v>814</v>
      </c>
      <c r="O570" s="68">
        <v>3000</v>
      </c>
      <c r="P570" s="69" t="str">
        <f t="shared" si="206"/>
        <v>Peri Peri Chicken Samosa 100G - GFF450R</v>
      </c>
      <c r="Q570" s="72">
        <v>25</v>
      </c>
      <c r="R570" s="72">
        <v>20</v>
      </c>
      <c r="S570" s="72">
        <v>15</v>
      </c>
      <c r="T570" s="72">
        <v>10</v>
      </c>
      <c r="U570" s="72">
        <v>5</v>
      </c>
      <c r="V570" s="72"/>
      <c r="W570" s="72" t="s">
        <v>1435</v>
      </c>
      <c r="X570" s="72" t="s">
        <v>1502</v>
      </c>
      <c r="Y570" s="72">
        <v>3</v>
      </c>
      <c r="Z570" s="80">
        <v>45187</v>
      </c>
    </row>
    <row r="571" spans="1:26" x14ac:dyDescent="0.25">
      <c r="A571" s="68">
        <f t="shared" si="197"/>
        <v>591</v>
      </c>
      <c r="B571" s="69" t="s">
        <v>182</v>
      </c>
      <c r="C571" s="68" t="s">
        <v>2964</v>
      </c>
      <c r="D571" s="68" t="s">
        <v>2966</v>
      </c>
      <c r="E571" s="68" t="s">
        <v>885</v>
      </c>
      <c r="F571" s="68" t="s">
        <v>4</v>
      </c>
      <c r="G571" s="68" t="s">
        <v>6</v>
      </c>
      <c r="H571" s="68" t="s">
        <v>888</v>
      </c>
      <c r="I571" s="68">
        <f t="shared" si="191"/>
        <v>1590</v>
      </c>
      <c r="J571" s="68" t="s">
        <v>2968</v>
      </c>
      <c r="K571" s="68" t="s">
        <v>2970</v>
      </c>
      <c r="L571" s="70">
        <v>100</v>
      </c>
      <c r="M571" s="71" t="s">
        <v>979</v>
      </c>
      <c r="N571" s="72" t="s">
        <v>814</v>
      </c>
      <c r="O571" s="68">
        <v>3000</v>
      </c>
      <c r="P571" s="69" t="str">
        <f t="shared" si="206"/>
        <v>Mexican Chicken Samosa 100G - GFF451R</v>
      </c>
      <c r="Q571" s="72">
        <v>25</v>
      </c>
      <c r="R571" s="72">
        <v>20</v>
      </c>
      <c r="S571" s="72">
        <v>15</v>
      </c>
      <c r="T571" s="72">
        <v>10</v>
      </c>
      <c r="U571" s="72">
        <v>5</v>
      </c>
      <c r="V571" s="72"/>
      <c r="W571" s="72" t="s">
        <v>1435</v>
      </c>
      <c r="X571" s="72" t="s">
        <v>1502</v>
      </c>
      <c r="Y571" s="72">
        <v>3</v>
      </c>
      <c r="Z571" s="80">
        <v>45187</v>
      </c>
    </row>
    <row r="572" spans="1:26" x14ac:dyDescent="0.25">
      <c r="A572" s="68">
        <f t="shared" si="197"/>
        <v>592</v>
      </c>
      <c r="B572" s="69" t="s">
        <v>182</v>
      </c>
      <c r="C572" s="68" t="s">
        <v>2972</v>
      </c>
      <c r="D572" s="68" t="s">
        <v>2987</v>
      </c>
      <c r="E572" s="68" t="s">
        <v>886</v>
      </c>
      <c r="F572" s="68" t="s">
        <v>130</v>
      </c>
      <c r="G572" s="68" t="s">
        <v>6</v>
      </c>
      <c r="H572" s="68" t="s">
        <v>939</v>
      </c>
      <c r="I572" s="68">
        <f t="shared" si="191"/>
        <v>1591</v>
      </c>
      <c r="J572" s="68" t="s">
        <v>3002</v>
      </c>
      <c r="K572" s="68" t="s">
        <v>3003</v>
      </c>
      <c r="L572" s="70">
        <v>1</v>
      </c>
      <c r="M572" s="71" t="s">
        <v>980</v>
      </c>
      <c r="N572" s="72" t="s">
        <v>814</v>
      </c>
      <c r="O572" s="68">
        <v>1</v>
      </c>
      <c r="P572" s="69" t="str">
        <f t="shared" si="206"/>
        <v>Redcurrent Dip - GFF454R</v>
      </c>
      <c r="Q572" s="72"/>
      <c r="R572" s="72"/>
      <c r="S572" s="72"/>
      <c r="T572" s="72"/>
      <c r="U572" s="72"/>
      <c r="V572" s="72"/>
      <c r="W572" s="72" t="s">
        <v>1435</v>
      </c>
      <c r="X572" s="72" t="s">
        <v>982</v>
      </c>
      <c r="Y572" s="72" t="s">
        <v>982</v>
      </c>
      <c r="Z572" s="80">
        <v>45206</v>
      </c>
    </row>
    <row r="573" spans="1:26" x14ac:dyDescent="0.25">
      <c r="A573" s="68">
        <f t="shared" si="197"/>
        <v>593</v>
      </c>
      <c r="B573" s="69" t="s">
        <v>182</v>
      </c>
      <c r="C573" s="68" t="s">
        <v>2973</v>
      </c>
      <c r="D573" s="68" t="s">
        <v>2988</v>
      </c>
      <c r="E573" s="68" t="s">
        <v>885</v>
      </c>
      <c r="F573" s="68" t="s">
        <v>56</v>
      </c>
      <c r="G573" s="68" t="s">
        <v>6</v>
      </c>
      <c r="H573" s="68" t="s">
        <v>939</v>
      </c>
      <c r="I573" s="68">
        <f t="shared" si="191"/>
        <v>1592</v>
      </c>
      <c r="J573" s="68" t="s">
        <v>3005</v>
      </c>
      <c r="K573" s="68" t="s">
        <v>3004</v>
      </c>
      <c r="L573" s="70">
        <v>25</v>
      </c>
      <c r="M573" s="71" t="s">
        <v>980</v>
      </c>
      <c r="N573" s="72" t="s">
        <v>814</v>
      </c>
      <c r="O573" s="68">
        <v>10000</v>
      </c>
      <c r="P573" s="69" t="str">
        <f t="shared" ref="P573:P574" si="207">K573&amp;" - "&amp; C573</f>
        <v>Mexican Bean &amp; Corn Parcel 25G - GFF455R</v>
      </c>
      <c r="Q573" s="72">
        <v>28</v>
      </c>
      <c r="R573" s="72">
        <v>22.4</v>
      </c>
      <c r="S573" s="72">
        <v>16.799999999999997</v>
      </c>
      <c r="T573" s="72">
        <v>11.2</v>
      </c>
      <c r="U573" s="72">
        <v>5.6</v>
      </c>
      <c r="V573" s="72"/>
      <c r="W573" s="72" t="s">
        <v>1435</v>
      </c>
      <c r="X573" s="72" t="s">
        <v>1501</v>
      </c>
      <c r="Y573" s="72">
        <v>3</v>
      </c>
      <c r="Z573" s="80">
        <v>45206</v>
      </c>
    </row>
    <row r="574" spans="1:26" x14ac:dyDescent="0.25">
      <c r="A574" s="68">
        <f t="shared" si="197"/>
        <v>594</v>
      </c>
      <c r="B574" s="69" t="s">
        <v>182</v>
      </c>
      <c r="C574" s="68" t="s">
        <v>2974</v>
      </c>
      <c r="D574" s="68" t="s">
        <v>2989</v>
      </c>
      <c r="E574" s="68" t="s">
        <v>885</v>
      </c>
      <c r="F574" s="68" t="s">
        <v>56</v>
      </c>
      <c r="G574" s="68" t="s">
        <v>6</v>
      </c>
      <c r="H574" s="68" t="s">
        <v>939</v>
      </c>
      <c r="I574" s="68">
        <f t="shared" si="191"/>
        <v>1593</v>
      </c>
      <c r="J574" s="68" t="s">
        <v>3006</v>
      </c>
      <c r="K574" s="68" t="s">
        <v>3023</v>
      </c>
      <c r="L574" s="70">
        <v>25</v>
      </c>
      <c r="M574" s="71" t="s">
        <v>980</v>
      </c>
      <c r="N574" s="72" t="s">
        <v>814</v>
      </c>
      <c r="O574" s="68">
        <v>8500</v>
      </c>
      <c r="P574" s="69" t="str">
        <f t="shared" si="207"/>
        <v>Bombay Potato Samosa 25G - GFF456R</v>
      </c>
      <c r="Q574" s="72">
        <v>28</v>
      </c>
      <c r="R574" s="72">
        <v>22.4</v>
      </c>
      <c r="S574" s="72">
        <v>16.799999999999997</v>
      </c>
      <c r="T574" s="72">
        <v>11.2</v>
      </c>
      <c r="U574" s="72">
        <v>5.6</v>
      </c>
      <c r="V574" s="72"/>
      <c r="W574" s="72" t="s">
        <v>1435</v>
      </c>
      <c r="X574" s="72" t="s">
        <v>1501</v>
      </c>
      <c r="Y574" s="72">
        <v>3</v>
      </c>
      <c r="Z574" s="80">
        <v>45206</v>
      </c>
    </row>
    <row r="575" spans="1:26" x14ac:dyDescent="0.25">
      <c r="A575" s="68">
        <f t="shared" si="197"/>
        <v>595</v>
      </c>
      <c r="B575" s="69" t="s">
        <v>182</v>
      </c>
      <c r="C575" s="68" t="s">
        <v>2975</v>
      </c>
      <c r="D575" s="68" t="s">
        <v>2990</v>
      </c>
      <c r="E575" s="68" t="s">
        <v>1628</v>
      </c>
      <c r="F575" s="68" t="s">
        <v>128</v>
      </c>
      <c r="G575" s="68" t="s">
        <v>6</v>
      </c>
      <c r="H575" s="68" t="s">
        <v>939</v>
      </c>
      <c r="I575" s="68">
        <f t="shared" si="191"/>
        <v>1594</v>
      </c>
      <c r="J575" s="68" t="s">
        <v>3007</v>
      </c>
      <c r="K575" s="68" t="s">
        <v>2990</v>
      </c>
      <c r="L575" s="70">
        <v>1</v>
      </c>
      <c r="M575" s="71" t="s">
        <v>979</v>
      </c>
      <c r="N575" s="72" t="s">
        <v>814</v>
      </c>
      <c r="O575" s="74">
        <v>123</v>
      </c>
      <c r="P575" s="69" t="str">
        <f t="shared" ref="P575:P581" si="208">K575&amp;" - "&amp; C575</f>
        <v>Chicken Tikka Skewers (XMAS) - GFF457R</v>
      </c>
      <c r="Q575" s="72"/>
      <c r="R575" s="72"/>
      <c r="S575" s="72"/>
      <c r="T575" s="72"/>
      <c r="U575" s="72"/>
      <c r="V575" s="72"/>
      <c r="W575" s="72" t="s">
        <v>1435</v>
      </c>
      <c r="X575" s="72" t="s">
        <v>1480</v>
      </c>
      <c r="Y575" s="72">
        <v>2</v>
      </c>
      <c r="Z575" s="80">
        <v>45206</v>
      </c>
    </row>
    <row r="576" spans="1:26" x14ac:dyDescent="0.25">
      <c r="A576" s="68">
        <f t="shared" si="197"/>
        <v>596</v>
      </c>
      <c r="B576" s="69" t="s">
        <v>182</v>
      </c>
      <c r="C576" s="68" t="s">
        <v>2976</v>
      </c>
      <c r="D576" s="68" t="s">
        <v>2991</v>
      </c>
      <c r="E576" s="68" t="s">
        <v>1628</v>
      </c>
      <c r="F576" s="68" t="s">
        <v>128</v>
      </c>
      <c r="G576" s="68" t="s">
        <v>6</v>
      </c>
      <c r="H576" s="68" t="s">
        <v>939</v>
      </c>
      <c r="I576" s="68">
        <f t="shared" si="191"/>
        <v>1595</v>
      </c>
      <c r="J576" s="68" t="s">
        <v>3008</v>
      </c>
      <c r="K576" s="68" t="s">
        <v>2991</v>
      </c>
      <c r="L576" s="70">
        <v>1</v>
      </c>
      <c r="M576" s="71" t="s">
        <v>979</v>
      </c>
      <c r="N576" s="72" t="s">
        <v>814</v>
      </c>
      <c r="O576" s="74">
        <v>128</v>
      </c>
      <c r="P576" s="69" t="str">
        <f t="shared" si="208"/>
        <v>Tandoori Chicken Skewers (XMAS) - GFF458R</v>
      </c>
      <c r="Q576" s="72"/>
      <c r="R576" s="72"/>
      <c r="S576" s="72"/>
      <c r="T576" s="72"/>
      <c r="U576" s="72"/>
      <c r="V576" s="72"/>
      <c r="W576" s="72" t="s">
        <v>1435</v>
      </c>
      <c r="X576" s="72" t="s">
        <v>1480</v>
      </c>
      <c r="Y576" s="72">
        <v>2</v>
      </c>
      <c r="Z576" s="80">
        <v>45206</v>
      </c>
    </row>
    <row r="577" spans="1:26" x14ac:dyDescent="0.25">
      <c r="A577" s="68">
        <f t="shared" si="197"/>
        <v>597</v>
      </c>
      <c r="B577" s="69" t="s">
        <v>182</v>
      </c>
      <c r="C577" s="68" t="s">
        <v>2977</v>
      </c>
      <c r="D577" s="68" t="s">
        <v>2992</v>
      </c>
      <c r="E577" s="68" t="s">
        <v>885</v>
      </c>
      <c r="F577" s="68" t="s">
        <v>1840</v>
      </c>
      <c r="G577" s="68" t="s">
        <v>6</v>
      </c>
      <c r="H577" s="68" t="s">
        <v>939</v>
      </c>
      <c r="I577" s="68">
        <f t="shared" si="191"/>
        <v>1596</v>
      </c>
      <c r="J577" s="68" t="s">
        <v>3009</v>
      </c>
      <c r="K577" s="68" t="s">
        <v>3027</v>
      </c>
      <c r="L577" s="70">
        <v>30</v>
      </c>
      <c r="M577" s="71" t="s">
        <v>980</v>
      </c>
      <c r="N577" s="72" t="s">
        <v>814</v>
      </c>
      <c r="O577" s="68">
        <v>3800</v>
      </c>
      <c r="P577" s="69" t="str">
        <f t="shared" si="208"/>
        <v>Corn Fritters 30G - GFF459R</v>
      </c>
      <c r="Q577" s="72">
        <v>25</v>
      </c>
      <c r="R577" s="72">
        <v>20</v>
      </c>
      <c r="S577" s="72">
        <v>15</v>
      </c>
      <c r="T577" s="72">
        <v>10</v>
      </c>
      <c r="U577" s="72">
        <v>5</v>
      </c>
      <c r="V577" s="72"/>
      <c r="W577" s="72" t="s">
        <v>1435</v>
      </c>
      <c r="X577" s="72" t="s">
        <v>982</v>
      </c>
      <c r="Y577" s="72" t="s">
        <v>982</v>
      </c>
      <c r="Z577" s="80">
        <v>45206</v>
      </c>
    </row>
    <row r="578" spans="1:26" x14ac:dyDescent="0.25">
      <c r="A578" s="68">
        <f t="shared" si="197"/>
        <v>598</v>
      </c>
      <c r="B578" s="69" t="s">
        <v>182</v>
      </c>
      <c r="C578" s="68" t="s">
        <v>2978</v>
      </c>
      <c r="D578" s="68" t="s">
        <v>2993</v>
      </c>
      <c r="E578" s="68" t="s">
        <v>1628</v>
      </c>
      <c r="F578" s="68" t="s">
        <v>128</v>
      </c>
      <c r="G578" s="68" t="s">
        <v>6</v>
      </c>
      <c r="H578" s="68" t="s">
        <v>939</v>
      </c>
      <c r="I578" s="68">
        <f t="shared" si="191"/>
        <v>1597</v>
      </c>
      <c r="J578" s="68" t="s">
        <v>3010</v>
      </c>
      <c r="K578" s="68" t="s">
        <v>2993</v>
      </c>
      <c r="L578" s="70"/>
      <c r="M578" s="71" t="s">
        <v>979</v>
      </c>
      <c r="N578" s="72" t="s">
        <v>814</v>
      </c>
      <c r="O578" s="74">
        <v>120</v>
      </c>
      <c r="P578" s="69" t="str">
        <f t="shared" si="208"/>
        <v>Southern Fried Chicken  - GFF460R</v>
      </c>
      <c r="Q578" s="72"/>
      <c r="R578" s="72"/>
      <c r="S578" s="72"/>
      <c r="T578" s="72"/>
      <c r="U578" s="72"/>
      <c r="V578" s="72"/>
      <c r="W578" s="72" t="s">
        <v>1435</v>
      </c>
      <c r="X578" s="72" t="s">
        <v>982</v>
      </c>
      <c r="Y578" s="72" t="s">
        <v>982</v>
      </c>
      <c r="Z578" s="80">
        <v>45206</v>
      </c>
    </row>
    <row r="579" spans="1:26" x14ac:dyDescent="0.25">
      <c r="A579" s="68">
        <f t="shared" si="197"/>
        <v>599</v>
      </c>
      <c r="B579" s="69" t="s">
        <v>182</v>
      </c>
      <c r="C579" s="68" t="s">
        <v>2979</v>
      </c>
      <c r="D579" s="68" t="s">
        <v>2994</v>
      </c>
      <c r="E579" s="68" t="s">
        <v>1628</v>
      </c>
      <c r="F579" s="68" t="s">
        <v>128</v>
      </c>
      <c r="G579" s="68" t="s">
        <v>6</v>
      </c>
      <c r="H579" s="68" t="s">
        <v>939</v>
      </c>
      <c r="I579" s="68">
        <f t="shared" si="191"/>
        <v>1598</v>
      </c>
      <c r="J579" s="68" t="s">
        <v>3011</v>
      </c>
      <c r="K579" s="68" t="s">
        <v>2994</v>
      </c>
      <c r="L579" s="70"/>
      <c r="M579" s="71" t="s">
        <v>979</v>
      </c>
      <c r="N579" s="72" t="s">
        <v>814</v>
      </c>
      <c r="O579" s="74">
        <v>120</v>
      </c>
      <c r="P579" s="69" t="str">
        <f t="shared" si="208"/>
        <v>Hot &amp; Spicy Chicken Bites  - GFF461R</v>
      </c>
      <c r="Q579" s="72"/>
      <c r="R579" s="72"/>
      <c r="S579" s="72"/>
      <c r="T579" s="72"/>
      <c r="U579" s="72"/>
      <c r="V579" s="72"/>
      <c r="W579" s="72" t="s">
        <v>1435</v>
      </c>
      <c r="X579" s="72" t="s">
        <v>982</v>
      </c>
      <c r="Y579" s="72" t="s">
        <v>982</v>
      </c>
      <c r="Z579" s="80">
        <v>45206</v>
      </c>
    </row>
    <row r="580" spans="1:26" x14ac:dyDescent="0.25">
      <c r="A580" s="68">
        <f t="shared" si="197"/>
        <v>600</v>
      </c>
      <c r="B580" s="69" t="s">
        <v>182</v>
      </c>
      <c r="C580" s="68" t="s">
        <v>2980</v>
      </c>
      <c r="D580" s="68" t="s">
        <v>2995</v>
      </c>
      <c r="E580" s="68" t="s">
        <v>1628</v>
      </c>
      <c r="F580" s="68" t="s">
        <v>128</v>
      </c>
      <c r="G580" s="68" t="s">
        <v>6</v>
      </c>
      <c r="H580" s="68" t="s">
        <v>939</v>
      </c>
      <c r="I580" s="68">
        <f t="shared" si="191"/>
        <v>1599</v>
      </c>
      <c r="J580" s="68" t="s">
        <v>3012</v>
      </c>
      <c r="K580" s="68" t="s">
        <v>2995</v>
      </c>
      <c r="L580" s="70"/>
      <c r="M580" s="71" t="s">
        <v>979</v>
      </c>
      <c r="N580" s="72" t="s">
        <v>814</v>
      </c>
      <c r="O580" s="74">
        <v>92</v>
      </c>
      <c r="P580" s="69" t="str">
        <f t="shared" si="208"/>
        <v>GF Katsu Chicken Bites  - GFF462R</v>
      </c>
      <c r="Q580" s="72"/>
      <c r="R580" s="72"/>
      <c r="S580" s="72"/>
      <c r="T580" s="72"/>
      <c r="U580" s="72"/>
      <c r="V580" s="72"/>
      <c r="W580" s="72" t="s">
        <v>1435</v>
      </c>
      <c r="X580" s="72" t="s">
        <v>3020</v>
      </c>
      <c r="Y580" s="72">
        <v>2</v>
      </c>
      <c r="Z580" s="80">
        <v>45206</v>
      </c>
    </row>
    <row r="581" spans="1:26" x14ac:dyDescent="0.25">
      <c r="A581" s="68">
        <f t="shared" si="197"/>
        <v>601</v>
      </c>
      <c r="B581" s="69" t="s">
        <v>182</v>
      </c>
      <c r="C581" s="68" t="s">
        <v>2981</v>
      </c>
      <c r="D581" s="68" t="s">
        <v>2996</v>
      </c>
      <c r="E581" s="68" t="s">
        <v>1628</v>
      </c>
      <c r="F581" s="68" t="s">
        <v>128</v>
      </c>
      <c r="G581" s="68" t="s">
        <v>6</v>
      </c>
      <c r="H581" s="68" t="s">
        <v>939</v>
      </c>
      <c r="I581" s="68">
        <f t="shared" si="191"/>
        <v>1600</v>
      </c>
      <c r="J581" s="68" t="s">
        <v>3013</v>
      </c>
      <c r="K581" s="68" t="s">
        <v>2996</v>
      </c>
      <c r="L581" s="70"/>
      <c r="M581" s="71" t="s">
        <v>979</v>
      </c>
      <c r="N581" s="72" t="s">
        <v>814</v>
      </c>
      <c r="O581" s="74">
        <v>100</v>
      </c>
      <c r="P581" s="69" t="str">
        <f t="shared" si="208"/>
        <v>GF Salt &amp; Pepper Chicken Bites - GFF463R</v>
      </c>
      <c r="Q581" s="72"/>
      <c r="R581" s="72"/>
      <c r="S581" s="72"/>
      <c r="T581" s="72"/>
      <c r="U581" s="72"/>
      <c r="V581" s="72"/>
      <c r="W581" s="72" t="s">
        <v>1435</v>
      </c>
      <c r="X581" s="72" t="s">
        <v>3021</v>
      </c>
      <c r="Y581" s="72">
        <v>3</v>
      </c>
      <c r="Z581" s="80">
        <v>45206</v>
      </c>
    </row>
    <row r="582" spans="1:26" x14ac:dyDescent="0.25">
      <c r="A582" s="68">
        <f t="shared" si="197"/>
        <v>602</v>
      </c>
      <c r="B582" s="69" t="s">
        <v>182</v>
      </c>
      <c r="C582" s="68" t="s">
        <v>2982</v>
      </c>
      <c r="D582" s="68" t="s">
        <v>2997</v>
      </c>
      <c r="E582" s="68" t="s">
        <v>886</v>
      </c>
      <c r="F582" s="68" t="s">
        <v>84</v>
      </c>
      <c r="G582" s="68" t="s">
        <v>6</v>
      </c>
      <c r="H582" s="68" t="s">
        <v>888</v>
      </c>
      <c r="I582" s="68">
        <f t="shared" si="191"/>
        <v>1601</v>
      </c>
      <c r="J582" s="68" t="s">
        <v>3014</v>
      </c>
      <c r="K582" s="68" t="s">
        <v>2997</v>
      </c>
      <c r="L582" s="70"/>
      <c r="M582" s="71" t="s">
        <v>979</v>
      </c>
      <c r="N582" s="72" t="s">
        <v>814</v>
      </c>
      <c r="O582" s="68">
        <v>1</v>
      </c>
      <c r="P582" s="69" t="str">
        <f t="shared" ref="P582:P589" si="209">K582&amp;" - "&amp; C582</f>
        <v>Chicken Fajita Mix  - GFF446R</v>
      </c>
      <c r="Q582" s="72"/>
      <c r="R582" s="72"/>
      <c r="S582" s="72"/>
      <c r="T582" s="72"/>
      <c r="U582" s="72"/>
      <c r="V582" s="72"/>
      <c r="W582" s="72" t="s">
        <v>1435</v>
      </c>
      <c r="X582" s="72" t="s">
        <v>982</v>
      </c>
      <c r="Y582" s="72" t="s">
        <v>982</v>
      </c>
      <c r="Z582" s="80">
        <v>45206</v>
      </c>
    </row>
    <row r="583" spans="1:26" x14ac:dyDescent="0.25">
      <c r="A583" s="68">
        <f t="shared" si="197"/>
        <v>603</v>
      </c>
      <c r="B583" s="69" t="s">
        <v>182</v>
      </c>
      <c r="C583" s="68" t="s">
        <v>2983</v>
      </c>
      <c r="D583" s="68" t="s">
        <v>2998</v>
      </c>
      <c r="E583" s="68" t="s">
        <v>886</v>
      </c>
      <c r="F583" s="68" t="s">
        <v>84</v>
      </c>
      <c r="G583" s="68" t="s">
        <v>6</v>
      </c>
      <c r="H583" s="68" t="s">
        <v>888</v>
      </c>
      <c r="I583" s="68">
        <f t="shared" si="191"/>
        <v>1602</v>
      </c>
      <c r="J583" s="68" t="s">
        <v>3015</v>
      </c>
      <c r="K583" s="68" t="s">
        <v>2998</v>
      </c>
      <c r="L583" s="70"/>
      <c r="M583" s="71" t="s">
        <v>980</v>
      </c>
      <c r="N583" s="72" t="s">
        <v>814</v>
      </c>
      <c r="O583" s="68">
        <v>1</v>
      </c>
      <c r="P583" s="69" t="str">
        <f t="shared" si="209"/>
        <v>Chipotle Sauce (Booths) - GFF444R</v>
      </c>
      <c r="Q583" s="72"/>
      <c r="R583" s="72"/>
      <c r="S583" s="72"/>
      <c r="T583" s="72"/>
      <c r="U583" s="72"/>
      <c r="V583" s="72"/>
      <c r="W583" s="72" t="s">
        <v>1435</v>
      </c>
      <c r="X583" s="72" t="s">
        <v>1502</v>
      </c>
      <c r="Y583" s="72">
        <v>3</v>
      </c>
      <c r="Z583" s="80">
        <v>45206</v>
      </c>
    </row>
    <row r="584" spans="1:26" x14ac:dyDescent="0.25">
      <c r="A584" s="68">
        <f t="shared" si="197"/>
        <v>604</v>
      </c>
      <c r="B584" s="69" t="s">
        <v>182</v>
      </c>
      <c r="C584" s="68" t="s">
        <v>2984</v>
      </c>
      <c r="D584" s="68" t="s">
        <v>2999</v>
      </c>
      <c r="E584" s="68" t="s">
        <v>886</v>
      </c>
      <c r="F584" s="68" t="s">
        <v>56</v>
      </c>
      <c r="G584" s="68" t="s">
        <v>6</v>
      </c>
      <c r="H584" s="68" t="s">
        <v>888</v>
      </c>
      <c r="I584" s="68">
        <f t="shared" si="191"/>
        <v>1603</v>
      </c>
      <c r="J584" s="68" t="s">
        <v>3016</v>
      </c>
      <c r="K584" s="68" t="s">
        <v>2999</v>
      </c>
      <c r="L584" s="70"/>
      <c r="M584" s="71" t="s">
        <v>979</v>
      </c>
      <c r="N584" s="72" t="s">
        <v>814</v>
      </c>
      <c r="O584" s="68">
        <v>1</v>
      </c>
      <c r="P584" s="69" t="str">
        <f t="shared" si="209"/>
        <v>Piri Piri Chicken Mix  - GFF447R</v>
      </c>
      <c r="Q584" s="72"/>
      <c r="R584" s="72"/>
      <c r="S584" s="72"/>
      <c r="T584" s="72"/>
      <c r="U584" s="72"/>
      <c r="V584" s="72"/>
      <c r="W584" s="72" t="s">
        <v>1435</v>
      </c>
      <c r="X584" s="72" t="s">
        <v>982</v>
      </c>
      <c r="Y584" s="72" t="s">
        <v>982</v>
      </c>
      <c r="Z584" s="80">
        <v>45206</v>
      </c>
    </row>
    <row r="585" spans="1:26" x14ac:dyDescent="0.25">
      <c r="A585" s="68">
        <f t="shared" si="197"/>
        <v>605</v>
      </c>
      <c r="B585" s="69" t="s">
        <v>1756</v>
      </c>
      <c r="C585" s="68" t="s">
        <v>2985</v>
      </c>
      <c r="D585" s="68" t="s">
        <v>3000</v>
      </c>
      <c r="E585" s="68" t="s">
        <v>885</v>
      </c>
      <c r="F585" s="68" t="s">
        <v>56</v>
      </c>
      <c r="G585" s="68" t="s">
        <v>17</v>
      </c>
      <c r="H585" s="68" t="s">
        <v>939</v>
      </c>
      <c r="I585" s="68">
        <f t="shared" si="191"/>
        <v>1604</v>
      </c>
      <c r="J585" s="68" t="s">
        <v>3017</v>
      </c>
      <c r="K585" s="68" t="s">
        <v>2045</v>
      </c>
      <c r="L585" s="70">
        <v>20</v>
      </c>
      <c r="M585" s="71" t="s">
        <v>980</v>
      </c>
      <c r="N585" s="72" t="s">
        <v>814</v>
      </c>
      <c r="O585" s="68">
        <v>1</v>
      </c>
      <c r="P585" s="69" t="str">
        <f t="shared" si="209"/>
        <v>Camembert Bites 20G - SAL001-06</v>
      </c>
      <c r="Q585" s="72"/>
      <c r="R585" s="72"/>
      <c r="S585" s="72"/>
      <c r="T585" s="72"/>
      <c r="U585" s="72"/>
      <c r="V585" s="72"/>
      <c r="W585" s="72" t="s">
        <v>1435</v>
      </c>
      <c r="X585" s="72" t="s">
        <v>1500</v>
      </c>
      <c r="Y585" s="72">
        <v>2</v>
      </c>
      <c r="Z585" s="80">
        <v>45206</v>
      </c>
    </row>
    <row r="586" spans="1:26" x14ac:dyDescent="0.25">
      <c r="A586" s="68">
        <f t="shared" si="197"/>
        <v>606</v>
      </c>
      <c r="B586" s="69" t="s">
        <v>1763</v>
      </c>
      <c r="C586" s="68" t="s">
        <v>2986</v>
      </c>
      <c r="D586" s="68" t="s">
        <v>3001</v>
      </c>
      <c r="E586" s="68" t="s">
        <v>885</v>
      </c>
      <c r="F586" s="68" t="s">
        <v>3286</v>
      </c>
      <c r="G586" s="68" t="s">
        <v>17</v>
      </c>
      <c r="H586" s="68" t="s">
        <v>888</v>
      </c>
      <c r="I586" s="68">
        <f t="shared" si="191"/>
        <v>1605</v>
      </c>
      <c r="J586" s="68" t="s">
        <v>2986</v>
      </c>
      <c r="K586" s="68" t="s">
        <v>3019</v>
      </c>
      <c r="L586" s="70">
        <v>200</v>
      </c>
      <c r="M586" s="71" t="s">
        <v>980</v>
      </c>
      <c r="N586" s="72" t="s">
        <v>814</v>
      </c>
      <c r="O586" s="68">
        <v>1</v>
      </c>
      <c r="P586" s="69" t="str">
        <f t="shared" si="209"/>
        <v>2 Breaded Camembert with Cranberry &amp; Port Dip (Ready Packed) - ABE001-05</v>
      </c>
      <c r="Q586" s="72"/>
      <c r="R586" s="72"/>
      <c r="S586" s="72"/>
      <c r="T586" s="72"/>
      <c r="U586" s="72"/>
      <c r="V586" s="72"/>
      <c r="W586" s="72" t="s">
        <v>1435</v>
      </c>
      <c r="X586" s="72" t="s">
        <v>1730</v>
      </c>
      <c r="Y586" s="72">
        <v>2</v>
      </c>
      <c r="Z586" s="80">
        <v>45206</v>
      </c>
    </row>
    <row r="587" spans="1:26" x14ac:dyDescent="0.25">
      <c r="A587" s="68">
        <f t="shared" si="197"/>
        <v>607</v>
      </c>
      <c r="B587" s="69" t="s">
        <v>182</v>
      </c>
      <c r="C587" s="68" t="s">
        <v>3024</v>
      </c>
      <c r="D587" s="68" t="s">
        <v>3025</v>
      </c>
      <c r="E587" s="68" t="s">
        <v>886</v>
      </c>
      <c r="F587" s="68" t="s">
        <v>84</v>
      </c>
      <c r="G587" s="68" t="s">
        <v>6</v>
      </c>
      <c r="H587" s="68" t="s">
        <v>888</v>
      </c>
      <c r="I587" s="68">
        <f t="shared" si="191"/>
        <v>1606</v>
      </c>
      <c r="J587" s="68" t="s">
        <v>3026</v>
      </c>
      <c r="K587" s="68" t="s">
        <v>3025</v>
      </c>
      <c r="L587" s="70"/>
      <c r="M587" s="71" t="s">
        <v>980</v>
      </c>
      <c r="N587" s="72" t="s">
        <v>814</v>
      </c>
      <c r="O587" s="68">
        <v>1</v>
      </c>
      <c r="P587" s="69" t="str">
        <f t="shared" si="209"/>
        <v>Tomato &amp; Pepper Rice  - GFF445R</v>
      </c>
      <c r="Q587" s="72"/>
      <c r="R587" s="72"/>
      <c r="S587" s="72"/>
      <c r="T587" s="72"/>
      <c r="U587" s="72"/>
      <c r="V587" s="72"/>
      <c r="W587" s="72" t="s">
        <v>1435</v>
      </c>
      <c r="X587" s="72" t="s">
        <v>982</v>
      </c>
      <c r="Y587" s="72" t="s">
        <v>982</v>
      </c>
      <c r="Z587" s="80">
        <v>45208</v>
      </c>
    </row>
    <row r="588" spans="1:26" x14ac:dyDescent="0.25">
      <c r="A588" s="68">
        <f t="shared" si="197"/>
        <v>608</v>
      </c>
      <c r="B588" s="69" t="s">
        <v>3028</v>
      </c>
      <c r="C588" s="68" t="s">
        <v>3035</v>
      </c>
      <c r="D588" s="68" t="s">
        <v>3029</v>
      </c>
      <c r="E588" s="68" t="s">
        <v>885</v>
      </c>
      <c r="F588" s="68" t="s">
        <v>56</v>
      </c>
      <c r="G588" s="68" t="s">
        <v>17</v>
      </c>
      <c r="H588" s="68" t="s">
        <v>888</v>
      </c>
      <c r="I588" s="68">
        <f t="shared" si="191"/>
        <v>1607</v>
      </c>
      <c r="J588" s="68" t="s">
        <v>3030</v>
      </c>
      <c r="K588" s="68" t="s">
        <v>3029</v>
      </c>
      <c r="L588" s="70"/>
      <c r="M588" s="71" t="s">
        <v>980</v>
      </c>
      <c r="N588" s="72" t="s">
        <v>814</v>
      </c>
      <c r="O588" s="68">
        <v>1</v>
      </c>
      <c r="P588" s="69" t="str">
        <f t="shared" si="209"/>
        <v>Ambient 16.5cm (6.5") Flour Tortillas (CAT B) - MXF001-01</v>
      </c>
      <c r="Q588" s="72"/>
      <c r="R588" s="72"/>
      <c r="S588" s="72"/>
      <c r="T588" s="72"/>
      <c r="U588" s="72"/>
      <c r="V588" s="72"/>
      <c r="W588" s="72" t="s">
        <v>1435</v>
      </c>
      <c r="X588" s="72" t="s">
        <v>1501</v>
      </c>
      <c r="Y588" s="72">
        <v>3</v>
      </c>
      <c r="Z588" s="80">
        <v>45208</v>
      </c>
    </row>
    <row r="589" spans="1:26" x14ac:dyDescent="0.25">
      <c r="A589" s="68">
        <f t="shared" si="197"/>
        <v>609</v>
      </c>
      <c r="B589" s="69" t="s">
        <v>3031</v>
      </c>
      <c r="C589" s="68" t="s">
        <v>3032</v>
      </c>
      <c r="D589" s="68" t="s">
        <v>3033</v>
      </c>
      <c r="E589" s="68" t="s">
        <v>130</v>
      </c>
      <c r="F589" s="68" t="s">
        <v>56</v>
      </c>
      <c r="G589" s="68" t="s">
        <v>17</v>
      </c>
      <c r="H589" s="68" t="s">
        <v>888</v>
      </c>
      <c r="I589" s="68">
        <f t="shared" si="191"/>
        <v>1608</v>
      </c>
      <c r="J589" s="68" t="s">
        <v>3034</v>
      </c>
      <c r="K589" s="68" t="s">
        <v>3033</v>
      </c>
      <c r="L589" s="70">
        <v>1</v>
      </c>
      <c r="M589" s="71" t="s">
        <v>980</v>
      </c>
      <c r="N589" s="72" t="s">
        <v>814</v>
      </c>
      <c r="O589" s="68">
        <v>1</v>
      </c>
      <c r="P589" s="69" t="str">
        <f t="shared" si="209"/>
        <v>Salsa Dip - CAM003-01</v>
      </c>
      <c r="Q589" s="72"/>
      <c r="R589" s="72"/>
      <c r="S589" s="72"/>
      <c r="T589" s="72"/>
      <c r="U589" s="72"/>
      <c r="V589" s="72"/>
      <c r="W589" s="72" t="s">
        <v>1435</v>
      </c>
      <c r="X589" s="72" t="s">
        <v>982</v>
      </c>
      <c r="Y589" s="72" t="s">
        <v>982</v>
      </c>
      <c r="Z589" s="80">
        <v>45208</v>
      </c>
    </row>
    <row r="590" spans="1:26" x14ac:dyDescent="0.25">
      <c r="A590" s="68">
        <f t="shared" si="197"/>
        <v>610</v>
      </c>
      <c r="B590" s="69" t="s">
        <v>182</v>
      </c>
      <c r="C590" s="68" t="s">
        <v>3037</v>
      </c>
      <c r="D590" s="68" t="s">
        <v>3038</v>
      </c>
      <c r="E590" s="68" t="s">
        <v>886</v>
      </c>
      <c r="F590" s="68" t="s">
        <v>2527</v>
      </c>
      <c r="G590" s="68" t="s">
        <v>6</v>
      </c>
      <c r="H590" s="68" t="s">
        <v>888</v>
      </c>
      <c r="I590" s="68">
        <f t="shared" si="191"/>
        <v>1609</v>
      </c>
      <c r="J590" s="68" t="s">
        <v>3051</v>
      </c>
      <c r="K590" s="68" t="s">
        <v>3038</v>
      </c>
      <c r="L590" s="70">
        <v>1</v>
      </c>
      <c r="M590" s="71" t="s">
        <v>980</v>
      </c>
      <c r="N590" s="72" t="s">
        <v>814</v>
      </c>
      <c r="O590" s="68">
        <v>1</v>
      </c>
      <c r="P590" s="69" t="str">
        <f t="shared" ref="P590" si="210">K590&amp;" - "&amp; C590</f>
        <v>Chilli Garlic Sauce  - GFF464R</v>
      </c>
      <c r="Q590" s="72"/>
      <c r="R590" s="72"/>
      <c r="S590" s="72"/>
      <c r="T590" s="72"/>
      <c r="U590" s="72"/>
      <c r="V590" s="72"/>
      <c r="W590" s="72" t="s">
        <v>1435</v>
      </c>
      <c r="X590" s="72" t="s">
        <v>1703</v>
      </c>
      <c r="Y590" s="72">
        <v>1</v>
      </c>
      <c r="Z590" s="80">
        <v>45273</v>
      </c>
    </row>
    <row r="591" spans="1:26" x14ac:dyDescent="0.25">
      <c r="A591" s="68">
        <f t="shared" si="197"/>
        <v>611</v>
      </c>
      <c r="B591" s="69" t="s">
        <v>182</v>
      </c>
      <c r="C591" s="68" t="s">
        <v>3039</v>
      </c>
      <c r="D591" s="68" t="s">
        <v>3040</v>
      </c>
      <c r="E591" s="68" t="s">
        <v>886</v>
      </c>
      <c r="F591" s="68" t="s">
        <v>2527</v>
      </c>
      <c r="G591" s="68" t="s">
        <v>6</v>
      </c>
      <c r="H591" s="68" t="s">
        <v>888</v>
      </c>
      <c r="I591" s="68">
        <f t="shared" si="191"/>
        <v>1610</v>
      </c>
      <c r="J591" s="68" t="s">
        <v>3052</v>
      </c>
      <c r="K591" s="68" t="s">
        <v>3040</v>
      </c>
      <c r="L591" s="70">
        <v>1</v>
      </c>
      <c r="M591" s="71" t="s">
        <v>980</v>
      </c>
      <c r="N591" s="72" t="s">
        <v>814</v>
      </c>
      <c r="O591" s="68">
        <v>1</v>
      </c>
      <c r="P591" s="69" t="str">
        <f t="shared" ref="P591:P596" si="211">K591&amp;" - "&amp; C591</f>
        <v>Teriyaki Sauce  - GFF465R</v>
      </c>
      <c r="Q591" s="72"/>
      <c r="R591" s="72"/>
      <c r="S591" s="72"/>
      <c r="T591" s="72"/>
      <c r="U591" s="72"/>
      <c r="V591" s="72"/>
      <c r="W591" s="72" t="s">
        <v>1435</v>
      </c>
      <c r="X591" s="72" t="s">
        <v>1703</v>
      </c>
      <c r="Y591" s="72">
        <v>1</v>
      </c>
      <c r="Z591" s="80">
        <v>45273</v>
      </c>
    </row>
    <row r="592" spans="1:26" x14ac:dyDescent="0.25">
      <c r="A592" s="68">
        <f t="shared" si="197"/>
        <v>612</v>
      </c>
      <c r="B592" s="69" t="s">
        <v>182</v>
      </c>
      <c r="C592" s="68" t="s">
        <v>3041</v>
      </c>
      <c r="D592" s="68" t="s">
        <v>3042</v>
      </c>
      <c r="E592" s="68" t="s">
        <v>886</v>
      </c>
      <c r="F592" s="68" t="s">
        <v>56</v>
      </c>
      <c r="G592" s="68" t="s">
        <v>6</v>
      </c>
      <c r="H592" s="68" t="s">
        <v>888</v>
      </c>
      <c r="I592" s="68">
        <f t="shared" si="191"/>
        <v>1611</v>
      </c>
      <c r="J592" s="68" t="s">
        <v>3053</v>
      </c>
      <c r="K592" s="68" t="s">
        <v>3042</v>
      </c>
      <c r="L592" s="70">
        <v>1</v>
      </c>
      <c r="M592" s="71" t="s">
        <v>980</v>
      </c>
      <c r="N592" s="72" t="s">
        <v>814</v>
      </c>
      <c r="O592" s="68">
        <v>1</v>
      </c>
      <c r="P592" s="69" t="str">
        <f t="shared" si="211"/>
        <v>Steamed Cauliflower - GFF466R</v>
      </c>
      <c r="Q592" s="72"/>
      <c r="R592" s="72"/>
      <c r="S592" s="72"/>
      <c r="T592" s="72"/>
      <c r="U592" s="72"/>
      <c r="V592" s="72"/>
      <c r="W592" s="72" t="s">
        <v>1435</v>
      </c>
      <c r="X592" s="72" t="s">
        <v>982</v>
      </c>
      <c r="Y592" s="72" t="s">
        <v>982</v>
      </c>
      <c r="Z592" s="80">
        <v>45273</v>
      </c>
    </row>
    <row r="593" spans="1:26" x14ac:dyDescent="0.25">
      <c r="A593" s="68">
        <f t="shared" si="197"/>
        <v>613</v>
      </c>
      <c r="B593" s="69" t="s">
        <v>182</v>
      </c>
      <c r="C593" s="68" t="s">
        <v>3043</v>
      </c>
      <c r="D593" s="68" t="s">
        <v>3044</v>
      </c>
      <c r="E593" s="68" t="s">
        <v>886</v>
      </c>
      <c r="F593" s="68" t="s">
        <v>56</v>
      </c>
      <c r="G593" s="68" t="s">
        <v>6</v>
      </c>
      <c r="H593" s="68" t="s">
        <v>888</v>
      </c>
      <c r="I593" s="68">
        <f t="shared" si="191"/>
        <v>1612</v>
      </c>
      <c r="J593" s="68" t="s">
        <v>3054</v>
      </c>
      <c r="K593" s="68" t="s">
        <v>3044</v>
      </c>
      <c r="L593" s="70">
        <v>1</v>
      </c>
      <c r="M593" s="71" t="s">
        <v>980</v>
      </c>
      <c r="N593" s="72" t="s">
        <v>814</v>
      </c>
      <c r="O593" s="68">
        <v>1</v>
      </c>
      <c r="P593" s="69" t="str">
        <f t="shared" si="211"/>
        <v>Cheese Sauce  - GFF467R</v>
      </c>
      <c r="Q593" s="72"/>
      <c r="R593" s="72"/>
      <c r="S593" s="72"/>
      <c r="T593" s="72"/>
      <c r="U593" s="72"/>
      <c r="V593" s="72"/>
      <c r="W593" s="72" t="s">
        <v>1435</v>
      </c>
      <c r="X593" s="72" t="s">
        <v>1480</v>
      </c>
      <c r="Y593" s="72">
        <v>2</v>
      </c>
      <c r="Z593" s="80">
        <v>45273</v>
      </c>
    </row>
    <row r="594" spans="1:26" x14ac:dyDescent="0.25">
      <c r="A594" s="68">
        <f t="shared" si="197"/>
        <v>614</v>
      </c>
      <c r="B594" s="69" t="s">
        <v>182</v>
      </c>
      <c r="C594" s="68" t="s">
        <v>3045</v>
      </c>
      <c r="D594" s="68" t="s">
        <v>3046</v>
      </c>
      <c r="E594" s="68" t="s">
        <v>886</v>
      </c>
      <c r="F594" s="68" t="s">
        <v>56</v>
      </c>
      <c r="G594" s="68" t="s">
        <v>6</v>
      </c>
      <c r="H594" s="68" t="s">
        <v>888</v>
      </c>
      <c r="I594" s="68">
        <f t="shared" si="191"/>
        <v>1613</v>
      </c>
      <c r="J594" s="68" t="s">
        <v>3055</v>
      </c>
      <c r="K594" s="68" t="s">
        <v>3046</v>
      </c>
      <c r="L594" s="70">
        <v>1</v>
      </c>
      <c r="M594" s="71" t="s">
        <v>980</v>
      </c>
      <c r="N594" s="72" t="s">
        <v>814</v>
      </c>
      <c r="O594" s="68">
        <v>1</v>
      </c>
      <c r="P594" s="69" t="str">
        <f t="shared" si="211"/>
        <v>Steamed Sliced Potato - GFF468R</v>
      </c>
      <c r="Q594" s="72"/>
      <c r="R594" s="72"/>
      <c r="S594" s="72"/>
      <c r="T594" s="72"/>
      <c r="U594" s="72"/>
      <c r="V594" s="72"/>
      <c r="W594" s="72" t="s">
        <v>1435</v>
      </c>
      <c r="X594" s="72" t="s">
        <v>982</v>
      </c>
      <c r="Y594" s="72" t="s">
        <v>982</v>
      </c>
      <c r="Z594" s="80">
        <v>45273</v>
      </c>
    </row>
    <row r="595" spans="1:26" x14ac:dyDescent="0.25">
      <c r="A595" s="68">
        <f t="shared" si="197"/>
        <v>615</v>
      </c>
      <c r="B595" s="69" t="s">
        <v>182</v>
      </c>
      <c r="C595" s="68" t="s">
        <v>3047</v>
      </c>
      <c r="D595" s="68" t="s">
        <v>3048</v>
      </c>
      <c r="E595" s="68" t="s">
        <v>886</v>
      </c>
      <c r="F595" s="68" t="s">
        <v>2527</v>
      </c>
      <c r="G595" s="68" t="s">
        <v>6</v>
      </c>
      <c r="H595" s="68" t="s">
        <v>888</v>
      </c>
      <c r="I595" s="68">
        <f t="shared" si="191"/>
        <v>1614</v>
      </c>
      <c r="J595" s="68" t="s">
        <v>3056</v>
      </c>
      <c r="K595" s="68" t="s">
        <v>3048</v>
      </c>
      <c r="L595" s="70">
        <v>1</v>
      </c>
      <c r="M595" s="71" t="s">
        <v>980</v>
      </c>
      <c r="N595" s="72" t="s">
        <v>814</v>
      </c>
      <c r="O595" s="68">
        <v>1</v>
      </c>
      <c r="P595" s="69" t="str">
        <f t="shared" si="211"/>
        <v>Garlic Bachamel Sauce  - GFF469R</v>
      </c>
      <c r="Q595" s="72"/>
      <c r="R595" s="72"/>
      <c r="S595" s="72"/>
      <c r="T595" s="72"/>
      <c r="U595" s="72"/>
      <c r="V595" s="72"/>
      <c r="W595" s="72" t="s">
        <v>1435</v>
      </c>
      <c r="X595" s="72" t="s">
        <v>1480</v>
      </c>
      <c r="Y595" s="72">
        <v>2</v>
      </c>
      <c r="Z595" s="80">
        <v>45273</v>
      </c>
    </row>
    <row r="596" spans="1:26" x14ac:dyDescent="0.25">
      <c r="A596" s="68">
        <f t="shared" si="197"/>
        <v>616</v>
      </c>
      <c r="B596" s="69" t="s">
        <v>182</v>
      </c>
      <c r="C596" s="68" t="s">
        <v>3049</v>
      </c>
      <c r="D596" s="68" t="s">
        <v>3050</v>
      </c>
      <c r="E596" s="68" t="s">
        <v>886</v>
      </c>
      <c r="F596" s="68" t="s">
        <v>2527</v>
      </c>
      <c r="G596" s="68" t="s">
        <v>6</v>
      </c>
      <c r="H596" s="68" t="s">
        <v>888</v>
      </c>
      <c r="I596" s="68">
        <f t="shared" si="191"/>
        <v>1615</v>
      </c>
      <c r="J596" s="68" t="s">
        <v>3057</v>
      </c>
      <c r="K596" s="68" t="s">
        <v>3050</v>
      </c>
      <c r="L596" s="70">
        <v>1</v>
      </c>
      <c r="M596" s="71" t="s">
        <v>980</v>
      </c>
      <c r="N596" s="72" t="s">
        <v>814</v>
      </c>
      <c r="O596" s="68">
        <v>1</v>
      </c>
      <c r="P596" s="69" t="str">
        <f t="shared" si="211"/>
        <v>Sweet Chilli Sauce(Temp.Control) - GFF470R</v>
      </c>
      <c r="Q596" s="72"/>
      <c r="R596" s="72"/>
      <c r="S596" s="72"/>
      <c r="T596" s="72"/>
      <c r="U596" s="72"/>
      <c r="V596" s="72"/>
      <c r="W596" s="72" t="s">
        <v>1435</v>
      </c>
      <c r="X596" s="72" t="s">
        <v>982</v>
      </c>
      <c r="Y596" s="72" t="s">
        <v>982</v>
      </c>
      <c r="Z596" s="80">
        <v>45273</v>
      </c>
    </row>
    <row r="597" spans="1:26" x14ac:dyDescent="0.25">
      <c r="A597" s="68">
        <f t="shared" si="197"/>
        <v>617</v>
      </c>
      <c r="B597" s="69" t="s">
        <v>182</v>
      </c>
      <c r="C597" s="68" t="s">
        <v>3060</v>
      </c>
      <c r="D597" s="68" t="s">
        <v>3059</v>
      </c>
      <c r="E597" s="68" t="s">
        <v>1628</v>
      </c>
      <c r="F597" s="68" t="s">
        <v>1177</v>
      </c>
      <c r="G597" s="68" t="s">
        <v>17</v>
      </c>
      <c r="H597" s="68" t="s">
        <v>888</v>
      </c>
      <c r="I597" s="68">
        <f t="shared" si="191"/>
        <v>1616</v>
      </c>
      <c r="J597" s="68" t="s">
        <v>3061</v>
      </c>
      <c r="K597" s="68" t="s">
        <v>3059</v>
      </c>
      <c r="L597" s="70">
        <v>1</v>
      </c>
      <c r="M597" s="71" t="s">
        <v>980</v>
      </c>
      <c r="N597" s="72" t="s">
        <v>814</v>
      </c>
      <c r="O597" s="68">
        <v>1</v>
      </c>
      <c r="P597" s="69" t="str">
        <f t="shared" ref="P597" si="212">K597&amp;" - "&amp; C597</f>
        <v>Cooked Chilled 8” No Egg T&amp;P Noodles  - GFF1616</v>
      </c>
      <c r="Q597" s="72"/>
      <c r="R597" s="72"/>
      <c r="S597" s="72"/>
      <c r="T597" s="72"/>
      <c r="U597" s="72"/>
      <c r="V597" s="72"/>
      <c r="W597" s="72" t="s">
        <v>1435</v>
      </c>
      <c r="X597" s="72" t="s">
        <v>982</v>
      </c>
      <c r="Y597" s="72" t="s">
        <v>982</v>
      </c>
      <c r="Z597" s="80">
        <v>45273</v>
      </c>
    </row>
    <row r="598" spans="1:26" x14ac:dyDescent="0.25">
      <c r="A598" s="68">
        <f t="shared" si="197"/>
        <v>618</v>
      </c>
      <c r="B598" s="69" t="s">
        <v>182</v>
      </c>
      <c r="C598" s="68" t="s">
        <v>3067</v>
      </c>
      <c r="D598" s="68" t="s">
        <v>3072</v>
      </c>
      <c r="E598" s="68" t="s">
        <v>886</v>
      </c>
      <c r="F598" s="68" t="s">
        <v>1540</v>
      </c>
      <c r="G598" s="68" t="s">
        <v>6</v>
      </c>
      <c r="H598" s="68" t="s">
        <v>888</v>
      </c>
      <c r="I598" s="68">
        <f t="shared" si="191"/>
        <v>1617</v>
      </c>
      <c r="J598" s="68" t="s">
        <v>3076</v>
      </c>
      <c r="K598" s="68" t="s">
        <v>3081</v>
      </c>
      <c r="L598" s="70">
        <v>1</v>
      </c>
      <c r="M598" s="71" t="s">
        <v>980</v>
      </c>
      <c r="N598" s="72" t="s">
        <v>814</v>
      </c>
      <c r="O598" s="68">
        <v>1</v>
      </c>
      <c r="P598" s="69" t="str">
        <f t="shared" ref="P598" si="213">K598&amp;" - "&amp; C598</f>
        <v>Aromatic Rice - GFF471R</v>
      </c>
      <c r="Q598" s="72"/>
      <c r="R598" s="72"/>
      <c r="S598" s="72"/>
      <c r="T598" s="72"/>
      <c r="U598" s="72"/>
      <c r="V598" s="72"/>
      <c r="W598" s="72" t="s">
        <v>1435</v>
      </c>
      <c r="X598" s="72" t="s">
        <v>982</v>
      </c>
      <c r="Y598" s="72" t="s">
        <v>982</v>
      </c>
      <c r="Z598" s="80">
        <v>45392</v>
      </c>
    </row>
    <row r="599" spans="1:26" x14ac:dyDescent="0.25">
      <c r="A599" s="68">
        <f t="shared" si="197"/>
        <v>619</v>
      </c>
      <c r="B599" s="69" t="s">
        <v>182</v>
      </c>
      <c r="C599" s="68" t="s">
        <v>3068</v>
      </c>
      <c r="D599" s="68" t="s">
        <v>3073</v>
      </c>
      <c r="E599" s="68" t="s">
        <v>886</v>
      </c>
      <c r="F599" s="68" t="s">
        <v>128</v>
      </c>
      <c r="G599" s="68" t="s">
        <v>6</v>
      </c>
      <c r="H599" s="68" t="s">
        <v>888</v>
      </c>
      <c r="I599" s="68">
        <f t="shared" si="191"/>
        <v>1618</v>
      </c>
      <c r="J599" s="68" t="s">
        <v>3077</v>
      </c>
      <c r="K599" s="68" t="s">
        <v>3082</v>
      </c>
      <c r="L599" s="70">
        <v>1</v>
      </c>
      <c r="M599" s="71" t="s">
        <v>979</v>
      </c>
      <c r="N599" s="72" t="s">
        <v>814</v>
      </c>
      <c r="O599" s="68">
        <v>1</v>
      </c>
      <c r="P599" s="69" t="str">
        <f t="shared" ref="P599:P603" si="214">K599&amp;" - "&amp; C599</f>
        <v>Cooked Spicy Chicken - GFF472R</v>
      </c>
      <c r="Q599" s="72"/>
      <c r="R599" s="72"/>
      <c r="S599" s="72"/>
      <c r="T599" s="72"/>
      <c r="U599" s="72"/>
      <c r="V599" s="72"/>
      <c r="W599" s="72" t="s">
        <v>1435</v>
      </c>
      <c r="X599" s="72" t="s">
        <v>1480</v>
      </c>
      <c r="Y599" s="72">
        <v>2</v>
      </c>
      <c r="Z599" s="80">
        <v>45392</v>
      </c>
    </row>
    <row r="600" spans="1:26" x14ac:dyDescent="0.25">
      <c r="A600" s="68">
        <f t="shared" si="197"/>
        <v>620</v>
      </c>
      <c r="B600" s="69" t="s">
        <v>182</v>
      </c>
      <c r="C600" s="68" t="s">
        <v>3069</v>
      </c>
      <c r="D600" s="68" t="s">
        <v>3074</v>
      </c>
      <c r="E600" s="68" t="s">
        <v>886</v>
      </c>
      <c r="F600" s="68" t="s">
        <v>2527</v>
      </c>
      <c r="G600" s="68" t="s">
        <v>6</v>
      </c>
      <c r="H600" s="68" t="s">
        <v>888</v>
      </c>
      <c r="I600" s="68">
        <f t="shared" si="191"/>
        <v>1619</v>
      </c>
      <c r="J600" s="68" t="s">
        <v>3078</v>
      </c>
      <c r="K600" s="68" t="s">
        <v>3074</v>
      </c>
      <c r="L600" s="70">
        <v>1</v>
      </c>
      <c r="M600" s="71" t="s">
        <v>980</v>
      </c>
      <c r="N600" s="72" t="s">
        <v>814</v>
      </c>
      <c r="O600" s="68">
        <v>1</v>
      </c>
      <c r="P600" s="69" t="str">
        <f t="shared" si="214"/>
        <v>Makhani Sauce (MD) - GFF473R</v>
      </c>
      <c r="Q600" s="72"/>
      <c r="R600" s="72"/>
      <c r="S600" s="72"/>
      <c r="T600" s="72"/>
      <c r="U600" s="72"/>
      <c r="V600" s="72"/>
      <c r="W600" s="72" t="s">
        <v>1435</v>
      </c>
      <c r="X600" s="72" t="s">
        <v>1480</v>
      </c>
      <c r="Y600" s="72">
        <v>2</v>
      </c>
      <c r="Z600" s="80">
        <v>45392</v>
      </c>
    </row>
    <row r="601" spans="1:26" x14ac:dyDescent="0.25">
      <c r="A601" s="68">
        <f t="shared" si="197"/>
        <v>621</v>
      </c>
      <c r="B601" s="69" t="s">
        <v>182</v>
      </c>
      <c r="C601" s="68" t="s">
        <v>3070</v>
      </c>
      <c r="D601" s="68" t="s">
        <v>3075</v>
      </c>
      <c r="E601" s="68" t="s">
        <v>886</v>
      </c>
      <c r="F601" s="68" t="s">
        <v>1177</v>
      </c>
      <c r="G601" s="68" t="s">
        <v>6</v>
      </c>
      <c r="H601" s="68" t="s">
        <v>888</v>
      </c>
      <c r="I601" s="68">
        <f t="shared" si="191"/>
        <v>1620</v>
      </c>
      <c r="J601" s="68" t="s">
        <v>3079</v>
      </c>
      <c r="K601" s="68" t="s">
        <v>3075</v>
      </c>
      <c r="L601" s="70">
        <v>1</v>
      </c>
      <c r="M601" s="71" t="s">
        <v>980</v>
      </c>
      <c r="N601" s="72" t="s">
        <v>814</v>
      </c>
      <c r="O601" s="68">
        <v>1</v>
      </c>
      <c r="P601" s="69" t="str">
        <f t="shared" si="214"/>
        <v>Stir Fried Noodles - GFF474R</v>
      </c>
      <c r="Q601" s="72"/>
      <c r="R601" s="72"/>
      <c r="S601" s="72"/>
      <c r="T601" s="72"/>
      <c r="U601" s="72"/>
      <c r="V601" s="72"/>
      <c r="W601" s="72" t="s">
        <v>1435</v>
      </c>
      <c r="X601" s="72" t="s">
        <v>3084</v>
      </c>
      <c r="Y601" s="72">
        <v>2</v>
      </c>
      <c r="Z601" s="80">
        <v>45392</v>
      </c>
    </row>
    <row r="602" spans="1:26" x14ac:dyDescent="0.25">
      <c r="A602" s="68">
        <f t="shared" si="197"/>
        <v>622</v>
      </c>
      <c r="B602" s="69" t="s">
        <v>182</v>
      </c>
      <c r="C602" s="68" t="s">
        <v>3071</v>
      </c>
      <c r="D602" s="68" t="s">
        <v>1228</v>
      </c>
      <c r="E602" s="68" t="s">
        <v>886</v>
      </c>
      <c r="F602" s="68" t="s">
        <v>128</v>
      </c>
      <c r="G602" s="68" t="s">
        <v>6</v>
      </c>
      <c r="H602" s="68" t="s">
        <v>888</v>
      </c>
      <c r="I602" s="68">
        <f t="shared" si="191"/>
        <v>1621</v>
      </c>
      <c r="J602" s="68" t="s">
        <v>3080</v>
      </c>
      <c r="K602" s="68" t="s">
        <v>3083</v>
      </c>
      <c r="L602" s="70">
        <v>1</v>
      </c>
      <c r="M602" s="71" t="s">
        <v>979</v>
      </c>
      <c r="N602" s="72" t="s">
        <v>814</v>
      </c>
      <c r="O602" s="68">
        <v>1</v>
      </c>
      <c r="P602" s="69" t="str">
        <f t="shared" si="214"/>
        <v>Stir Fried Chicken (MD) - GFF475R</v>
      </c>
      <c r="Q602" s="72"/>
      <c r="R602" s="72"/>
      <c r="S602" s="72"/>
      <c r="T602" s="72"/>
      <c r="U602" s="72"/>
      <c r="V602" s="72"/>
      <c r="W602" s="72" t="s">
        <v>1435</v>
      </c>
      <c r="X602" s="72" t="s">
        <v>1502</v>
      </c>
      <c r="Y602" s="72">
        <v>3</v>
      </c>
      <c r="Z602" s="80">
        <v>45392</v>
      </c>
    </row>
    <row r="603" spans="1:26" x14ac:dyDescent="0.25">
      <c r="A603" s="68">
        <f t="shared" si="197"/>
        <v>623</v>
      </c>
      <c r="B603" s="69" t="s">
        <v>182</v>
      </c>
      <c r="C603" s="68" t="s">
        <v>3086</v>
      </c>
      <c r="D603" s="68" t="s">
        <v>3087</v>
      </c>
      <c r="E603" s="68" t="s">
        <v>886</v>
      </c>
      <c r="F603" s="68" t="s">
        <v>1177</v>
      </c>
      <c r="G603" s="68" t="s">
        <v>6</v>
      </c>
      <c r="H603" s="68" t="s">
        <v>888</v>
      </c>
      <c r="I603" s="68">
        <f t="shared" si="191"/>
        <v>1622</v>
      </c>
      <c r="J603" s="68" t="s">
        <v>3088</v>
      </c>
      <c r="K603" s="68" t="s">
        <v>3087</v>
      </c>
      <c r="L603" s="70">
        <v>1</v>
      </c>
      <c r="M603" s="71" t="s">
        <v>980</v>
      </c>
      <c r="N603" s="72" t="s">
        <v>814</v>
      </c>
      <c r="O603" s="68">
        <v>1</v>
      </c>
      <c r="P603" s="69" t="str">
        <f t="shared" si="214"/>
        <v>Steamed Noodles - GFF476R</v>
      </c>
      <c r="Q603" s="72"/>
      <c r="R603" s="72"/>
      <c r="S603" s="72"/>
      <c r="T603" s="72"/>
      <c r="U603" s="72"/>
      <c r="V603" s="72"/>
      <c r="W603" s="72" t="s">
        <v>1435</v>
      </c>
      <c r="X603" s="72" t="s">
        <v>1497</v>
      </c>
      <c r="Y603" s="72">
        <v>2</v>
      </c>
      <c r="Z603" s="80">
        <v>45398</v>
      </c>
    </row>
    <row r="604" spans="1:26" x14ac:dyDescent="0.25">
      <c r="A604" s="68">
        <f t="shared" si="197"/>
        <v>624</v>
      </c>
      <c r="B604" s="69" t="s">
        <v>182</v>
      </c>
      <c r="C604" s="68" t="s">
        <v>3093</v>
      </c>
      <c r="D604" s="68" t="s">
        <v>3091</v>
      </c>
      <c r="E604" s="68" t="s">
        <v>886</v>
      </c>
      <c r="F604" s="68" t="s">
        <v>1610</v>
      </c>
      <c r="G604" s="68" t="s">
        <v>17</v>
      </c>
      <c r="H604" s="68" t="s">
        <v>888</v>
      </c>
      <c r="I604" s="68">
        <f t="shared" si="191"/>
        <v>1623</v>
      </c>
      <c r="J604" s="68" t="s">
        <v>3094</v>
      </c>
      <c r="K604" s="68" t="s">
        <v>3091</v>
      </c>
      <c r="L604" s="70">
        <v>1</v>
      </c>
      <c r="M604" s="71" t="s">
        <v>980</v>
      </c>
      <c r="N604" s="72" t="s">
        <v>814</v>
      </c>
      <c r="O604" s="68">
        <v>1</v>
      </c>
      <c r="P604" s="69" t="str">
        <f t="shared" ref="P604" si="215">K604&amp;" - "&amp; C604</f>
        <v>White Mature Cheddar Grated - GFF1623</v>
      </c>
      <c r="Q604" s="72"/>
      <c r="R604" s="72"/>
      <c r="S604" s="72"/>
      <c r="T604" s="72"/>
      <c r="U604" s="72"/>
      <c r="V604" s="72"/>
      <c r="W604" s="72" t="s">
        <v>1435</v>
      </c>
      <c r="X604" s="72" t="s">
        <v>1480</v>
      </c>
      <c r="Y604" s="72">
        <v>2</v>
      </c>
      <c r="Z604" s="80">
        <v>45427</v>
      </c>
    </row>
    <row r="605" spans="1:26" x14ac:dyDescent="0.25">
      <c r="A605" s="68">
        <f t="shared" si="197"/>
        <v>625</v>
      </c>
      <c r="B605" s="69" t="s">
        <v>182</v>
      </c>
      <c r="C605" s="68" t="s">
        <v>3100</v>
      </c>
      <c r="D605" s="68" t="s">
        <v>3101</v>
      </c>
      <c r="E605" s="68" t="s">
        <v>886</v>
      </c>
      <c r="F605" s="68" t="s">
        <v>56</v>
      </c>
      <c r="G605" s="68" t="s">
        <v>6</v>
      </c>
      <c r="H605" s="68" t="s">
        <v>888</v>
      </c>
      <c r="I605" s="68">
        <f t="shared" si="191"/>
        <v>1624</v>
      </c>
      <c r="J605" s="68" t="s">
        <v>3120</v>
      </c>
      <c r="K605" s="68" t="s">
        <v>3101</v>
      </c>
      <c r="L605" s="70">
        <v>1</v>
      </c>
      <c r="M605" s="71" t="s">
        <v>979</v>
      </c>
      <c r="N605" s="72" t="s">
        <v>814</v>
      </c>
      <c r="O605" s="68">
        <v>1</v>
      </c>
      <c r="P605" s="69" t="str">
        <f t="shared" ref="P605:P610" si="216">K605&amp;" - "&amp; C605</f>
        <v>Shawarma Spice Mix - GFF477R-S</v>
      </c>
      <c r="Q605" s="72"/>
      <c r="R605" s="72"/>
      <c r="S605" s="72"/>
      <c r="T605" s="72"/>
      <c r="U605" s="72"/>
      <c r="V605" s="72"/>
      <c r="W605" s="72" t="s">
        <v>1435</v>
      </c>
      <c r="X605" s="72" t="s">
        <v>982</v>
      </c>
      <c r="Y605" s="72" t="s">
        <v>982</v>
      </c>
      <c r="Z605" s="80">
        <v>45505</v>
      </c>
    </row>
    <row r="606" spans="1:26" x14ac:dyDescent="0.25">
      <c r="A606" s="68">
        <f t="shared" si="197"/>
        <v>626</v>
      </c>
      <c r="B606" s="69" t="s">
        <v>182</v>
      </c>
      <c r="C606" s="68" t="s">
        <v>3102</v>
      </c>
      <c r="D606" s="68" t="s">
        <v>3103</v>
      </c>
      <c r="E606" s="68" t="s">
        <v>886</v>
      </c>
      <c r="F606" s="68" t="s">
        <v>1414</v>
      </c>
      <c r="G606" s="68" t="s">
        <v>6</v>
      </c>
      <c r="H606" s="68" t="s">
        <v>888</v>
      </c>
      <c r="I606" s="68">
        <f t="shared" si="191"/>
        <v>1625</v>
      </c>
      <c r="J606" s="68" t="s">
        <v>3121</v>
      </c>
      <c r="K606" s="68" t="s">
        <v>3103</v>
      </c>
      <c r="L606" s="70">
        <v>1</v>
      </c>
      <c r="M606" s="71" t="s">
        <v>979</v>
      </c>
      <c r="N606" s="72" t="s">
        <v>814</v>
      </c>
      <c r="O606" s="68">
        <v>1</v>
      </c>
      <c r="P606" s="69" t="str">
        <f t="shared" si="216"/>
        <v>Beef Chilli Mix  - GFF478R</v>
      </c>
      <c r="Q606" s="72"/>
      <c r="R606" s="72"/>
      <c r="S606" s="72"/>
      <c r="T606" s="72"/>
      <c r="U606" s="72"/>
      <c r="V606" s="72"/>
      <c r="W606" s="72" t="s">
        <v>1435</v>
      </c>
      <c r="X606" s="72" t="s">
        <v>2693</v>
      </c>
      <c r="Y606" s="72">
        <v>3</v>
      </c>
      <c r="Z606" s="80">
        <v>45505</v>
      </c>
    </row>
    <row r="607" spans="1:26" x14ac:dyDescent="0.25">
      <c r="A607" s="68">
        <f t="shared" si="197"/>
        <v>627</v>
      </c>
      <c r="B607" s="69" t="s">
        <v>182</v>
      </c>
      <c r="C607" s="68" t="s">
        <v>3104</v>
      </c>
      <c r="D607" s="68" t="s">
        <v>3105</v>
      </c>
      <c r="E607" s="68" t="s">
        <v>1628</v>
      </c>
      <c r="F607" s="68" t="s">
        <v>128</v>
      </c>
      <c r="G607" s="68" t="s">
        <v>6</v>
      </c>
      <c r="H607" s="68" t="s">
        <v>888</v>
      </c>
      <c r="I607" s="68">
        <f t="shared" si="191"/>
        <v>1626</v>
      </c>
      <c r="J607" s="68" t="s">
        <v>3124</v>
      </c>
      <c r="K607" s="68" t="s">
        <v>3105</v>
      </c>
      <c r="L607" s="70">
        <v>1</v>
      </c>
      <c r="M607" s="71" t="s">
        <v>979</v>
      </c>
      <c r="N607" s="72" t="s">
        <v>814</v>
      </c>
      <c r="O607" s="74">
        <v>95</v>
      </c>
      <c r="P607" s="69" t="str">
        <f t="shared" si="216"/>
        <v>Chicken Thigh Pakora Bites - GFF479R</v>
      </c>
      <c r="Q607" s="72"/>
      <c r="R607" s="72"/>
      <c r="S607" s="72"/>
      <c r="T607" s="72"/>
      <c r="U607" s="72"/>
      <c r="V607" s="72"/>
      <c r="W607" s="72" t="s">
        <v>1435</v>
      </c>
      <c r="X607" s="72" t="s">
        <v>1481</v>
      </c>
      <c r="Y607" s="72">
        <v>3</v>
      </c>
      <c r="Z607" s="80">
        <v>45505</v>
      </c>
    </row>
    <row r="608" spans="1:26" x14ac:dyDescent="0.25">
      <c r="A608" s="68">
        <f t="shared" si="197"/>
        <v>628</v>
      </c>
      <c r="B608" s="69" t="s">
        <v>182</v>
      </c>
      <c r="C608" s="68" t="s">
        <v>3106</v>
      </c>
      <c r="D608" s="68" t="s">
        <v>3107</v>
      </c>
      <c r="E608" s="68" t="s">
        <v>1628</v>
      </c>
      <c r="F608" s="68" t="s">
        <v>128</v>
      </c>
      <c r="G608" s="68" t="s">
        <v>6</v>
      </c>
      <c r="H608" s="68" t="s">
        <v>888</v>
      </c>
      <c r="I608" s="68">
        <f t="shared" si="191"/>
        <v>1627</v>
      </c>
      <c r="J608" s="68" t="s">
        <v>3125</v>
      </c>
      <c r="K608" s="68" t="s">
        <v>3107</v>
      </c>
      <c r="L608" s="70">
        <v>1</v>
      </c>
      <c r="M608" s="71" t="s">
        <v>979</v>
      </c>
      <c r="N608" s="72" t="s">
        <v>814</v>
      </c>
      <c r="O608" s="74">
        <v>100</v>
      </c>
      <c r="P608" s="69" t="str">
        <f t="shared" si="216"/>
        <v>Chicken Thigh Katsu Bites - GFF480R</v>
      </c>
      <c r="Q608" s="72"/>
      <c r="R608" s="72"/>
      <c r="S608" s="72"/>
      <c r="T608" s="72"/>
      <c r="U608" s="72"/>
      <c r="V608" s="72"/>
      <c r="W608" s="72" t="s">
        <v>1435</v>
      </c>
      <c r="X608" s="72" t="s">
        <v>3130</v>
      </c>
      <c r="Y608" s="72">
        <v>2</v>
      </c>
      <c r="Z608" s="80">
        <v>45505</v>
      </c>
    </row>
    <row r="609" spans="1:26" x14ac:dyDescent="0.25">
      <c r="A609" s="68">
        <f t="shared" si="197"/>
        <v>629</v>
      </c>
      <c r="B609" s="69" t="s">
        <v>182</v>
      </c>
      <c r="C609" s="68" t="s">
        <v>3108</v>
      </c>
      <c r="D609" s="68" t="s">
        <v>3109</v>
      </c>
      <c r="E609" s="68" t="s">
        <v>1628</v>
      </c>
      <c r="F609" s="68" t="s">
        <v>128</v>
      </c>
      <c r="G609" s="68" t="s">
        <v>6</v>
      </c>
      <c r="H609" s="68" t="s">
        <v>888</v>
      </c>
      <c r="I609" s="68">
        <f t="shared" ref="I609:I682" si="217">I608+1</f>
        <v>1628</v>
      </c>
      <c r="J609" s="68" t="s">
        <v>3126</v>
      </c>
      <c r="K609" s="68" t="s">
        <v>3109</v>
      </c>
      <c r="L609" s="70">
        <v>1</v>
      </c>
      <c r="M609" s="71" t="s">
        <v>979</v>
      </c>
      <c r="N609" s="72" t="s">
        <v>814</v>
      </c>
      <c r="O609" s="74">
        <v>100</v>
      </c>
      <c r="P609" s="69" t="str">
        <f t="shared" si="216"/>
        <v>Chicken Thigh Salt &amp; Pepper Bites - GFF481R</v>
      </c>
      <c r="Q609" s="72"/>
      <c r="R609" s="72"/>
      <c r="S609" s="72"/>
      <c r="T609" s="72"/>
      <c r="U609" s="72"/>
      <c r="V609" s="72"/>
      <c r="W609" s="72" t="s">
        <v>1435</v>
      </c>
      <c r="X609" s="72" t="s">
        <v>3131</v>
      </c>
      <c r="Y609" s="72">
        <v>3</v>
      </c>
      <c r="Z609" s="80">
        <v>45505</v>
      </c>
    </row>
    <row r="610" spans="1:26" x14ac:dyDescent="0.25">
      <c r="A610" s="68">
        <f t="shared" si="197"/>
        <v>630</v>
      </c>
      <c r="B610" s="69" t="s">
        <v>182</v>
      </c>
      <c r="C610" s="68" t="s">
        <v>3110</v>
      </c>
      <c r="D610" s="68" t="s">
        <v>3111</v>
      </c>
      <c r="E610" s="68" t="s">
        <v>886</v>
      </c>
      <c r="F610" s="68" t="s">
        <v>128</v>
      </c>
      <c r="G610" s="68" t="s">
        <v>6</v>
      </c>
      <c r="H610" s="68" t="s">
        <v>888</v>
      </c>
      <c r="I610" s="68">
        <f t="shared" si="217"/>
        <v>1629</v>
      </c>
      <c r="J610" s="68" t="s">
        <v>3122</v>
      </c>
      <c r="K610" s="68" t="s">
        <v>3111</v>
      </c>
      <c r="L610" s="70">
        <v>1</v>
      </c>
      <c r="M610" s="71" t="s">
        <v>979</v>
      </c>
      <c r="N610" s="72" t="s">
        <v>814</v>
      </c>
      <c r="O610" s="68">
        <v>1</v>
      </c>
      <c r="P610" s="69" t="str">
        <f t="shared" si="216"/>
        <v>Chicken Tikka Mix  - GFF482R</v>
      </c>
      <c r="Q610" s="72"/>
      <c r="R610" s="72"/>
      <c r="S610" s="72"/>
      <c r="T610" s="72"/>
      <c r="U610" s="72"/>
      <c r="V610" s="72"/>
      <c r="W610" s="72" t="s">
        <v>1435</v>
      </c>
      <c r="X610" s="72" t="s">
        <v>3132</v>
      </c>
      <c r="Y610" s="72">
        <v>2</v>
      </c>
      <c r="Z610" s="80">
        <v>45505</v>
      </c>
    </row>
    <row r="611" spans="1:26" x14ac:dyDescent="0.25">
      <c r="A611" s="68">
        <f t="shared" si="197"/>
        <v>631</v>
      </c>
      <c r="B611" s="69" t="s">
        <v>182</v>
      </c>
      <c r="C611" s="68" t="s">
        <v>3112</v>
      </c>
      <c r="D611" s="68" t="s">
        <v>3113</v>
      </c>
      <c r="E611" s="68" t="s">
        <v>886</v>
      </c>
      <c r="F611" s="68" t="s">
        <v>128</v>
      </c>
      <c r="G611" s="68" t="s">
        <v>6</v>
      </c>
      <c r="H611" s="68" t="s">
        <v>888</v>
      </c>
      <c r="I611" s="68">
        <f t="shared" si="217"/>
        <v>1630</v>
      </c>
      <c r="J611" s="68" t="s">
        <v>3123</v>
      </c>
      <c r="K611" s="68" t="s">
        <v>3113</v>
      </c>
      <c r="L611" s="70">
        <v>1</v>
      </c>
      <c r="M611" s="71" t="s">
        <v>979</v>
      </c>
      <c r="N611" s="72" t="s">
        <v>814</v>
      </c>
      <c r="O611" s="68">
        <v>1</v>
      </c>
      <c r="P611" s="69" t="str">
        <f t="shared" ref="P611:P619" si="218">K611&amp;" - "&amp; C611</f>
        <v>Chicken Shawarma Mix - GFF483R</v>
      </c>
      <c r="Q611" s="72"/>
      <c r="R611" s="72"/>
      <c r="S611" s="72"/>
      <c r="T611" s="72"/>
      <c r="U611" s="72"/>
      <c r="V611" s="72"/>
      <c r="W611" s="72" t="s">
        <v>1435</v>
      </c>
      <c r="X611" s="72" t="s">
        <v>2693</v>
      </c>
      <c r="Y611" s="72">
        <v>3</v>
      </c>
      <c r="Z611" s="80">
        <v>45505</v>
      </c>
    </row>
    <row r="612" spans="1:26" x14ac:dyDescent="0.25">
      <c r="A612" s="68">
        <f t="shared" si="197"/>
        <v>632</v>
      </c>
      <c r="B612" s="69" t="s">
        <v>182</v>
      </c>
      <c r="C612" s="68" t="s">
        <v>3114</v>
      </c>
      <c r="D612" s="68" t="s">
        <v>3115</v>
      </c>
      <c r="E612" s="68" t="s">
        <v>885</v>
      </c>
      <c r="F612" s="68" t="s">
        <v>128</v>
      </c>
      <c r="G612" s="68" t="s">
        <v>6</v>
      </c>
      <c r="H612" s="68" t="s">
        <v>888</v>
      </c>
      <c r="I612" s="68">
        <f t="shared" si="217"/>
        <v>1631</v>
      </c>
      <c r="J612" s="68" t="s">
        <v>3127</v>
      </c>
      <c r="K612" s="68" t="s">
        <v>3134</v>
      </c>
      <c r="L612" s="70">
        <v>170</v>
      </c>
      <c r="M612" s="71" t="s">
        <v>979</v>
      </c>
      <c r="N612" s="72" t="s">
        <v>814</v>
      </c>
      <c r="O612" s="68">
        <v>925</v>
      </c>
      <c r="P612" s="69" t="str">
        <f t="shared" si="218"/>
        <v>Chicken Tikka Wrap 170G - GFF484R</v>
      </c>
      <c r="Q612" s="72"/>
      <c r="R612" s="72"/>
      <c r="S612" s="72"/>
      <c r="T612" s="72"/>
      <c r="U612" s="72"/>
      <c r="V612" s="72"/>
      <c r="W612" s="72" t="s">
        <v>1435</v>
      </c>
      <c r="X612" s="72" t="s">
        <v>3133</v>
      </c>
      <c r="Y612" s="72">
        <v>2</v>
      </c>
      <c r="Z612" s="80">
        <v>45505</v>
      </c>
    </row>
    <row r="613" spans="1:26" x14ac:dyDescent="0.25">
      <c r="A613" s="68">
        <f t="shared" si="197"/>
        <v>633</v>
      </c>
      <c r="B613" s="69" t="s">
        <v>182</v>
      </c>
      <c r="C613" s="68" t="s">
        <v>3116</v>
      </c>
      <c r="D613" s="68" t="s">
        <v>3117</v>
      </c>
      <c r="E613" s="68" t="s">
        <v>885</v>
      </c>
      <c r="F613" s="68" t="s">
        <v>128</v>
      </c>
      <c r="G613" s="68" t="s">
        <v>6</v>
      </c>
      <c r="H613" s="68" t="s">
        <v>888</v>
      </c>
      <c r="I613" s="68">
        <f t="shared" si="217"/>
        <v>1632</v>
      </c>
      <c r="J613" s="68" t="s">
        <v>3128</v>
      </c>
      <c r="K613" s="68" t="s">
        <v>3135</v>
      </c>
      <c r="L613" s="70">
        <v>170</v>
      </c>
      <c r="M613" s="71" t="s">
        <v>979</v>
      </c>
      <c r="N613" s="72" t="s">
        <v>814</v>
      </c>
      <c r="O613" s="68">
        <v>925</v>
      </c>
      <c r="P613" s="69" t="str">
        <f t="shared" si="218"/>
        <v>Chicken Shawarma Wrap  170G - GFF485R</v>
      </c>
      <c r="Q613" s="72"/>
      <c r="R613" s="72"/>
      <c r="S613" s="72"/>
      <c r="T613" s="72"/>
      <c r="U613" s="72"/>
      <c r="V613" s="72"/>
      <c r="W613" s="72" t="s">
        <v>1435</v>
      </c>
      <c r="X613" s="72" t="s">
        <v>2694</v>
      </c>
      <c r="Y613" s="72">
        <v>2</v>
      </c>
      <c r="Z613" s="80">
        <v>45505</v>
      </c>
    </row>
    <row r="614" spans="1:26" x14ac:dyDescent="0.25">
      <c r="A614" s="68">
        <f t="shared" si="197"/>
        <v>634</v>
      </c>
      <c r="B614" s="69" t="s">
        <v>182</v>
      </c>
      <c r="C614" s="68" t="s">
        <v>3118</v>
      </c>
      <c r="D614" s="68" t="s">
        <v>3119</v>
      </c>
      <c r="E614" s="68" t="s">
        <v>885</v>
      </c>
      <c r="F614" s="68" t="s">
        <v>128</v>
      </c>
      <c r="G614" s="68" t="s">
        <v>6</v>
      </c>
      <c r="H614" s="68" t="s">
        <v>888</v>
      </c>
      <c r="I614" s="68">
        <f t="shared" si="217"/>
        <v>1633</v>
      </c>
      <c r="J614" s="68" t="s">
        <v>3129</v>
      </c>
      <c r="K614" s="68" t="s">
        <v>3136</v>
      </c>
      <c r="L614" s="70">
        <v>170</v>
      </c>
      <c r="M614" s="71" t="s">
        <v>979</v>
      </c>
      <c r="N614" s="72" t="s">
        <v>814</v>
      </c>
      <c r="O614" s="68">
        <v>925</v>
      </c>
      <c r="P614" s="69" t="str">
        <f t="shared" si="218"/>
        <v>Beef Burrito 170G - GFF486R</v>
      </c>
      <c r="Q614" s="72"/>
      <c r="R614" s="72"/>
      <c r="S614" s="72"/>
      <c r="T614" s="72"/>
      <c r="U614" s="72"/>
      <c r="V614" s="72"/>
      <c r="W614" s="72" t="s">
        <v>1435</v>
      </c>
      <c r="X614" s="72" t="s">
        <v>2694</v>
      </c>
      <c r="Y614" s="72">
        <v>2</v>
      </c>
      <c r="Z614" s="80">
        <v>45505</v>
      </c>
    </row>
    <row r="615" spans="1:26" x14ac:dyDescent="0.25">
      <c r="A615" s="68">
        <f t="shared" si="197"/>
        <v>635</v>
      </c>
      <c r="B615" s="69" t="s">
        <v>182</v>
      </c>
      <c r="C615" s="68" t="s">
        <v>3137</v>
      </c>
      <c r="D615" s="68" t="s">
        <v>3138</v>
      </c>
      <c r="E615" s="68" t="s">
        <v>886</v>
      </c>
      <c r="F615" s="68" t="s">
        <v>62</v>
      </c>
      <c r="G615" s="68" t="s">
        <v>6</v>
      </c>
      <c r="H615" s="68" t="s">
        <v>888</v>
      </c>
      <c r="I615" s="68">
        <f t="shared" si="217"/>
        <v>1634</v>
      </c>
      <c r="J615" s="68" t="s">
        <v>3150</v>
      </c>
      <c r="K615" s="68" t="s">
        <v>3138</v>
      </c>
      <c r="L615" s="70">
        <v>1</v>
      </c>
      <c r="M615" s="71" t="s">
        <v>980</v>
      </c>
      <c r="N615" s="72" t="s">
        <v>814</v>
      </c>
      <c r="O615" s="68">
        <v>1</v>
      </c>
      <c r="P615" s="69" t="str">
        <f t="shared" si="218"/>
        <v>Chat Patta Bombay Potato  - GFF487R</v>
      </c>
      <c r="Q615" s="72"/>
      <c r="R615" s="72"/>
      <c r="S615" s="72"/>
      <c r="T615" s="72"/>
      <c r="U615" s="72"/>
      <c r="V615" s="72"/>
      <c r="W615" s="72" t="s">
        <v>1435</v>
      </c>
      <c r="X615" s="72" t="s">
        <v>2436</v>
      </c>
      <c r="Y615" s="72">
        <v>2</v>
      </c>
      <c r="Z615" s="80">
        <v>45541</v>
      </c>
    </row>
    <row r="616" spans="1:26" x14ac:dyDescent="0.25">
      <c r="A616" s="68">
        <f t="shared" si="197"/>
        <v>636</v>
      </c>
      <c r="B616" s="69" t="s">
        <v>182</v>
      </c>
      <c r="C616" s="68" t="s">
        <v>3144</v>
      </c>
      <c r="D616" s="68" t="s">
        <v>3139</v>
      </c>
      <c r="E616" s="68" t="s">
        <v>886</v>
      </c>
      <c r="F616" s="68" t="s">
        <v>62</v>
      </c>
      <c r="G616" s="68" t="s">
        <v>6</v>
      </c>
      <c r="H616" s="68" t="s">
        <v>888</v>
      </c>
      <c r="I616" s="68">
        <f t="shared" si="217"/>
        <v>1635</v>
      </c>
      <c r="J616" s="68" t="s">
        <v>3151</v>
      </c>
      <c r="K616" s="68" t="s">
        <v>3139</v>
      </c>
      <c r="L616" s="70">
        <v>1</v>
      </c>
      <c r="M616" s="71" t="s">
        <v>980</v>
      </c>
      <c r="N616" s="72" t="s">
        <v>814</v>
      </c>
      <c r="O616" s="68">
        <v>1</v>
      </c>
      <c r="P616" s="69" t="str">
        <f t="shared" si="218"/>
        <v>Tawa Chunky Veg Curry - GFF488R</v>
      </c>
      <c r="Q616" s="72"/>
      <c r="R616" s="72"/>
      <c r="S616" s="72"/>
      <c r="T616" s="72"/>
      <c r="U616" s="72"/>
      <c r="V616" s="72"/>
      <c r="W616" s="72" t="s">
        <v>1435</v>
      </c>
      <c r="X616" s="72" t="s">
        <v>1481</v>
      </c>
      <c r="Y616" s="72">
        <v>3</v>
      </c>
      <c r="Z616" s="80">
        <v>45541</v>
      </c>
    </row>
    <row r="617" spans="1:26" x14ac:dyDescent="0.25">
      <c r="A617" s="68">
        <f t="shared" ref="A617:A680" si="219">+A616+1</f>
        <v>637</v>
      </c>
      <c r="B617" s="69" t="s">
        <v>182</v>
      </c>
      <c r="C617" s="68" t="s">
        <v>3145</v>
      </c>
      <c r="D617" s="68" t="s">
        <v>3140</v>
      </c>
      <c r="E617" s="68" t="s">
        <v>886</v>
      </c>
      <c r="F617" s="68" t="s">
        <v>62</v>
      </c>
      <c r="G617" s="68" t="s">
        <v>6</v>
      </c>
      <c r="H617" s="68" t="s">
        <v>888</v>
      </c>
      <c r="I617" s="68">
        <f t="shared" si="217"/>
        <v>1636</v>
      </c>
      <c r="J617" s="68" t="s">
        <v>3152</v>
      </c>
      <c r="K617" s="68" t="s">
        <v>3140</v>
      </c>
      <c r="L617" s="70">
        <v>1</v>
      </c>
      <c r="M617" s="71" t="s">
        <v>980</v>
      </c>
      <c r="N617" s="72" t="s">
        <v>814</v>
      </c>
      <c r="O617" s="68">
        <v>1</v>
      </c>
      <c r="P617" s="69" t="str">
        <f t="shared" si="218"/>
        <v>Paneer Jalfrezi  - GFF489R</v>
      </c>
      <c r="Q617" s="72"/>
      <c r="R617" s="72"/>
      <c r="S617" s="72"/>
      <c r="T617" s="72"/>
      <c r="U617" s="72"/>
      <c r="V617" s="72"/>
      <c r="W617" s="72" t="s">
        <v>1435</v>
      </c>
      <c r="X617" s="72" t="s">
        <v>1801</v>
      </c>
      <c r="Y617" s="72">
        <v>2</v>
      </c>
      <c r="Z617" s="80">
        <v>45541</v>
      </c>
    </row>
    <row r="618" spans="1:26" x14ac:dyDescent="0.25">
      <c r="A618" s="68">
        <f t="shared" si="219"/>
        <v>638</v>
      </c>
      <c r="B618" s="69" t="s">
        <v>182</v>
      </c>
      <c r="C618" s="68" t="s">
        <v>3146</v>
      </c>
      <c r="D618" s="68" t="s">
        <v>3141</v>
      </c>
      <c r="E618" s="68" t="s">
        <v>886</v>
      </c>
      <c r="F618" s="68" t="s">
        <v>62</v>
      </c>
      <c r="G618" s="68" t="s">
        <v>6</v>
      </c>
      <c r="H618" s="68" t="s">
        <v>888</v>
      </c>
      <c r="I618" s="68">
        <f t="shared" si="217"/>
        <v>1637</v>
      </c>
      <c r="J618" s="68" t="s">
        <v>3153</v>
      </c>
      <c r="K618" s="68" t="s">
        <v>3141</v>
      </c>
      <c r="L618" s="70">
        <v>1</v>
      </c>
      <c r="M618" s="71" t="s">
        <v>980</v>
      </c>
      <c r="N618" s="72" t="s">
        <v>814</v>
      </c>
      <c r="O618" s="68">
        <v>1</v>
      </c>
      <c r="P618" s="69" t="str">
        <f t="shared" si="218"/>
        <v>Hot Tikka Masala Sauce - GFF490R</v>
      </c>
      <c r="Q618" s="72"/>
      <c r="R618" s="72"/>
      <c r="S618" s="72"/>
      <c r="T618" s="72"/>
      <c r="U618" s="72"/>
      <c r="V618" s="72"/>
      <c r="W618" s="72" t="s">
        <v>1435</v>
      </c>
      <c r="X618" s="72" t="s">
        <v>1801</v>
      </c>
      <c r="Y618" s="72">
        <v>2</v>
      </c>
      <c r="Z618" s="80">
        <v>45541</v>
      </c>
    </row>
    <row r="619" spans="1:26" x14ac:dyDescent="0.25">
      <c r="A619" s="68">
        <f t="shared" si="219"/>
        <v>639</v>
      </c>
      <c r="B619" s="69" t="s">
        <v>182</v>
      </c>
      <c r="C619" s="68" t="s">
        <v>3147</v>
      </c>
      <c r="D619" s="68" t="s">
        <v>3142</v>
      </c>
      <c r="E619" s="68" t="s">
        <v>886</v>
      </c>
      <c r="F619" s="68" t="s">
        <v>62</v>
      </c>
      <c r="G619" s="68" t="s">
        <v>6</v>
      </c>
      <c r="H619" s="68" t="s">
        <v>888</v>
      </c>
      <c r="I619" s="68">
        <f t="shared" si="217"/>
        <v>1638</v>
      </c>
      <c r="J619" s="68" t="s">
        <v>3154</v>
      </c>
      <c r="K619" s="68" t="s">
        <v>3142</v>
      </c>
      <c r="L619" s="70">
        <v>1</v>
      </c>
      <c r="M619" s="71" t="s">
        <v>980</v>
      </c>
      <c r="N619" s="72" t="s">
        <v>814</v>
      </c>
      <c r="O619" s="68">
        <v>1</v>
      </c>
      <c r="P619" s="69" t="str">
        <f t="shared" si="218"/>
        <v>Palak Gravy - GFF491R</v>
      </c>
      <c r="Q619" s="72"/>
      <c r="R619" s="72"/>
      <c r="S619" s="72"/>
      <c r="T619" s="72"/>
      <c r="U619" s="72"/>
      <c r="V619" s="72"/>
      <c r="W619" s="72" t="s">
        <v>1435</v>
      </c>
      <c r="X619" s="72" t="s">
        <v>1801</v>
      </c>
      <c r="Y619" s="72">
        <v>2</v>
      </c>
      <c r="Z619" s="80">
        <v>45541</v>
      </c>
    </row>
    <row r="620" spans="1:26" x14ac:dyDescent="0.25">
      <c r="A620" s="68">
        <f t="shared" si="219"/>
        <v>640</v>
      </c>
      <c r="B620" s="69" t="s">
        <v>182</v>
      </c>
      <c r="C620" s="68" t="s">
        <v>3148</v>
      </c>
      <c r="D620" s="68" t="s">
        <v>3157</v>
      </c>
      <c r="E620" s="68" t="s">
        <v>886</v>
      </c>
      <c r="F620" s="68" t="s">
        <v>62</v>
      </c>
      <c r="G620" s="68" t="s">
        <v>6</v>
      </c>
      <c r="H620" s="68" t="s">
        <v>888</v>
      </c>
      <c r="I620" s="68">
        <f t="shared" si="217"/>
        <v>1639</v>
      </c>
      <c r="J620" s="68" t="s">
        <v>3155</v>
      </c>
      <c r="K620" s="68" t="s">
        <v>3157</v>
      </c>
      <c r="L620" s="70">
        <v>1</v>
      </c>
      <c r="M620" s="71" t="s">
        <v>979</v>
      </c>
      <c r="N620" s="72" t="s">
        <v>814</v>
      </c>
      <c r="O620" s="68">
        <v>1</v>
      </c>
      <c r="P620" s="69" t="str">
        <f t="shared" ref="P620:P624" si="220">K620&amp;" - "&amp; C620</f>
        <v>Lamb Kofta - GFF492R</v>
      </c>
      <c r="Q620" s="72"/>
      <c r="R620" s="72"/>
      <c r="S620" s="72"/>
      <c r="T620" s="72"/>
      <c r="U620" s="72"/>
      <c r="V620" s="72"/>
      <c r="W620" s="72" t="s">
        <v>1435</v>
      </c>
      <c r="X620" s="72" t="s">
        <v>982</v>
      </c>
      <c r="Y620" s="72" t="s">
        <v>982</v>
      </c>
      <c r="Z620" s="80">
        <v>45541</v>
      </c>
    </row>
    <row r="621" spans="1:26" x14ac:dyDescent="0.25">
      <c r="A621" s="68">
        <f t="shared" si="219"/>
        <v>641</v>
      </c>
      <c r="B621" s="69" t="s">
        <v>182</v>
      </c>
      <c r="C621" s="68" t="s">
        <v>3149</v>
      </c>
      <c r="D621" s="68" t="s">
        <v>3143</v>
      </c>
      <c r="E621" s="68" t="s">
        <v>886</v>
      </c>
      <c r="F621" s="68" t="s">
        <v>62</v>
      </c>
      <c r="G621" s="68" t="s">
        <v>6</v>
      </c>
      <c r="H621" s="68" t="s">
        <v>888</v>
      </c>
      <c r="I621" s="68">
        <f t="shared" si="217"/>
        <v>1640</v>
      </c>
      <c r="J621" s="68" t="s">
        <v>3156</v>
      </c>
      <c r="K621" s="68" t="s">
        <v>3143</v>
      </c>
      <c r="L621" s="70">
        <v>1</v>
      </c>
      <c r="M621" s="71" t="s">
        <v>980</v>
      </c>
      <c r="N621" s="72" t="s">
        <v>814</v>
      </c>
      <c r="O621" s="68">
        <v>1</v>
      </c>
      <c r="P621" s="69" t="str">
        <f t="shared" si="220"/>
        <v>Spicy Pilau Rice  - GFF493R</v>
      </c>
      <c r="Q621" s="72"/>
      <c r="R621" s="72"/>
      <c r="S621" s="72"/>
      <c r="T621" s="72"/>
      <c r="U621" s="72"/>
      <c r="V621" s="72"/>
      <c r="W621" s="72" t="s">
        <v>1435</v>
      </c>
      <c r="X621" s="72" t="s">
        <v>982</v>
      </c>
      <c r="Y621" s="72" t="s">
        <v>982</v>
      </c>
      <c r="Z621" s="80">
        <v>45541</v>
      </c>
    </row>
    <row r="622" spans="1:26" x14ac:dyDescent="0.25">
      <c r="A622" s="68">
        <f t="shared" si="219"/>
        <v>642</v>
      </c>
      <c r="B622" s="69" t="s">
        <v>182</v>
      </c>
      <c r="C622" s="68" t="s">
        <v>3159</v>
      </c>
      <c r="D622" s="68" t="s">
        <v>3483</v>
      </c>
      <c r="E622" s="68" t="s">
        <v>886</v>
      </c>
      <c r="F622" s="68" t="s">
        <v>128</v>
      </c>
      <c r="G622" s="68" t="s">
        <v>6</v>
      </c>
      <c r="H622" s="68" t="s">
        <v>939</v>
      </c>
      <c r="I622" s="68">
        <f t="shared" si="217"/>
        <v>1641</v>
      </c>
      <c r="J622" s="68" t="s">
        <v>3189</v>
      </c>
      <c r="K622" s="68" t="s">
        <v>3483</v>
      </c>
      <c r="L622" s="70">
        <v>1</v>
      </c>
      <c r="M622" s="71" t="s">
        <v>979</v>
      </c>
      <c r="N622" s="72" t="s">
        <v>814</v>
      </c>
      <c r="O622" s="68">
        <v>1</v>
      </c>
      <c r="P622" s="69" t="str">
        <f t="shared" si="220"/>
        <v>Minced Butter Chicken - GFF494R</v>
      </c>
      <c r="Q622" s="72"/>
      <c r="R622" s="72"/>
      <c r="S622" s="72"/>
      <c r="T622" s="72"/>
      <c r="U622" s="72"/>
      <c r="V622" s="72"/>
      <c r="W622" s="72" t="s">
        <v>1435</v>
      </c>
      <c r="X622" s="72" t="s">
        <v>1801</v>
      </c>
      <c r="Y622" s="72">
        <v>2</v>
      </c>
      <c r="Z622" s="80">
        <v>45573</v>
      </c>
    </row>
    <row r="623" spans="1:26" x14ac:dyDescent="0.25">
      <c r="A623" s="68">
        <f t="shared" si="219"/>
        <v>643</v>
      </c>
      <c r="B623" s="69" t="s">
        <v>182</v>
      </c>
      <c r="C623" s="68" t="s">
        <v>3160</v>
      </c>
      <c r="D623" s="68" t="s">
        <v>3161</v>
      </c>
      <c r="E623" s="68" t="s">
        <v>886</v>
      </c>
      <c r="F623" s="68" t="s">
        <v>1414</v>
      </c>
      <c r="G623" s="68" t="s">
        <v>6</v>
      </c>
      <c r="H623" s="68" t="s">
        <v>939</v>
      </c>
      <c r="I623" s="68">
        <f t="shared" si="217"/>
        <v>1642</v>
      </c>
      <c r="J623" s="68" t="s">
        <v>3190</v>
      </c>
      <c r="K623" s="68" t="s">
        <v>3161</v>
      </c>
      <c r="L623" s="70">
        <v>1</v>
      </c>
      <c r="M623" s="71" t="s">
        <v>979</v>
      </c>
      <c r="N623" s="72" t="s">
        <v>814</v>
      </c>
      <c r="O623" s="68">
        <v>1</v>
      </c>
      <c r="P623" s="69" t="str">
        <f t="shared" si="220"/>
        <v>Xmas BBQ Pulled Beef Mix - GFF495R</v>
      </c>
      <c r="Q623" s="72"/>
      <c r="R623" s="72"/>
      <c r="S623" s="72"/>
      <c r="T623" s="72"/>
      <c r="U623" s="72"/>
      <c r="V623" s="72"/>
      <c r="W623" s="72" t="s">
        <v>1435</v>
      </c>
      <c r="X623" s="72" t="s">
        <v>2436</v>
      </c>
      <c r="Y623" s="72">
        <v>2</v>
      </c>
      <c r="Z623" s="80">
        <v>45573</v>
      </c>
    </row>
    <row r="624" spans="1:26" x14ac:dyDescent="0.25">
      <c r="A624" s="68">
        <f t="shared" si="219"/>
        <v>644</v>
      </c>
      <c r="B624" s="69" t="s">
        <v>182</v>
      </c>
      <c r="C624" s="68" t="s">
        <v>3162</v>
      </c>
      <c r="D624" s="68" t="s">
        <v>3163</v>
      </c>
      <c r="E624" s="68" t="s">
        <v>886</v>
      </c>
      <c r="F624" s="68" t="s">
        <v>128</v>
      </c>
      <c r="G624" s="68" t="s">
        <v>6</v>
      </c>
      <c r="H624" s="68" t="s">
        <v>939</v>
      </c>
      <c r="I624" s="68">
        <f t="shared" si="217"/>
        <v>1643</v>
      </c>
      <c r="J624" s="68" t="s">
        <v>3191</v>
      </c>
      <c r="K624" s="68" t="s">
        <v>3163</v>
      </c>
      <c r="L624" s="70">
        <v>1</v>
      </c>
      <c r="M624" s="71" t="s">
        <v>979</v>
      </c>
      <c r="N624" s="72" t="s">
        <v>814</v>
      </c>
      <c r="O624" s="68">
        <v>1</v>
      </c>
      <c r="P624" s="69" t="str">
        <f t="shared" si="220"/>
        <v>Xmas Pulled Chicken Shawarma Mix - GFF496R</v>
      </c>
      <c r="Q624" s="72"/>
      <c r="R624" s="72"/>
      <c r="S624" s="72"/>
      <c r="T624" s="72"/>
      <c r="U624" s="72"/>
      <c r="V624" s="72"/>
      <c r="W624" s="72" t="s">
        <v>1435</v>
      </c>
      <c r="X624" s="72" t="s">
        <v>1481</v>
      </c>
      <c r="Y624" s="72">
        <v>2</v>
      </c>
      <c r="Z624" s="80">
        <v>45573</v>
      </c>
    </row>
    <row r="625" spans="1:26" x14ac:dyDescent="0.25">
      <c r="A625" s="68">
        <f t="shared" si="219"/>
        <v>645</v>
      </c>
      <c r="B625" s="69" t="s">
        <v>182</v>
      </c>
      <c r="C625" s="68" t="s">
        <v>3164</v>
      </c>
      <c r="D625" s="68" t="s">
        <v>3165</v>
      </c>
      <c r="E625" s="68" t="s">
        <v>1628</v>
      </c>
      <c r="F625" s="68" t="s">
        <v>102</v>
      </c>
      <c r="G625" s="68" t="s">
        <v>6</v>
      </c>
      <c r="H625" s="68" t="s">
        <v>939</v>
      </c>
      <c r="I625" s="68">
        <f t="shared" si="217"/>
        <v>1644</v>
      </c>
      <c r="J625" s="68" t="s">
        <v>3188</v>
      </c>
      <c r="K625" s="68" t="s">
        <v>3165</v>
      </c>
      <c r="L625" s="70">
        <v>1</v>
      </c>
      <c r="M625" s="71" t="s">
        <v>979</v>
      </c>
      <c r="N625" s="72" t="s">
        <v>814</v>
      </c>
      <c r="O625" s="68">
        <v>130</v>
      </c>
      <c r="P625" s="69" t="str">
        <f t="shared" ref="P625:P638" si="221">K625&amp;" - "&amp; C625</f>
        <v>Xmas Thigh Chicken Tikka Skewers - GFF497R</v>
      </c>
      <c r="Q625" s="72"/>
      <c r="R625" s="72"/>
      <c r="S625" s="72"/>
      <c r="T625" s="72"/>
      <c r="U625" s="72"/>
      <c r="V625" s="72"/>
      <c r="W625" s="72" t="s">
        <v>1435</v>
      </c>
      <c r="X625" s="72" t="s">
        <v>1480</v>
      </c>
      <c r="Y625" s="72">
        <v>2</v>
      </c>
      <c r="Z625" s="80">
        <v>45573</v>
      </c>
    </row>
    <row r="626" spans="1:26" x14ac:dyDescent="0.25">
      <c r="A626" s="68">
        <f t="shared" si="219"/>
        <v>646</v>
      </c>
      <c r="B626" s="69" t="s">
        <v>182</v>
      </c>
      <c r="C626" s="68" t="s">
        <v>3166</v>
      </c>
      <c r="D626" s="68" t="s">
        <v>3201</v>
      </c>
      <c r="E626" s="68" t="s">
        <v>886</v>
      </c>
      <c r="F626" s="68" t="s">
        <v>130</v>
      </c>
      <c r="G626" s="68" t="s">
        <v>6</v>
      </c>
      <c r="H626" s="68" t="s">
        <v>939</v>
      </c>
      <c r="I626" s="68">
        <f t="shared" si="217"/>
        <v>1645</v>
      </c>
      <c r="J626" s="68" t="s">
        <v>3192</v>
      </c>
      <c r="K626" s="68" t="s">
        <v>3201</v>
      </c>
      <c r="L626" s="70">
        <v>1</v>
      </c>
      <c r="M626" s="71" t="s">
        <v>980</v>
      </c>
      <c r="N626" s="72" t="s">
        <v>814</v>
      </c>
      <c r="O626" s="68">
        <v>1</v>
      </c>
      <c r="P626" s="69" t="str">
        <f t="shared" si="221"/>
        <v>Mango &amp; Coriander Dip - GFF498R</v>
      </c>
      <c r="Q626" s="72"/>
      <c r="R626" s="72"/>
      <c r="S626" s="72"/>
      <c r="T626" s="72"/>
      <c r="U626" s="72"/>
      <c r="V626" s="72"/>
      <c r="W626" s="72" t="s">
        <v>1435</v>
      </c>
      <c r="X626" s="72" t="s">
        <v>982</v>
      </c>
      <c r="Y626" s="72" t="s">
        <v>982</v>
      </c>
      <c r="Z626" s="80">
        <v>45573</v>
      </c>
    </row>
    <row r="627" spans="1:26" x14ac:dyDescent="0.25">
      <c r="A627" s="68">
        <f t="shared" si="219"/>
        <v>647</v>
      </c>
      <c r="B627" s="69" t="s">
        <v>182</v>
      </c>
      <c r="C627" s="68" t="s">
        <v>3167</v>
      </c>
      <c r="D627" s="68" t="s">
        <v>3168</v>
      </c>
      <c r="E627" s="68" t="s">
        <v>1628</v>
      </c>
      <c r="F627" s="68" t="s">
        <v>102</v>
      </c>
      <c r="G627" s="68" t="s">
        <v>6</v>
      </c>
      <c r="H627" s="68" t="s">
        <v>939</v>
      </c>
      <c r="I627" s="68">
        <f t="shared" si="217"/>
        <v>1646</v>
      </c>
      <c r="J627" s="68" t="s">
        <v>3193</v>
      </c>
      <c r="K627" s="68" t="s">
        <v>3168</v>
      </c>
      <c r="L627" s="70">
        <v>1</v>
      </c>
      <c r="M627" s="71" t="s">
        <v>979</v>
      </c>
      <c r="N627" s="72" t="s">
        <v>814</v>
      </c>
      <c r="O627" s="68">
        <v>145</v>
      </c>
      <c r="P627" s="69" t="str">
        <f t="shared" si="221"/>
        <v>Xmas Gochujang Chicken Skewers - GFF499R</v>
      </c>
      <c r="Q627" s="72"/>
      <c r="R627" s="72"/>
      <c r="S627" s="72"/>
      <c r="T627" s="72"/>
      <c r="U627" s="72"/>
      <c r="V627" s="72"/>
      <c r="W627" s="72" t="s">
        <v>1435</v>
      </c>
      <c r="X627" s="72" t="s">
        <v>3205</v>
      </c>
      <c r="Y627" s="72">
        <v>1</v>
      </c>
      <c r="Z627" s="80">
        <v>45573</v>
      </c>
    </row>
    <row r="628" spans="1:26" x14ac:dyDescent="0.25">
      <c r="A628" s="68">
        <f t="shared" si="219"/>
        <v>648</v>
      </c>
      <c r="B628" s="69" t="s">
        <v>182</v>
      </c>
      <c r="C628" s="68" t="s">
        <v>3169</v>
      </c>
      <c r="D628" s="68" t="s">
        <v>3200</v>
      </c>
      <c r="E628" s="68" t="s">
        <v>886</v>
      </c>
      <c r="F628" s="68" t="s">
        <v>130</v>
      </c>
      <c r="G628" s="68" t="s">
        <v>6</v>
      </c>
      <c r="H628" s="68" t="s">
        <v>939</v>
      </c>
      <c r="I628" s="68">
        <f t="shared" si="217"/>
        <v>1647</v>
      </c>
      <c r="J628" s="68" t="s">
        <v>3194</v>
      </c>
      <c r="K628" s="68" t="s">
        <v>3200</v>
      </c>
      <c r="L628" s="70">
        <v>1</v>
      </c>
      <c r="M628" s="71" t="s">
        <v>980</v>
      </c>
      <c r="N628" s="72" t="s">
        <v>814</v>
      </c>
      <c r="O628" s="68">
        <v>1</v>
      </c>
      <c r="P628" s="69" t="str">
        <f t="shared" si="221"/>
        <v>Xmas Chilli and Garlic Dip - GFF500R</v>
      </c>
      <c r="Q628" s="72"/>
      <c r="R628" s="72"/>
      <c r="S628" s="72"/>
      <c r="T628" s="72"/>
      <c r="U628" s="72"/>
      <c r="V628" s="72"/>
      <c r="W628" s="72" t="s">
        <v>1435</v>
      </c>
      <c r="X628" s="72" t="s">
        <v>1703</v>
      </c>
      <c r="Y628" s="72">
        <v>1</v>
      </c>
      <c r="Z628" s="80">
        <v>45573</v>
      </c>
    </row>
    <row r="629" spans="1:26" x14ac:dyDescent="0.25">
      <c r="A629" s="68">
        <f t="shared" si="219"/>
        <v>649</v>
      </c>
      <c r="B629" s="69" t="s">
        <v>182</v>
      </c>
      <c r="C629" s="68" t="s">
        <v>3170</v>
      </c>
      <c r="D629" s="68" t="s">
        <v>3199</v>
      </c>
      <c r="E629" s="68" t="s">
        <v>1628</v>
      </c>
      <c r="F629" s="68" t="s">
        <v>128</v>
      </c>
      <c r="G629" s="68" t="s">
        <v>6</v>
      </c>
      <c r="H629" s="68" t="s">
        <v>939</v>
      </c>
      <c r="I629" s="68">
        <f t="shared" si="217"/>
        <v>1648</v>
      </c>
      <c r="J629" s="68" t="s">
        <v>3195</v>
      </c>
      <c r="K629" s="68" t="s">
        <v>3199</v>
      </c>
      <c r="L629" s="70">
        <v>1</v>
      </c>
      <c r="M629" s="71" t="s">
        <v>979</v>
      </c>
      <c r="N629" s="72" t="s">
        <v>814</v>
      </c>
      <c r="O629" s="68">
        <v>160</v>
      </c>
      <c r="P629" s="69" t="str">
        <f t="shared" si="221"/>
        <v>Xmas Breaded Chicken Bites - GFF503R</v>
      </c>
      <c r="Q629" s="72"/>
      <c r="R629" s="72"/>
      <c r="S629" s="72"/>
      <c r="T629" s="72"/>
      <c r="U629" s="72"/>
      <c r="V629" s="72"/>
      <c r="W629" s="72" t="s">
        <v>1435</v>
      </c>
      <c r="X629" s="72" t="s">
        <v>982</v>
      </c>
      <c r="Y629" s="72" t="s">
        <v>982</v>
      </c>
      <c r="Z629" s="80">
        <v>45573</v>
      </c>
    </row>
    <row r="630" spans="1:26" x14ac:dyDescent="0.25">
      <c r="A630" s="68">
        <f t="shared" si="219"/>
        <v>650</v>
      </c>
      <c r="B630" s="69" t="s">
        <v>182</v>
      </c>
      <c r="C630" s="68" t="s">
        <v>3171</v>
      </c>
      <c r="D630" s="68" t="s">
        <v>3172</v>
      </c>
      <c r="E630" s="68" t="s">
        <v>886</v>
      </c>
      <c r="F630" s="68" t="s">
        <v>128</v>
      </c>
      <c r="G630" s="68" t="s">
        <v>6</v>
      </c>
      <c r="H630" s="68" t="s">
        <v>939</v>
      </c>
      <c r="I630" s="68">
        <f t="shared" si="217"/>
        <v>1649</v>
      </c>
      <c r="J630" s="68" t="s">
        <v>3196</v>
      </c>
      <c r="K630" s="68" t="s">
        <v>3172</v>
      </c>
      <c r="L630" s="70">
        <v>1</v>
      </c>
      <c r="M630" s="71" t="s">
        <v>979</v>
      </c>
      <c r="N630" s="72" t="s">
        <v>814</v>
      </c>
      <c r="O630" s="68">
        <v>1</v>
      </c>
      <c r="P630" s="69" t="str">
        <f t="shared" si="221"/>
        <v>Xmas Hot &amp; Spicy Chicken Samosa Filling - GFF504R</v>
      </c>
      <c r="Q630" s="72"/>
      <c r="R630" s="72"/>
      <c r="S630" s="72"/>
      <c r="T630" s="72"/>
      <c r="U630" s="72"/>
      <c r="V630" s="72"/>
      <c r="W630" s="72" t="s">
        <v>1435</v>
      </c>
      <c r="X630" s="72" t="s">
        <v>1814</v>
      </c>
      <c r="Y630" s="72">
        <v>3</v>
      </c>
      <c r="Z630" s="80">
        <v>45573</v>
      </c>
    </row>
    <row r="631" spans="1:26" x14ac:dyDescent="0.25">
      <c r="A631" s="68">
        <f t="shared" si="219"/>
        <v>651</v>
      </c>
      <c r="B631" s="69" t="s">
        <v>182</v>
      </c>
      <c r="C631" s="68" t="s">
        <v>3173</v>
      </c>
      <c r="D631" s="68" t="s">
        <v>3174</v>
      </c>
      <c r="E631" s="68" t="s">
        <v>885</v>
      </c>
      <c r="F631" s="68" t="s">
        <v>4</v>
      </c>
      <c r="G631" s="68" t="s">
        <v>6</v>
      </c>
      <c r="H631" s="68" t="s">
        <v>939</v>
      </c>
      <c r="I631" s="68">
        <f t="shared" si="217"/>
        <v>1650</v>
      </c>
      <c r="J631" s="68" t="s">
        <v>3197</v>
      </c>
      <c r="K631" s="68" t="s">
        <v>3202</v>
      </c>
      <c r="L631" s="70">
        <v>25</v>
      </c>
      <c r="M631" s="71" t="s">
        <v>979</v>
      </c>
      <c r="N631" s="72" t="s">
        <v>814</v>
      </c>
      <c r="O631" s="68">
        <v>9000</v>
      </c>
      <c r="P631" s="69" t="str">
        <f t="shared" si="221"/>
        <v>Xmas Hot &amp; Spicy Chicken Samosa 25G - GFF505R</v>
      </c>
      <c r="Q631" s="72">
        <v>42.5</v>
      </c>
      <c r="R631" s="72">
        <f t="shared" ref="R631" si="222">($Q631/5)*4</f>
        <v>34</v>
      </c>
      <c r="S631" s="72">
        <f t="shared" ref="S631" si="223">($Q631/5)*3</f>
        <v>25.5</v>
      </c>
      <c r="T631" s="72">
        <f t="shared" ref="T631" si="224">($Q631/5)*2</f>
        <v>17</v>
      </c>
      <c r="U631" s="72">
        <f t="shared" ref="U631" si="225">($Q631/5)*1</f>
        <v>8.5</v>
      </c>
      <c r="V631" s="72"/>
      <c r="W631" s="72" t="s">
        <v>1435</v>
      </c>
      <c r="X631" s="72" t="s">
        <v>1502</v>
      </c>
      <c r="Y631" s="72">
        <v>3</v>
      </c>
      <c r="Z631" s="80">
        <v>45573</v>
      </c>
    </row>
    <row r="632" spans="1:26" x14ac:dyDescent="0.25">
      <c r="A632" s="68">
        <f t="shared" si="219"/>
        <v>652</v>
      </c>
      <c r="B632" s="69" t="s">
        <v>182</v>
      </c>
      <c r="C632" s="68" t="s">
        <v>3175</v>
      </c>
      <c r="D632" s="68" t="s">
        <v>3176</v>
      </c>
      <c r="E632" s="68" t="s">
        <v>885</v>
      </c>
      <c r="F632" s="68" t="s">
        <v>1483</v>
      </c>
      <c r="G632" s="68" t="s">
        <v>6</v>
      </c>
      <c r="H632" s="68" t="s">
        <v>939</v>
      </c>
      <c r="I632" s="68">
        <f t="shared" si="217"/>
        <v>1651</v>
      </c>
      <c r="J632" s="68" t="s">
        <v>3198</v>
      </c>
      <c r="K632" s="68" t="s">
        <v>1129</v>
      </c>
      <c r="L632" s="70">
        <v>20</v>
      </c>
      <c r="M632" s="71" t="s">
        <v>979</v>
      </c>
      <c r="N632" s="72" t="s">
        <v>814</v>
      </c>
      <c r="O632" s="68">
        <v>6250</v>
      </c>
      <c r="P632" s="69" t="str">
        <f t="shared" si="221"/>
        <v>Thai Fish Cake 20G - GFF506R</v>
      </c>
      <c r="Q632" s="72"/>
      <c r="R632" s="72"/>
      <c r="S632" s="72"/>
      <c r="T632" s="72"/>
      <c r="U632" s="72"/>
      <c r="V632" s="72"/>
      <c r="W632" s="72" t="s">
        <v>1435</v>
      </c>
      <c r="X632" s="72" t="s">
        <v>1483</v>
      </c>
      <c r="Y632" s="72">
        <v>1</v>
      </c>
      <c r="Z632" s="80">
        <v>45573</v>
      </c>
    </row>
    <row r="633" spans="1:26" x14ac:dyDescent="0.25">
      <c r="A633" s="68">
        <f t="shared" si="219"/>
        <v>653</v>
      </c>
      <c r="B633" s="69" t="s">
        <v>2116</v>
      </c>
      <c r="C633" s="68" t="s">
        <v>3177</v>
      </c>
      <c r="D633" s="68" t="s">
        <v>3178</v>
      </c>
      <c r="E633" s="68" t="s">
        <v>1115</v>
      </c>
      <c r="F633" s="68" t="s">
        <v>56</v>
      </c>
      <c r="G633" s="68" t="s">
        <v>17</v>
      </c>
      <c r="H633" s="68" t="s">
        <v>939</v>
      </c>
      <c r="I633" s="68">
        <f t="shared" si="217"/>
        <v>1652</v>
      </c>
      <c r="J633" s="68" t="s">
        <v>3177</v>
      </c>
      <c r="K633" s="68" t="s">
        <v>3178</v>
      </c>
      <c r="L633" s="70">
        <v>10</v>
      </c>
      <c r="M633" s="71" t="s">
        <v>980</v>
      </c>
      <c r="N633" s="72" t="s">
        <v>814</v>
      </c>
      <c r="O633" s="68">
        <v>1</v>
      </c>
      <c r="P633" s="69" t="str">
        <f t="shared" si="221"/>
        <v>Mini Naan Canape Base - BAK002-001</v>
      </c>
      <c r="Q633" s="72"/>
      <c r="R633" s="72"/>
      <c r="S633" s="72"/>
      <c r="T633" s="72"/>
      <c r="U633" s="72"/>
      <c r="V633" s="72"/>
      <c r="W633" s="72" t="s">
        <v>1435</v>
      </c>
      <c r="X633" s="72" t="s">
        <v>1501</v>
      </c>
      <c r="Y633" s="72">
        <v>3</v>
      </c>
      <c r="Z633" s="80">
        <v>45573</v>
      </c>
    </row>
    <row r="634" spans="1:26" x14ac:dyDescent="0.25">
      <c r="A634" s="68">
        <f t="shared" si="219"/>
        <v>654</v>
      </c>
      <c r="B634" s="69">
        <v>3663</v>
      </c>
      <c r="C634" s="68" t="s">
        <v>3179</v>
      </c>
      <c r="D634" s="68" t="s">
        <v>3180</v>
      </c>
      <c r="E634" s="68" t="s">
        <v>130</v>
      </c>
      <c r="F634" s="68" t="s">
        <v>130</v>
      </c>
      <c r="G634" s="68" t="s">
        <v>17</v>
      </c>
      <c r="H634" s="68" t="s">
        <v>939</v>
      </c>
      <c r="I634" s="68">
        <f t="shared" si="217"/>
        <v>1653</v>
      </c>
      <c r="J634" s="68" t="s">
        <v>3179</v>
      </c>
      <c r="K634" s="68" t="s">
        <v>3180</v>
      </c>
      <c r="L634" s="70">
        <v>1</v>
      </c>
      <c r="M634" s="71" t="s">
        <v>980</v>
      </c>
      <c r="N634" s="72" t="s">
        <v>814</v>
      </c>
      <c r="O634" s="68">
        <v>1</v>
      </c>
      <c r="P634" s="69" t="str">
        <f t="shared" si="221"/>
        <v>EVFAV Barbecue Sauce - 366001-24</v>
      </c>
      <c r="Q634" s="72"/>
      <c r="R634" s="72"/>
      <c r="S634" s="72"/>
      <c r="T634" s="72"/>
      <c r="U634" s="72"/>
      <c r="V634" s="72"/>
      <c r="W634" s="72" t="s">
        <v>1435</v>
      </c>
      <c r="X634" s="72" t="s">
        <v>982</v>
      </c>
      <c r="Y634" s="72" t="s">
        <v>982</v>
      </c>
      <c r="Z634" s="80">
        <v>45573</v>
      </c>
    </row>
    <row r="635" spans="1:26" x14ac:dyDescent="0.25">
      <c r="A635" s="68">
        <f t="shared" si="219"/>
        <v>655</v>
      </c>
      <c r="B635" s="69" t="s">
        <v>3181</v>
      </c>
      <c r="C635" s="68" t="s">
        <v>3182</v>
      </c>
      <c r="D635" s="68" t="s">
        <v>3183</v>
      </c>
      <c r="E635" s="68" t="s">
        <v>1115</v>
      </c>
      <c r="F635" s="68" t="s">
        <v>56</v>
      </c>
      <c r="G635" s="68" t="s">
        <v>17</v>
      </c>
      <c r="H635" s="68" t="s">
        <v>939</v>
      </c>
      <c r="I635" s="68">
        <f t="shared" si="217"/>
        <v>1654</v>
      </c>
      <c r="J635" s="68" t="s">
        <v>3182</v>
      </c>
      <c r="K635" s="68" t="s">
        <v>3204</v>
      </c>
      <c r="L635" s="70">
        <v>11.5</v>
      </c>
      <c r="M635" s="71" t="s">
        <v>980</v>
      </c>
      <c r="N635" s="72" t="s">
        <v>814</v>
      </c>
      <c r="O635" s="68">
        <v>1</v>
      </c>
      <c r="P635" s="69" t="str">
        <f t="shared" si="221"/>
        <v>Mini Hot Dog Rolls 11.5G - MON001-02</v>
      </c>
      <c r="Q635" s="72"/>
      <c r="R635" s="72"/>
      <c r="S635" s="72"/>
      <c r="T635" s="72"/>
      <c r="U635" s="72"/>
      <c r="V635" s="72"/>
      <c r="W635" s="72" t="s">
        <v>1435</v>
      </c>
      <c r="X635" s="72" t="s">
        <v>1501</v>
      </c>
      <c r="Y635" s="72">
        <v>3</v>
      </c>
      <c r="Z635" s="80">
        <v>45573</v>
      </c>
    </row>
    <row r="636" spans="1:26" x14ac:dyDescent="0.25">
      <c r="A636" s="68">
        <f t="shared" si="219"/>
        <v>656</v>
      </c>
      <c r="B636" s="69" t="s">
        <v>1775</v>
      </c>
      <c r="C636" s="68" t="s">
        <v>3184</v>
      </c>
      <c r="D636" s="68" t="s">
        <v>3186</v>
      </c>
      <c r="E636" s="68" t="s">
        <v>885</v>
      </c>
      <c r="F636" s="68" t="s">
        <v>3286</v>
      </c>
      <c r="G636" s="68" t="s">
        <v>17</v>
      </c>
      <c r="H636" s="68" t="s">
        <v>939</v>
      </c>
      <c r="I636" s="68">
        <f t="shared" si="217"/>
        <v>1655</v>
      </c>
      <c r="J636" s="68" t="s">
        <v>3184</v>
      </c>
      <c r="K636" s="68" t="s">
        <v>3186</v>
      </c>
      <c r="L636" s="70">
        <v>236</v>
      </c>
      <c r="M636" s="71" t="s">
        <v>979</v>
      </c>
      <c r="N636" s="72" t="s">
        <v>814</v>
      </c>
      <c r="O636" s="68">
        <v>1</v>
      </c>
      <c r="P636" s="69" t="str">
        <f t="shared" si="221"/>
        <v>GFF Oriental Selection 236G (Ready Packed) - TRA003-15</v>
      </c>
      <c r="Q636" s="72"/>
      <c r="R636" s="72"/>
      <c r="S636" s="72"/>
      <c r="T636" s="72"/>
      <c r="U636" s="72"/>
      <c r="V636" s="72"/>
      <c r="W636" s="72" t="s">
        <v>1435</v>
      </c>
      <c r="X636" s="72" t="s">
        <v>3212</v>
      </c>
      <c r="Y636" s="72">
        <v>1</v>
      </c>
      <c r="Z636" s="80">
        <v>45573</v>
      </c>
    </row>
    <row r="637" spans="1:26" x14ac:dyDescent="0.25">
      <c r="A637" s="68">
        <f t="shared" si="219"/>
        <v>657</v>
      </c>
      <c r="B637" s="69" t="s">
        <v>1775</v>
      </c>
      <c r="C637" s="68" t="s">
        <v>3185</v>
      </c>
      <c r="D637" s="68" t="s">
        <v>3187</v>
      </c>
      <c r="E637" s="68" t="s">
        <v>885</v>
      </c>
      <c r="F637" s="68" t="s">
        <v>3286</v>
      </c>
      <c r="G637" s="68" t="s">
        <v>17</v>
      </c>
      <c r="H637" s="68" t="s">
        <v>939</v>
      </c>
      <c r="I637" s="68">
        <f t="shared" si="217"/>
        <v>1656</v>
      </c>
      <c r="J637" s="68" t="s">
        <v>3185</v>
      </c>
      <c r="K637" s="68" t="s">
        <v>3187</v>
      </c>
      <c r="L637" s="70">
        <v>128</v>
      </c>
      <c r="M637" s="71" t="s">
        <v>979</v>
      </c>
      <c r="N637" s="72" t="s">
        <v>814</v>
      </c>
      <c r="O637" s="68">
        <v>1</v>
      </c>
      <c r="P637" s="69" t="str">
        <f t="shared" si="221"/>
        <v>GFF Garlic and Herb Butterfly Prawn 128G (Ready Packed) - TRA003-16</v>
      </c>
      <c r="Q637" s="72"/>
      <c r="R637" s="72"/>
      <c r="S637" s="72"/>
      <c r="T637" s="72"/>
      <c r="U637" s="72"/>
      <c r="V637" s="72"/>
      <c r="W637" s="72" t="s">
        <v>1435</v>
      </c>
      <c r="X637" s="72" t="s">
        <v>2884</v>
      </c>
      <c r="Y637" s="72">
        <v>1</v>
      </c>
      <c r="Z637" s="80">
        <v>45573</v>
      </c>
    </row>
    <row r="638" spans="1:26" x14ac:dyDescent="0.25">
      <c r="A638" s="68">
        <f t="shared" si="219"/>
        <v>658</v>
      </c>
      <c r="B638" s="69" t="s">
        <v>182</v>
      </c>
      <c r="C638" s="68" t="s">
        <v>3206</v>
      </c>
      <c r="D638" s="68" t="s">
        <v>3209</v>
      </c>
      <c r="E638" s="68" t="s">
        <v>1628</v>
      </c>
      <c r="F638" s="68" t="s">
        <v>128</v>
      </c>
      <c r="G638" s="68" t="s">
        <v>6</v>
      </c>
      <c r="H638" s="68" t="s">
        <v>939</v>
      </c>
      <c r="I638" s="68">
        <f t="shared" si="217"/>
        <v>1657</v>
      </c>
      <c r="J638" s="68" t="s">
        <v>3210</v>
      </c>
      <c r="K638" s="68" t="s">
        <v>3209</v>
      </c>
      <c r="L638" s="70">
        <v>1</v>
      </c>
      <c r="M638" s="71" t="s">
        <v>979</v>
      </c>
      <c r="N638" s="72" t="s">
        <v>814</v>
      </c>
      <c r="O638" s="68">
        <v>110</v>
      </c>
      <c r="P638" s="69" t="str">
        <f t="shared" si="221"/>
        <v>Xmas Hot &amp; Spicy Chicken Bites - GFF502R</v>
      </c>
      <c r="Q638" s="72"/>
      <c r="R638" s="72"/>
      <c r="S638" s="72"/>
      <c r="T638" s="72"/>
      <c r="U638" s="72"/>
      <c r="V638" s="72"/>
      <c r="W638" s="72" t="s">
        <v>1435</v>
      </c>
      <c r="X638" s="72" t="s">
        <v>982</v>
      </c>
      <c r="Y638" s="72" t="s">
        <v>982</v>
      </c>
      <c r="Z638" s="80">
        <v>45573</v>
      </c>
    </row>
    <row r="639" spans="1:26" x14ac:dyDescent="0.25">
      <c r="A639" s="68">
        <f t="shared" si="219"/>
        <v>659</v>
      </c>
      <c r="B639" s="69" t="s">
        <v>182</v>
      </c>
      <c r="C639" s="68" t="s">
        <v>3207</v>
      </c>
      <c r="D639" s="68" t="s">
        <v>3208</v>
      </c>
      <c r="E639" s="68" t="s">
        <v>886</v>
      </c>
      <c r="F639" s="68" t="s">
        <v>130</v>
      </c>
      <c r="G639" s="68" t="s">
        <v>6</v>
      </c>
      <c r="H639" s="68" t="s">
        <v>939</v>
      </c>
      <c r="I639" s="68">
        <f t="shared" si="217"/>
        <v>1658</v>
      </c>
      <c r="J639" s="68" t="s">
        <v>3211</v>
      </c>
      <c r="K639" s="68" t="s">
        <v>3208</v>
      </c>
      <c r="L639" s="70">
        <v>1</v>
      </c>
      <c r="M639" s="71" t="s">
        <v>979</v>
      </c>
      <c r="N639" s="72" t="s">
        <v>814</v>
      </c>
      <c r="O639" s="68">
        <v>1</v>
      </c>
      <c r="P639" s="69" t="str">
        <f t="shared" ref="P639:P642" si="226">K639&amp;" - "&amp; C639</f>
        <v>Tomato &amp; Coriander Dip - GFF501R</v>
      </c>
      <c r="Q639" s="72"/>
      <c r="R639" s="72"/>
      <c r="S639" s="72"/>
      <c r="T639" s="72"/>
      <c r="U639" s="72"/>
      <c r="V639" s="72"/>
      <c r="W639" s="72" t="s">
        <v>1435</v>
      </c>
      <c r="X639" s="72" t="s">
        <v>1481</v>
      </c>
      <c r="Y639" s="72">
        <v>3</v>
      </c>
      <c r="Z639" s="80">
        <v>45573</v>
      </c>
    </row>
    <row r="640" spans="1:26" x14ac:dyDescent="0.25">
      <c r="A640" s="68">
        <f t="shared" si="219"/>
        <v>660</v>
      </c>
      <c r="B640" s="69" t="s">
        <v>182</v>
      </c>
      <c r="C640" s="68" t="s">
        <v>3214</v>
      </c>
      <c r="D640" s="68" t="s">
        <v>3215</v>
      </c>
      <c r="E640" s="68" t="s">
        <v>885</v>
      </c>
      <c r="F640" s="68" t="s">
        <v>13</v>
      </c>
      <c r="G640" s="68" t="s">
        <v>6</v>
      </c>
      <c r="H640" s="68" t="s">
        <v>939</v>
      </c>
      <c r="I640" s="68">
        <f t="shared" si="217"/>
        <v>1659</v>
      </c>
      <c r="J640" s="68" t="s">
        <v>3216</v>
      </c>
      <c r="K640" s="68" t="s">
        <v>3217</v>
      </c>
      <c r="L640" s="70">
        <v>25</v>
      </c>
      <c r="M640" s="71" t="s">
        <v>980</v>
      </c>
      <c r="N640" s="72" t="s">
        <v>814</v>
      </c>
      <c r="O640" s="68">
        <v>10750</v>
      </c>
      <c r="P640" s="69" t="str">
        <f t="shared" si="226"/>
        <v>Xmas Vegetable Samosa 25G - GFF508R</v>
      </c>
      <c r="Q640" s="72">
        <v>35</v>
      </c>
      <c r="R640" s="72">
        <f t="shared" ref="R640" si="227">($Q640/5)*4</f>
        <v>28</v>
      </c>
      <c r="S640" s="72">
        <f t="shared" ref="S640" si="228">($Q640/5)*3</f>
        <v>21</v>
      </c>
      <c r="T640" s="72">
        <f t="shared" ref="T640" si="229">($Q640/5)*2</f>
        <v>14</v>
      </c>
      <c r="U640" s="72">
        <f t="shared" ref="U640" si="230">($Q640/5)*1</f>
        <v>7</v>
      </c>
      <c r="V640" s="72"/>
      <c r="W640" s="72" t="s">
        <v>1435</v>
      </c>
      <c r="X640" s="72" t="s">
        <v>1501</v>
      </c>
      <c r="Y640" s="72">
        <v>3</v>
      </c>
      <c r="Z640" s="80">
        <v>45618</v>
      </c>
    </row>
    <row r="641" spans="1:26" x14ac:dyDescent="0.25">
      <c r="A641" s="68">
        <f t="shared" si="219"/>
        <v>661</v>
      </c>
      <c r="B641" s="69" t="s">
        <v>182</v>
      </c>
      <c r="C641" s="68" t="s">
        <v>3218</v>
      </c>
      <c r="D641" s="68" t="s">
        <v>3219</v>
      </c>
      <c r="E641" s="68" t="s">
        <v>886</v>
      </c>
      <c r="F641" s="68" t="s">
        <v>3220</v>
      </c>
      <c r="G641" s="68" t="s">
        <v>6</v>
      </c>
      <c r="H641" s="68" t="s">
        <v>939</v>
      </c>
      <c r="I641" s="68">
        <f t="shared" si="217"/>
        <v>1660</v>
      </c>
      <c r="J641" s="68" t="s">
        <v>3221</v>
      </c>
      <c r="K641" s="68" t="s">
        <v>3222</v>
      </c>
      <c r="L641" s="70">
        <v>1</v>
      </c>
      <c r="M641" s="71" t="s">
        <v>980</v>
      </c>
      <c r="N641" s="72" t="s">
        <v>814</v>
      </c>
      <c r="O641" s="68">
        <v>1</v>
      </c>
      <c r="P641" s="69" t="str">
        <f t="shared" si="226"/>
        <v>Xmas Vegetable Samosa Filling - GFF507R</v>
      </c>
      <c r="Q641" s="72"/>
      <c r="R641" s="72"/>
      <c r="S641" s="72"/>
      <c r="T641" s="72"/>
      <c r="U641" s="72"/>
      <c r="V641" s="72"/>
      <c r="W641" s="72" t="s">
        <v>1435</v>
      </c>
      <c r="X641" s="72" t="s">
        <v>982</v>
      </c>
      <c r="Y641" s="72" t="s">
        <v>982</v>
      </c>
      <c r="Z641" s="80">
        <v>45618</v>
      </c>
    </row>
    <row r="642" spans="1:26" x14ac:dyDescent="0.25">
      <c r="A642" s="68">
        <f t="shared" si="219"/>
        <v>662</v>
      </c>
      <c r="B642" s="69" t="s">
        <v>182</v>
      </c>
      <c r="C642" s="68" t="s">
        <v>3224</v>
      </c>
      <c r="D642" s="68" t="s">
        <v>3225</v>
      </c>
      <c r="E642" s="68" t="s">
        <v>886</v>
      </c>
      <c r="F642" s="68" t="s">
        <v>609</v>
      </c>
      <c r="G642" s="68" t="s">
        <v>6</v>
      </c>
      <c r="H642" s="68" t="s">
        <v>888</v>
      </c>
      <c r="I642" s="68">
        <f t="shared" si="217"/>
        <v>1661</v>
      </c>
      <c r="J642" s="68" t="s">
        <v>3230</v>
      </c>
      <c r="K642" s="68" t="s">
        <v>3225</v>
      </c>
      <c r="L642" s="70">
        <v>1</v>
      </c>
      <c r="M642" s="71" t="s">
        <v>979</v>
      </c>
      <c r="N642" s="72" t="s">
        <v>814</v>
      </c>
      <c r="O642" s="68">
        <v>1</v>
      </c>
      <c r="P642" s="69" t="str">
        <f t="shared" si="226"/>
        <v>Lamb Samosa Filling (COOK) - GFF509R</v>
      </c>
      <c r="Q642" s="72"/>
      <c r="R642" s="72"/>
      <c r="S642" s="72"/>
      <c r="T642" s="72"/>
      <c r="U642" s="72"/>
      <c r="V642" s="72"/>
      <c r="W642" s="72" t="s">
        <v>1435</v>
      </c>
      <c r="X642" s="72" t="s">
        <v>982</v>
      </c>
      <c r="Y642" s="72" t="s">
        <v>982</v>
      </c>
      <c r="Z642" s="80">
        <v>45625</v>
      </c>
    </row>
    <row r="643" spans="1:26" x14ac:dyDescent="0.25">
      <c r="A643" s="68">
        <f t="shared" si="219"/>
        <v>663</v>
      </c>
      <c r="B643" s="69" t="s">
        <v>182</v>
      </c>
      <c r="C643" s="68" t="s">
        <v>3229</v>
      </c>
      <c r="D643" s="68" t="s">
        <v>3231</v>
      </c>
      <c r="E643" s="68" t="s">
        <v>885</v>
      </c>
      <c r="F643" s="68" t="s">
        <v>23</v>
      </c>
      <c r="G643" s="68" t="s">
        <v>6</v>
      </c>
      <c r="H643" s="68" t="s">
        <v>888</v>
      </c>
      <c r="I643" s="68">
        <f t="shared" si="217"/>
        <v>1662</v>
      </c>
      <c r="J643" s="68" t="s">
        <v>3226</v>
      </c>
      <c r="K643" s="68" t="s">
        <v>3227</v>
      </c>
      <c r="L643" s="70">
        <v>40</v>
      </c>
      <c r="M643" s="71" t="s">
        <v>979</v>
      </c>
      <c r="N643" s="72" t="s">
        <v>814</v>
      </c>
      <c r="O643" s="68">
        <v>6500</v>
      </c>
      <c r="P643" s="69" t="str">
        <f t="shared" ref="P643:P644" si="231">K643&amp;" - "&amp; C643</f>
        <v>Lamb Samosa Cocktail 40G (COOK) - GFF510R</v>
      </c>
      <c r="Q643" s="72"/>
      <c r="R643" s="72"/>
      <c r="S643" s="72"/>
      <c r="T643" s="72"/>
      <c r="U643" s="72"/>
      <c r="V643" s="72"/>
      <c r="W643" s="72" t="s">
        <v>1435</v>
      </c>
      <c r="X643" s="72" t="s">
        <v>1501</v>
      </c>
      <c r="Y643" s="72">
        <v>3</v>
      </c>
      <c r="Z643" s="80">
        <v>45625</v>
      </c>
    </row>
    <row r="644" spans="1:26" x14ac:dyDescent="0.25">
      <c r="A644" s="68">
        <f t="shared" si="219"/>
        <v>664</v>
      </c>
      <c r="B644" s="69" t="s">
        <v>182</v>
      </c>
      <c r="C644" s="68" t="s">
        <v>3235</v>
      </c>
      <c r="D644" s="68" t="s">
        <v>3233</v>
      </c>
      <c r="E644" s="68" t="s">
        <v>885</v>
      </c>
      <c r="F644" s="68" t="s">
        <v>4</v>
      </c>
      <c r="G644" s="68" t="s">
        <v>2149</v>
      </c>
      <c r="H644" s="68" t="s">
        <v>888</v>
      </c>
      <c r="I644" s="68">
        <f t="shared" si="217"/>
        <v>1663</v>
      </c>
      <c r="J644" s="68" t="s">
        <v>3237</v>
      </c>
      <c r="K644" s="68" t="s">
        <v>3239</v>
      </c>
      <c r="L644" s="70">
        <v>40</v>
      </c>
      <c r="M644" s="71" t="s">
        <v>979</v>
      </c>
      <c r="N644" s="72" t="s">
        <v>814</v>
      </c>
      <c r="O644" s="68">
        <v>1</v>
      </c>
      <c r="P644" s="69" t="str">
        <f t="shared" si="231"/>
        <v>Chicken Samosa 40G - WEI001-01 - GFF511R</v>
      </c>
      <c r="Q644" s="72"/>
      <c r="R644" s="72"/>
      <c r="S644" s="72"/>
      <c r="T644" s="72"/>
      <c r="U644" s="72"/>
      <c r="V644" s="72"/>
      <c r="W644" s="72" t="s">
        <v>1435</v>
      </c>
      <c r="X644" s="72" t="s">
        <v>1499</v>
      </c>
      <c r="Y644" s="72">
        <v>3</v>
      </c>
      <c r="Z644" s="80">
        <v>45656</v>
      </c>
    </row>
    <row r="645" spans="1:26" x14ac:dyDescent="0.25">
      <c r="A645" s="68">
        <f t="shared" si="219"/>
        <v>665</v>
      </c>
      <c r="B645" s="69" t="s">
        <v>182</v>
      </c>
      <c r="C645" s="68" t="s">
        <v>3236</v>
      </c>
      <c r="D645" s="68" t="s">
        <v>3234</v>
      </c>
      <c r="E645" s="68" t="s">
        <v>885</v>
      </c>
      <c r="F645" s="68" t="s">
        <v>30</v>
      </c>
      <c r="G645" s="68" t="s">
        <v>2149</v>
      </c>
      <c r="H645" s="68" t="s">
        <v>888</v>
      </c>
      <c r="I645" s="68">
        <f t="shared" si="217"/>
        <v>1664</v>
      </c>
      <c r="J645" s="68" t="s">
        <v>3238</v>
      </c>
      <c r="K645" s="68" t="s">
        <v>3240</v>
      </c>
      <c r="L645" s="70">
        <v>35</v>
      </c>
      <c r="M645" s="71" t="s">
        <v>979</v>
      </c>
      <c r="N645" s="72" t="s">
        <v>814</v>
      </c>
      <c r="O645" s="68">
        <v>1</v>
      </c>
      <c r="P645" s="69" t="str">
        <f t="shared" ref="P645" si="232">K645&amp;" - "&amp; C645</f>
        <v>Chicken Spring Roll 35G - WEI001-02 - GFF512R</v>
      </c>
      <c r="Q645" s="72"/>
      <c r="R645" s="72"/>
      <c r="S645" s="72"/>
      <c r="T645" s="72"/>
      <c r="U645" s="72"/>
      <c r="V645" s="72"/>
      <c r="W645" s="72" t="s">
        <v>1435</v>
      </c>
      <c r="X645" s="72" t="s">
        <v>3241</v>
      </c>
      <c r="Y645" s="72">
        <v>1</v>
      </c>
      <c r="Z645" s="80">
        <v>45656</v>
      </c>
    </row>
    <row r="646" spans="1:26" x14ac:dyDescent="0.25">
      <c r="A646" s="68">
        <f t="shared" si="219"/>
        <v>666</v>
      </c>
      <c r="B646" s="69" t="s">
        <v>3232</v>
      </c>
      <c r="C646" s="68" t="s">
        <v>3242</v>
      </c>
      <c r="D646" s="68" t="s">
        <v>3244</v>
      </c>
      <c r="E646" s="68" t="s">
        <v>885</v>
      </c>
      <c r="F646" s="68" t="s">
        <v>3286</v>
      </c>
      <c r="G646" s="68" t="s">
        <v>17</v>
      </c>
      <c r="H646" s="68" t="s">
        <v>939</v>
      </c>
      <c r="I646" s="68">
        <f t="shared" si="217"/>
        <v>1665</v>
      </c>
      <c r="J646" s="68" t="s">
        <v>3242</v>
      </c>
      <c r="K646" s="68" t="s">
        <v>3244</v>
      </c>
      <c r="L646" s="70">
        <v>760</v>
      </c>
      <c r="M646" s="71" t="s">
        <v>979</v>
      </c>
      <c r="N646" s="72" t="s">
        <v>814</v>
      </c>
      <c r="O646" s="68">
        <v>1</v>
      </c>
      <c r="P646" s="69" t="str">
        <f t="shared" ref="P646:P650" si="233">K646&amp;" - "&amp; C646</f>
        <v>Takul Halal Festive Feasts Oriental Bites| 760G X 6 - WEI001-03</v>
      </c>
      <c r="Q646" s="72"/>
      <c r="R646" s="72"/>
      <c r="S646" s="72"/>
      <c r="T646" s="72"/>
      <c r="U646" s="72"/>
      <c r="V646" s="72"/>
      <c r="W646" s="72" t="s">
        <v>1435</v>
      </c>
      <c r="X646" s="72" t="s">
        <v>982</v>
      </c>
      <c r="Y646" s="72" t="s">
        <v>982</v>
      </c>
      <c r="Z646" s="80">
        <v>45656</v>
      </c>
    </row>
    <row r="647" spans="1:26" x14ac:dyDescent="0.25">
      <c r="A647" s="68">
        <f t="shared" si="219"/>
        <v>667</v>
      </c>
      <c r="B647" s="69" t="s">
        <v>3232</v>
      </c>
      <c r="C647" s="68" t="s">
        <v>3243</v>
      </c>
      <c r="D647" s="68" t="s">
        <v>3245</v>
      </c>
      <c r="E647" s="68" t="s">
        <v>885</v>
      </c>
      <c r="F647" s="68" t="s">
        <v>3286</v>
      </c>
      <c r="G647" s="68" t="s">
        <v>17</v>
      </c>
      <c r="H647" s="68" t="s">
        <v>939</v>
      </c>
      <c r="I647" s="68">
        <f t="shared" si="217"/>
        <v>1666</v>
      </c>
      <c r="J647" s="68" t="s">
        <v>3243</v>
      </c>
      <c r="K647" s="68" t="s">
        <v>3245</v>
      </c>
      <c r="L647" s="70">
        <v>800</v>
      </c>
      <c r="M647" s="71" t="s">
        <v>979</v>
      </c>
      <c r="N647" s="72" t="s">
        <v>814</v>
      </c>
      <c r="O647" s="68">
        <v>1</v>
      </c>
      <c r="P647" s="69" t="str">
        <f t="shared" si="233"/>
        <v>Takul Halal Festive Feasts Gyoza Dumplings | 800G X 6 - WEI001-04</v>
      </c>
      <c r="Q647" s="72"/>
      <c r="R647" s="72"/>
      <c r="S647" s="72"/>
      <c r="T647" s="72"/>
      <c r="U647" s="72"/>
      <c r="V647" s="72"/>
      <c r="W647" s="72" t="s">
        <v>1435</v>
      </c>
      <c r="X647" s="72" t="s">
        <v>982</v>
      </c>
      <c r="Y647" s="72" t="s">
        <v>982</v>
      </c>
      <c r="Z647" s="80">
        <v>45656</v>
      </c>
    </row>
    <row r="648" spans="1:26" x14ac:dyDescent="0.25">
      <c r="A648" s="68">
        <f t="shared" si="219"/>
        <v>668</v>
      </c>
      <c r="B648" s="69" t="s">
        <v>172</v>
      </c>
      <c r="C648" s="68" t="s">
        <v>3248</v>
      </c>
      <c r="D648" s="68" t="s">
        <v>3247</v>
      </c>
      <c r="E648" s="68" t="s">
        <v>885</v>
      </c>
      <c r="F648" s="68" t="s">
        <v>3286</v>
      </c>
      <c r="G648" s="68" t="s">
        <v>17</v>
      </c>
      <c r="H648" s="68" t="s">
        <v>939</v>
      </c>
      <c r="I648" s="68">
        <f t="shared" si="217"/>
        <v>1667</v>
      </c>
      <c r="J648" s="68" t="s">
        <v>3246</v>
      </c>
      <c r="K648" s="68" t="s">
        <v>3247</v>
      </c>
      <c r="L648" s="70">
        <v>850</v>
      </c>
      <c r="M648" s="71" t="s">
        <v>979</v>
      </c>
      <c r="N648" s="72" t="s">
        <v>814</v>
      </c>
      <c r="O648" s="68">
        <v>1</v>
      </c>
      <c r="P648" s="69" t="str">
        <f t="shared" si="233"/>
        <v>Takul Halal Festive Feasts Indian Savouries | 850G X 6 - BVEG001-01</v>
      </c>
      <c r="Q648" s="72"/>
      <c r="R648" s="72"/>
      <c r="S648" s="72"/>
      <c r="T648" s="72"/>
      <c r="U648" s="72"/>
      <c r="V648" s="72"/>
      <c r="W648" s="72" t="s">
        <v>1435</v>
      </c>
      <c r="X648" s="72" t="s">
        <v>982</v>
      </c>
      <c r="Y648" s="72" t="s">
        <v>982</v>
      </c>
      <c r="Z648" s="80">
        <v>45656</v>
      </c>
    </row>
    <row r="649" spans="1:26" x14ac:dyDescent="0.25">
      <c r="A649" s="68">
        <f t="shared" si="219"/>
        <v>669</v>
      </c>
      <c r="B649" s="69" t="s">
        <v>182</v>
      </c>
      <c r="C649" s="68" t="s">
        <v>3249</v>
      </c>
      <c r="D649" s="68" t="s">
        <v>3250</v>
      </c>
      <c r="E649" s="68" t="s">
        <v>886</v>
      </c>
      <c r="F649" s="68" t="s">
        <v>62</v>
      </c>
      <c r="G649" s="68" t="s">
        <v>6</v>
      </c>
      <c r="H649" s="68" t="s">
        <v>888</v>
      </c>
      <c r="I649" s="68">
        <f t="shared" si="217"/>
        <v>1668</v>
      </c>
      <c r="J649" s="68" t="s">
        <v>3251</v>
      </c>
      <c r="K649" s="68" t="s">
        <v>3250</v>
      </c>
      <c r="L649" s="70">
        <v>1</v>
      </c>
      <c r="M649" s="71" t="s">
        <v>980</v>
      </c>
      <c r="N649" s="72" t="s">
        <v>814</v>
      </c>
      <c r="O649" s="68">
        <v>1</v>
      </c>
      <c r="P649" s="69" t="str">
        <f t="shared" si="233"/>
        <v>Channa Masala Seasoning - GFF513R</v>
      </c>
      <c r="Q649" s="72"/>
      <c r="R649" s="72"/>
      <c r="S649" s="72"/>
      <c r="T649" s="72"/>
      <c r="U649" s="72"/>
      <c r="V649" s="72"/>
      <c r="W649" s="72" t="s">
        <v>1435</v>
      </c>
      <c r="X649" s="72" t="s">
        <v>1808</v>
      </c>
      <c r="Y649" s="72">
        <v>2</v>
      </c>
      <c r="Z649" s="80">
        <v>45674</v>
      </c>
    </row>
    <row r="650" spans="1:26" x14ac:dyDescent="0.25">
      <c r="A650" s="68">
        <f t="shared" si="219"/>
        <v>670</v>
      </c>
      <c r="B650" s="69" t="s">
        <v>182</v>
      </c>
      <c r="C650" s="68" t="s">
        <v>3252</v>
      </c>
      <c r="D650" s="68" t="s">
        <v>89</v>
      </c>
      <c r="E650" s="68" t="s">
        <v>886</v>
      </c>
      <c r="F650" s="68" t="s">
        <v>88</v>
      </c>
      <c r="G650" s="68" t="s">
        <v>6</v>
      </c>
      <c r="H650" s="68" t="s">
        <v>888</v>
      </c>
      <c r="I650" s="68">
        <f t="shared" si="217"/>
        <v>1669</v>
      </c>
      <c r="J650" s="68" t="s">
        <v>3253</v>
      </c>
      <c r="K650" s="68" t="s">
        <v>3254</v>
      </c>
      <c r="L650" s="70">
        <v>1</v>
      </c>
      <c r="M650" s="71" t="s">
        <v>980</v>
      </c>
      <c r="N650" s="72" t="s">
        <v>814</v>
      </c>
      <c r="O650" s="68">
        <v>1</v>
      </c>
      <c r="P650" s="69" t="str">
        <f t="shared" si="233"/>
        <v>Arrabiata Sauce - R1 - GFF514R</v>
      </c>
      <c r="Q650" s="72"/>
      <c r="R650" s="72"/>
      <c r="S650" s="72"/>
      <c r="T650" s="72"/>
      <c r="U650" s="72"/>
      <c r="V650" s="72"/>
      <c r="W650" s="72" t="s">
        <v>1435</v>
      </c>
      <c r="X650" s="72" t="s">
        <v>1481</v>
      </c>
      <c r="Y650" s="72">
        <v>3</v>
      </c>
      <c r="Z650" s="80">
        <v>45691</v>
      </c>
    </row>
    <row r="651" spans="1:26" x14ac:dyDescent="0.25">
      <c r="A651" s="68">
        <f t="shared" si="219"/>
        <v>671</v>
      </c>
      <c r="B651" s="69" t="s">
        <v>182</v>
      </c>
      <c r="C651" s="68" t="s">
        <v>3256</v>
      </c>
      <c r="D651" s="68" t="s">
        <v>3259</v>
      </c>
      <c r="E651" s="68" t="s">
        <v>886</v>
      </c>
      <c r="F651" s="68" t="s">
        <v>73</v>
      </c>
      <c r="G651" s="68" t="s">
        <v>6</v>
      </c>
      <c r="H651" s="68" t="s">
        <v>888</v>
      </c>
      <c r="I651" s="68">
        <f t="shared" si="217"/>
        <v>1670</v>
      </c>
      <c r="J651" s="68" t="s">
        <v>3262</v>
      </c>
      <c r="K651" s="68" t="s">
        <v>3265</v>
      </c>
      <c r="L651" s="70">
        <v>1</v>
      </c>
      <c r="M651" s="71" t="s">
        <v>979</v>
      </c>
      <c r="N651" s="72" t="s">
        <v>814</v>
      </c>
      <c r="O651" s="68">
        <v>1</v>
      </c>
      <c r="P651" s="69" t="str">
        <f t="shared" ref="P651" si="234">K651&amp;" - "&amp; C651</f>
        <v>Egg Fried Rice - R2 - GFF515R</v>
      </c>
      <c r="Q651" s="72"/>
      <c r="R651" s="72"/>
      <c r="S651" s="72"/>
      <c r="T651" s="72"/>
      <c r="U651" s="72"/>
      <c r="V651" s="72"/>
      <c r="W651" s="72" t="s">
        <v>1435</v>
      </c>
      <c r="X651" s="72" t="s">
        <v>1499</v>
      </c>
      <c r="Y651" s="72">
        <v>3</v>
      </c>
      <c r="Z651" s="80">
        <v>45694</v>
      </c>
    </row>
    <row r="652" spans="1:26" x14ac:dyDescent="0.25">
      <c r="A652" s="68">
        <f t="shared" si="219"/>
        <v>672</v>
      </c>
      <c r="B652" s="69" t="s">
        <v>182</v>
      </c>
      <c r="C652" s="68" t="s">
        <v>3257</v>
      </c>
      <c r="D652" s="68" t="s">
        <v>3260</v>
      </c>
      <c r="E652" s="68" t="s">
        <v>1628</v>
      </c>
      <c r="F652" s="68" t="s">
        <v>128</v>
      </c>
      <c r="G652" s="68" t="s">
        <v>6</v>
      </c>
      <c r="H652" s="68" t="s">
        <v>888</v>
      </c>
      <c r="I652" s="68">
        <f t="shared" si="217"/>
        <v>1671</v>
      </c>
      <c r="J652" s="68" t="s">
        <v>3263</v>
      </c>
      <c r="K652" s="68" t="s">
        <v>3266</v>
      </c>
      <c r="L652" s="70">
        <v>1</v>
      </c>
      <c r="M652" s="71" t="s">
        <v>979</v>
      </c>
      <c r="N652" s="72" t="s">
        <v>814</v>
      </c>
      <c r="O652" s="74">
        <v>202</v>
      </c>
      <c r="P652" s="69" t="str">
        <f t="shared" ref="P652" si="235">K652&amp;" - "&amp; C652</f>
        <v>Katsu Chicken Bites - Cook - GFF516R</v>
      </c>
      <c r="Q652" s="72"/>
      <c r="R652" s="72"/>
      <c r="S652" s="72"/>
      <c r="T652" s="72"/>
      <c r="U652" s="72"/>
      <c r="V652" s="72"/>
      <c r="W652" s="72" t="s">
        <v>1435</v>
      </c>
      <c r="X652" s="72" t="s">
        <v>3268</v>
      </c>
      <c r="Y652" s="72">
        <v>2</v>
      </c>
      <c r="Z652" s="80">
        <v>45694</v>
      </c>
    </row>
    <row r="653" spans="1:26" x14ac:dyDescent="0.25">
      <c r="A653" s="68">
        <f t="shared" si="219"/>
        <v>673</v>
      </c>
      <c r="B653" s="69" t="s">
        <v>182</v>
      </c>
      <c r="C653" s="68" t="s">
        <v>3258</v>
      </c>
      <c r="D653" s="68" t="s">
        <v>3261</v>
      </c>
      <c r="E653" s="68" t="s">
        <v>885</v>
      </c>
      <c r="F653" s="68" t="s">
        <v>1840</v>
      </c>
      <c r="G653" s="68" t="s">
        <v>6</v>
      </c>
      <c r="H653" s="68" t="s">
        <v>888</v>
      </c>
      <c r="I653" s="68">
        <f t="shared" si="217"/>
        <v>1672</v>
      </c>
      <c r="J653" s="68" t="s">
        <v>3264</v>
      </c>
      <c r="K653" s="68" t="s">
        <v>3267</v>
      </c>
      <c r="L653" s="70">
        <v>25</v>
      </c>
      <c r="M653" s="71" t="s">
        <v>980</v>
      </c>
      <c r="N653" s="72" t="s">
        <v>814</v>
      </c>
      <c r="O653" s="68">
        <v>4400</v>
      </c>
      <c r="P653" s="69" t="str">
        <f t="shared" ref="P653:P656" si="236">K653&amp;" - "&amp; C653</f>
        <v>Thai Corn Fritters 25G - GFF517R</v>
      </c>
      <c r="Q653" s="72"/>
      <c r="R653" s="72"/>
      <c r="S653" s="72"/>
      <c r="T653" s="72"/>
      <c r="U653" s="72"/>
      <c r="V653" s="72"/>
      <c r="W653" s="72" t="s">
        <v>1435</v>
      </c>
      <c r="X653" s="72" t="s">
        <v>1501</v>
      </c>
      <c r="Y653" s="72">
        <v>3</v>
      </c>
      <c r="Z653" s="80">
        <v>45694</v>
      </c>
    </row>
    <row r="654" spans="1:26" x14ac:dyDescent="0.25">
      <c r="A654" s="68">
        <f t="shared" si="219"/>
        <v>674</v>
      </c>
      <c r="B654" s="69" t="s">
        <v>182</v>
      </c>
      <c r="C654" s="68" t="s">
        <v>3269</v>
      </c>
      <c r="D654" s="68" t="s">
        <v>3271</v>
      </c>
      <c r="E654" s="68" t="s">
        <v>886</v>
      </c>
      <c r="F654" s="68" t="s">
        <v>128</v>
      </c>
      <c r="G654" s="68" t="s">
        <v>6</v>
      </c>
      <c r="H654" s="68" t="s">
        <v>888</v>
      </c>
      <c r="I654" s="68">
        <f t="shared" si="217"/>
        <v>1673</v>
      </c>
      <c r="J654" s="68" t="s">
        <v>3272</v>
      </c>
      <c r="K654" s="68" t="s">
        <v>3271</v>
      </c>
      <c r="L654" s="70">
        <v>1</v>
      </c>
      <c r="M654" s="71" t="s">
        <v>979</v>
      </c>
      <c r="N654" s="72" t="s">
        <v>814</v>
      </c>
      <c r="O654" s="68">
        <v>1</v>
      </c>
      <c r="P654" s="69" t="str">
        <f t="shared" si="236"/>
        <v>Danora Chicken Tikka Samosa Jumbo Mix - GFF518R</v>
      </c>
      <c r="Q654" s="72"/>
      <c r="R654" s="72"/>
      <c r="S654" s="72"/>
      <c r="T654" s="72"/>
      <c r="U654" s="72"/>
      <c r="V654" s="72"/>
      <c r="W654" s="72" t="s">
        <v>1435</v>
      </c>
      <c r="X654" s="72" t="s">
        <v>1814</v>
      </c>
      <c r="Y654" s="72">
        <v>3</v>
      </c>
      <c r="Z654" s="80">
        <v>45743</v>
      </c>
    </row>
    <row r="655" spans="1:26" x14ac:dyDescent="0.25">
      <c r="A655" s="68">
        <f t="shared" si="219"/>
        <v>675</v>
      </c>
      <c r="B655" s="69" t="s">
        <v>182</v>
      </c>
      <c r="C655" s="68" t="s">
        <v>3273</v>
      </c>
      <c r="D655" s="68" t="s">
        <v>3270</v>
      </c>
      <c r="E655" s="68" t="s">
        <v>885</v>
      </c>
      <c r="F655" s="68" t="s">
        <v>4</v>
      </c>
      <c r="G655" s="68" t="s">
        <v>6</v>
      </c>
      <c r="H655" s="68" t="s">
        <v>888</v>
      </c>
      <c r="I655" s="68">
        <f t="shared" si="217"/>
        <v>1674</v>
      </c>
      <c r="J655" s="68" t="s">
        <v>3274</v>
      </c>
      <c r="K655" s="68" t="s">
        <v>3275</v>
      </c>
      <c r="L655" s="70">
        <v>120</v>
      </c>
      <c r="M655" s="71" t="s">
        <v>979</v>
      </c>
      <c r="N655" s="72" t="s">
        <v>814</v>
      </c>
      <c r="O655" s="68">
        <v>3250</v>
      </c>
      <c r="P655" s="69" t="str">
        <f t="shared" si="236"/>
        <v>Danora Chicken Tikka Samosa 120G - GFF519R</v>
      </c>
      <c r="Q655" s="72">
        <v>30</v>
      </c>
      <c r="R655" s="72">
        <v>24</v>
      </c>
      <c r="S655" s="72">
        <v>18</v>
      </c>
      <c r="T655" s="72">
        <v>12</v>
      </c>
      <c r="U655" s="72">
        <v>6</v>
      </c>
      <c r="V655" s="72"/>
      <c r="W655" s="72" t="s">
        <v>1435</v>
      </c>
      <c r="X655" s="72" t="s">
        <v>1502</v>
      </c>
      <c r="Y655" s="72">
        <v>3</v>
      </c>
      <c r="Z655" s="80">
        <v>45743</v>
      </c>
    </row>
    <row r="656" spans="1:26" x14ac:dyDescent="0.25">
      <c r="A656" s="68">
        <f t="shared" si="219"/>
        <v>676</v>
      </c>
      <c r="B656" s="69" t="s">
        <v>3232</v>
      </c>
      <c r="C656" s="68" t="s">
        <v>3278</v>
      </c>
      <c r="D656" s="68" t="s">
        <v>3279</v>
      </c>
      <c r="E656" s="68" t="s">
        <v>885</v>
      </c>
      <c r="F656" s="68" t="s">
        <v>56</v>
      </c>
      <c r="G656" s="68" t="s">
        <v>17</v>
      </c>
      <c r="H656" s="68" t="s">
        <v>888</v>
      </c>
      <c r="I656" s="68">
        <f t="shared" si="217"/>
        <v>1675</v>
      </c>
      <c r="J656" s="68" t="s">
        <v>3278</v>
      </c>
      <c r="K656" s="68" t="s">
        <v>3279</v>
      </c>
      <c r="L656" s="70">
        <v>20</v>
      </c>
      <c r="M656" s="71" t="s">
        <v>980</v>
      </c>
      <c r="N656" s="72" t="s">
        <v>814</v>
      </c>
      <c r="O656" s="68">
        <v>1</v>
      </c>
      <c r="P656" s="69" t="str">
        <f t="shared" si="236"/>
        <v>Vegetable Gyoza 20G - WEI002-07</v>
      </c>
      <c r="Q656" s="72"/>
      <c r="R656" s="72"/>
      <c r="S656" s="72"/>
      <c r="T656" s="72"/>
      <c r="U656" s="72"/>
      <c r="V656" s="72"/>
      <c r="W656" s="72" t="s">
        <v>1435</v>
      </c>
      <c r="X656" s="72" t="s">
        <v>1725</v>
      </c>
      <c r="Y656" s="72">
        <v>1</v>
      </c>
      <c r="Z656" s="80">
        <v>45838</v>
      </c>
    </row>
    <row r="657" spans="1:26" x14ac:dyDescent="0.25">
      <c r="A657" s="68">
        <f t="shared" si="219"/>
        <v>677</v>
      </c>
      <c r="B657" s="69" t="s">
        <v>172</v>
      </c>
      <c r="C657" s="68" t="s">
        <v>3282</v>
      </c>
      <c r="D657" s="68" t="s">
        <v>3280</v>
      </c>
      <c r="E657" s="68" t="s">
        <v>885</v>
      </c>
      <c r="F657" s="68" t="s">
        <v>3286</v>
      </c>
      <c r="G657" s="68" t="s">
        <v>17</v>
      </c>
      <c r="H657" s="68" t="s">
        <v>888</v>
      </c>
      <c r="I657" s="68">
        <f t="shared" si="217"/>
        <v>1676</v>
      </c>
      <c r="J657" s="68" t="s">
        <v>3282</v>
      </c>
      <c r="K657" s="68" t="s">
        <v>3284</v>
      </c>
      <c r="L657" s="70">
        <v>1600</v>
      </c>
      <c r="M657" s="71" t="s">
        <v>980</v>
      </c>
      <c r="N657" s="72" t="s">
        <v>814</v>
      </c>
      <c r="O657" s="68">
        <v>1</v>
      </c>
      <c r="P657" s="69" t="str">
        <f t="shared" ref="P657:P659" si="237">K657&amp;" - "&amp; C657</f>
        <v>Gc- 40 Onion Bhaji 40G RSL| 1600G - SRI001-05</v>
      </c>
      <c r="Q657" s="72"/>
      <c r="R657" s="72"/>
      <c r="S657" s="72"/>
      <c r="T657" s="72"/>
      <c r="U657" s="72"/>
      <c r="V657" s="72"/>
      <c r="W657" s="72" t="s">
        <v>1435</v>
      </c>
      <c r="X657" s="72" t="s">
        <v>982</v>
      </c>
      <c r="Y657" s="72" t="s">
        <v>982</v>
      </c>
      <c r="Z657" s="80">
        <v>45839</v>
      </c>
    </row>
    <row r="658" spans="1:26" x14ac:dyDescent="0.25">
      <c r="A658" s="68">
        <f t="shared" si="219"/>
        <v>678</v>
      </c>
      <c r="B658" s="69" t="s">
        <v>172</v>
      </c>
      <c r="C658" s="68" t="s">
        <v>3283</v>
      </c>
      <c r="D658" s="68" t="s">
        <v>3281</v>
      </c>
      <c r="E658" s="68" t="s">
        <v>885</v>
      </c>
      <c r="F658" s="68" t="s">
        <v>3286</v>
      </c>
      <c r="G658" s="68" t="s">
        <v>17</v>
      </c>
      <c r="H658" s="68" t="s">
        <v>888</v>
      </c>
      <c r="I658" s="68">
        <f t="shared" si="217"/>
        <v>1677</v>
      </c>
      <c r="J658" s="68" t="s">
        <v>3283</v>
      </c>
      <c r="K658" s="68" t="s">
        <v>3285</v>
      </c>
      <c r="L658" s="70">
        <v>1200</v>
      </c>
      <c r="M658" s="71" t="s">
        <v>980</v>
      </c>
      <c r="N658" s="72" t="s">
        <v>814</v>
      </c>
      <c r="O658" s="68">
        <v>1</v>
      </c>
      <c r="P658" s="69" t="str">
        <f t="shared" si="237"/>
        <v>Gc- 30 Vegetable Samosa 40G RSL | 1200G - SRI001-06</v>
      </c>
      <c r="Q658" s="72"/>
      <c r="R658" s="72"/>
      <c r="S658" s="72"/>
      <c r="T658" s="72"/>
      <c r="U658" s="72"/>
      <c r="V658" s="72"/>
      <c r="W658" s="72" t="s">
        <v>1435</v>
      </c>
      <c r="X658" s="72" t="s">
        <v>1501</v>
      </c>
      <c r="Y658" s="72">
        <v>3</v>
      </c>
      <c r="Z658" s="80">
        <v>45839</v>
      </c>
    </row>
    <row r="659" spans="1:26" x14ac:dyDescent="0.25">
      <c r="A659" s="68">
        <f t="shared" si="219"/>
        <v>679</v>
      </c>
      <c r="B659" s="69" t="s">
        <v>182</v>
      </c>
      <c r="C659" s="68" t="s">
        <v>3287</v>
      </c>
      <c r="D659" s="68" t="s">
        <v>3288</v>
      </c>
      <c r="E659" s="68" t="s">
        <v>885</v>
      </c>
      <c r="F659" s="68" t="s">
        <v>4</v>
      </c>
      <c r="G659" s="68" t="s">
        <v>6</v>
      </c>
      <c r="H659" s="68" t="s">
        <v>888</v>
      </c>
      <c r="I659" s="68">
        <f t="shared" si="217"/>
        <v>1678</v>
      </c>
      <c r="J659" s="68" t="s">
        <v>3289</v>
      </c>
      <c r="K659" s="68" t="s">
        <v>3288</v>
      </c>
      <c r="L659" s="70">
        <v>25</v>
      </c>
      <c r="M659" s="71" t="s">
        <v>979</v>
      </c>
      <c r="N659" s="72" t="s">
        <v>814</v>
      </c>
      <c r="O659" s="68">
        <v>10000</v>
      </c>
      <c r="P659" s="69" t="str">
        <f t="shared" si="237"/>
        <v>Danora Chicken Tikka Samosa 25G - GFF529R</v>
      </c>
      <c r="Q659" s="72">
        <v>42.5</v>
      </c>
      <c r="R659" s="72">
        <f t="shared" ref="R659" si="238">($Q659/5)*4</f>
        <v>34</v>
      </c>
      <c r="S659" s="72">
        <f t="shared" ref="S659" si="239">($Q659/5)*3</f>
        <v>25.5</v>
      </c>
      <c r="T659" s="72">
        <f t="shared" ref="T659" si="240">($Q659/5)*2</f>
        <v>17</v>
      </c>
      <c r="U659" s="72">
        <f t="shared" ref="U659" si="241">($Q659/5)*1</f>
        <v>8.5</v>
      </c>
      <c r="V659" s="72"/>
      <c r="W659" s="72" t="s">
        <v>1435</v>
      </c>
      <c r="X659" s="72" t="s">
        <v>1499</v>
      </c>
      <c r="Y659" s="72">
        <v>3</v>
      </c>
      <c r="Z659" s="80">
        <v>45853</v>
      </c>
    </row>
    <row r="660" spans="1:26" x14ac:dyDescent="0.25">
      <c r="A660" s="68">
        <f t="shared" si="219"/>
        <v>680</v>
      </c>
      <c r="B660" s="69" t="s">
        <v>182</v>
      </c>
      <c r="C660" s="68" t="s">
        <v>3290</v>
      </c>
      <c r="D660" s="68" t="s">
        <v>3311</v>
      </c>
      <c r="E660" s="68" t="s">
        <v>886</v>
      </c>
      <c r="F660" s="68" t="s">
        <v>3220</v>
      </c>
      <c r="G660" s="68" t="s">
        <v>6</v>
      </c>
      <c r="H660" s="68" t="s">
        <v>888</v>
      </c>
      <c r="I660" s="68">
        <f t="shared" si="217"/>
        <v>1679</v>
      </c>
      <c r="J660" s="68" t="s">
        <v>3300</v>
      </c>
      <c r="K660" s="68" t="s">
        <v>3311</v>
      </c>
      <c r="L660" s="70">
        <v>1</v>
      </c>
      <c r="M660" s="71" t="s">
        <v>980</v>
      </c>
      <c r="N660" s="72" t="s">
        <v>814</v>
      </c>
      <c r="O660" s="68">
        <v>1</v>
      </c>
      <c r="P660" s="69" t="str">
        <f t="shared" ref="P660:P663" si="242">K660&amp;" - "&amp; C660</f>
        <v>Vegetable Spring Roll Mix - GFF114-1R</v>
      </c>
      <c r="Q660" s="72"/>
      <c r="R660" s="72"/>
      <c r="S660" s="72"/>
      <c r="T660" s="72"/>
      <c r="U660" s="72"/>
      <c r="V660" s="72"/>
      <c r="W660" s="72" t="s">
        <v>1435</v>
      </c>
      <c r="X660" s="72" t="s">
        <v>1493</v>
      </c>
      <c r="Y660" s="72">
        <v>3</v>
      </c>
      <c r="Z660" s="80">
        <v>45855</v>
      </c>
    </row>
    <row r="661" spans="1:26" x14ac:dyDescent="0.25">
      <c r="A661" s="68">
        <f t="shared" si="219"/>
        <v>681</v>
      </c>
      <c r="B661" s="69" t="s">
        <v>182</v>
      </c>
      <c r="C661" s="68" t="s">
        <v>3291</v>
      </c>
      <c r="D661" s="68" t="s">
        <v>3296</v>
      </c>
      <c r="E661" s="68" t="s">
        <v>885</v>
      </c>
      <c r="F661" s="68" t="s">
        <v>32</v>
      </c>
      <c r="G661" s="68" t="s">
        <v>6</v>
      </c>
      <c r="H661" s="68" t="s">
        <v>888</v>
      </c>
      <c r="I661" s="68">
        <f t="shared" si="217"/>
        <v>1680</v>
      </c>
      <c r="J661" s="68" t="s">
        <v>3301</v>
      </c>
      <c r="K661" s="68" t="s">
        <v>3296</v>
      </c>
      <c r="L661" s="70">
        <v>85</v>
      </c>
      <c r="M661" s="71" t="s">
        <v>980</v>
      </c>
      <c r="N661" s="72" t="s">
        <v>814</v>
      </c>
      <c r="O661" s="68">
        <v>3250</v>
      </c>
      <c r="P661" s="69" t="str">
        <f t="shared" si="242"/>
        <v>Vegetable Spring Rolls (TYJ) 85G - GFF530R</v>
      </c>
      <c r="Q661" s="72">
        <v>24.2</v>
      </c>
      <c r="R661" s="72">
        <f t="shared" ref="R661" si="243">($Q661/5)*4</f>
        <v>19.36</v>
      </c>
      <c r="S661" s="72">
        <f t="shared" ref="S661" si="244">($Q661/5)*3</f>
        <v>14.52</v>
      </c>
      <c r="T661" s="72">
        <f t="shared" ref="T661" si="245">($Q661/5)*2</f>
        <v>9.68</v>
      </c>
      <c r="U661" s="72">
        <f t="shared" ref="U661" si="246">($Q661/5)*1</f>
        <v>4.84</v>
      </c>
      <c r="V661" s="72"/>
      <c r="W661" s="72" t="s">
        <v>1435</v>
      </c>
      <c r="X661" s="72" t="s">
        <v>3310</v>
      </c>
      <c r="Y661" s="72">
        <v>2</v>
      </c>
      <c r="Z661" s="80">
        <v>45855</v>
      </c>
    </row>
    <row r="662" spans="1:26" x14ac:dyDescent="0.25">
      <c r="A662" s="68">
        <f t="shared" si="219"/>
        <v>682</v>
      </c>
      <c r="B662" s="69" t="s">
        <v>182</v>
      </c>
      <c r="C662" s="68" t="s">
        <v>3292</v>
      </c>
      <c r="D662" s="68" t="s">
        <v>3297</v>
      </c>
      <c r="E662" s="68" t="s">
        <v>886</v>
      </c>
      <c r="F662" s="68" t="s">
        <v>609</v>
      </c>
      <c r="G662" s="68" t="s">
        <v>6</v>
      </c>
      <c r="H662" s="68" t="s">
        <v>888</v>
      </c>
      <c r="I662" s="68">
        <f t="shared" si="217"/>
        <v>1681</v>
      </c>
      <c r="J662" s="68" t="s">
        <v>3302</v>
      </c>
      <c r="K662" s="68" t="s">
        <v>3297</v>
      </c>
      <c r="L662" s="70">
        <v>1</v>
      </c>
      <c r="M662" s="71" t="s">
        <v>979</v>
      </c>
      <c r="N662" s="72" t="s">
        <v>814</v>
      </c>
      <c r="O662" s="68">
        <v>1</v>
      </c>
      <c r="P662" s="69" t="str">
        <f t="shared" si="242"/>
        <v>Lamb Samosa Mix - GFF005-1R</v>
      </c>
      <c r="Q662" s="72"/>
      <c r="R662" s="72"/>
      <c r="S662" s="72"/>
      <c r="T662" s="72"/>
      <c r="U662" s="72"/>
      <c r="V662" s="72"/>
      <c r="W662" s="72" t="s">
        <v>1435</v>
      </c>
      <c r="X662" s="72" t="s">
        <v>1814</v>
      </c>
      <c r="Y662" s="72">
        <v>3</v>
      </c>
      <c r="Z662" s="80">
        <v>45855</v>
      </c>
    </row>
    <row r="663" spans="1:26" x14ac:dyDescent="0.25">
      <c r="A663" s="68">
        <f t="shared" si="219"/>
        <v>683</v>
      </c>
      <c r="B663" s="69" t="s">
        <v>182</v>
      </c>
      <c r="C663" s="68" t="s">
        <v>3293</v>
      </c>
      <c r="D663" s="68" t="s">
        <v>3307</v>
      </c>
      <c r="E663" s="68" t="s">
        <v>885</v>
      </c>
      <c r="F663" s="68" t="s">
        <v>23</v>
      </c>
      <c r="G663" s="68" t="s">
        <v>6</v>
      </c>
      <c r="H663" s="68" t="s">
        <v>888</v>
      </c>
      <c r="I663" s="68">
        <f t="shared" si="217"/>
        <v>1682</v>
      </c>
      <c r="J663" s="68" t="s">
        <v>3303</v>
      </c>
      <c r="K663" s="68" t="s">
        <v>3307</v>
      </c>
      <c r="L663" s="70">
        <v>100</v>
      </c>
      <c r="M663" s="71" t="s">
        <v>979</v>
      </c>
      <c r="N663" s="72" t="s">
        <v>814</v>
      </c>
      <c r="O663" s="68">
        <v>2800</v>
      </c>
      <c r="P663" s="69" t="str">
        <f t="shared" si="242"/>
        <v>Lamb Samosa 100G (Seeded) - GFF531R</v>
      </c>
      <c r="Q663" s="72">
        <v>27</v>
      </c>
      <c r="R663" s="72">
        <f t="shared" ref="R663" si="247">($Q663/5)*4</f>
        <v>21.6</v>
      </c>
      <c r="S663" s="72">
        <f t="shared" ref="S663" si="248">($Q663/5)*3</f>
        <v>16.200000000000003</v>
      </c>
      <c r="T663" s="72">
        <f t="shared" ref="T663" si="249">($Q663/5)*2</f>
        <v>10.8</v>
      </c>
      <c r="U663" s="72">
        <f t="shared" ref="U663" si="250">($Q663/5)*1</f>
        <v>5.4</v>
      </c>
      <c r="V663" s="72"/>
      <c r="W663" s="72" t="s">
        <v>1435</v>
      </c>
      <c r="X663" s="72" t="s">
        <v>3308</v>
      </c>
      <c r="Y663" s="72">
        <v>3</v>
      </c>
      <c r="Z663" s="80">
        <v>45855</v>
      </c>
    </row>
    <row r="664" spans="1:26" x14ac:dyDescent="0.25">
      <c r="A664" s="68">
        <f t="shared" si="219"/>
        <v>684</v>
      </c>
      <c r="B664" s="69" t="s">
        <v>182</v>
      </c>
      <c r="C664" s="68" t="s">
        <v>3294</v>
      </c>
      <c r="D664" s="68" t="s">
        <v>3298</v>
      </c>
      <c r="E664" s="68" t="s">
        <v>886</v>
      </c>
      <c r="F664" s="68" t="s">
        <v>3299</v>
      </c>
      <c r="G664" s="68" t="s">
        <v>6</v>
      </c>
      <c r="H664" s="68" t="s">
        <v>888</v>
      </c>
      <c r="I664" s="68">
        <f t="shared" si="217"/>
        <v>1683</v>
      </c>
      <c r="J664" s="68" t="s">
        <v>3304</v>
      </c>
      <c r="K664" s="68" t="s">
        <v>3298</v>
      </c>
      <c r="L664" s="70">
        <v>1</v>
      </c>
      <c r="M664" s="71" t="s">
        <v>979</v>
      </c>
      <c r="N664" s="72" t="s">
        <v>814</v>
      </c>
      <c r="O664" s="68">
        <v>1</v>
      </c>
      <c r="P664" s="69" t="str">
        <f t="shared" ref="P664:P667" si="251">K664&amp;" - "&amp; C664</f>
        <v>Chicken Tikka Samosa Mix  - GFF004-1R</v>
      </c>
      <c r="Q664" s="72"/>
      <c r="R664" s="72"/>
      <c r="S664" s="72"/>
      <c r="T664" s="72"/>
      <c r="U664" s="72"/>
      <c r="V664" s="72"/>
      <c r="W664" s="72" t="s">
        <v>1435</v>
      </c>
      <c r="X664" s="72" t="s">
        <v>1814</v>
      </c>
      <c r="Y664" s="72">
        <v>3</v>
      </c>
      <c r="Z664" s="80">
        <v>45855</v>
      </c>
    </row>
    <row r="665" spans="1:26" x14ac:dyDescent="0.25">
      <c r="A665" s="68">
        <f t="shared" si="219"/>
        <v>685</v>
      </c>
      <c r="B665" s="69" t="s">
        <v>182</v>
      </c>
      <c r="C665" s="68" t="s">
        <v>3295</v>
      </c>
      <c r="D665" s="68" t="s">
        <v>3306</v>
      </c>
      <c r="E665" s="68" t="s">
        <v>885</v>
      </c>
      <c r="F665" s="68" t="s">
        <v>4</v>
      </c>
      <c r="G665" s="68" t="s">
        <v>6</v>
      </c>
      <c r="H665" s="68" t="s">
        <v>888</v>
      </c>
      <c r="I665" s="68">
        <f t="shared" si="217"/>
        <v>1684</v>
      </c>
      <c r="J665" s="68" t="s">
        <v>3305</v>
      </c>
      <c r="K665" s="68" t="s">
        <v>3306</v>
      </c>
      <c r="L665" s="70">
        <v>100</v>
      </c>
      <c r="M665" s="71" t="s">
        <v>979</v>
      </c>
      <c r="N665" s="72" t="s">
        <v>814</v>
      </c>
      <c r="O665" s="68">
        <v>2900</v>
      </c>
      <c r="P665" s="69" t="str">
        <f t="shared" si="251"/>
        <v>Chicken Tikka Samosa 100G (Yellow) - GFF532R</v>
      </c>
      <c r="Q665" s="72">
        <v>25</v>
      </c>
      <c r="R665" s="72">
        <f>($Q665/5)*4</f>
        <v>20</v>
      </c>
      <c r="S665" s="72">
        <f>($Q665/5)*3</f>
        <v>15</v>
      </c>
      <c r="T665" s="72">
        <f>($Q665/5)*2</f>
        <v>10</v>
      </c>
      <c r="U665" s="72">
        <f>($Q665/5)*1</f>
        <v>5</v>
      </c>
      <c r="V665" s="72"/>
      <c r="W665" s="72" t="s">
        <v>1435</v>
      </c>
      <c r="X665" s="72" t="s">
        <v>1502</v>
      </c>
      <c r="Y665" s="72">
        <v>3</v>
      </c>
      <c r="Z665" s="80">
        <v>45855</v>
      </c>
    </row>
    <row r="666" spans="1:26" x14ac:dyDescent="0.25">
      <c r="A666" s="68">
        <f t="shared" si="219"/>
        <v>686</v>
      </c>
      <c r="B666" s="69" t="s">
        <v>182</v>
      </c>
      <c r="C666" s="68" t="s">
        <v>3312</v>
      </c>
      <c r="D666" s="68" t="s">
        <v>3322</v>
      </c>
      <c r="E666" s="68" t="s">
        <v>886</v>
      </c>
      <c r="F666" s="68" t="s">
        <v>62</v>
      </c>
      <c r="G666" s="68" t="s">
        <v>6</v>
      </c>
      <c r="H666" s="68" t="s">
        <v>888</v>
      </c>
      <c r="I666" s="68">
        <f t="shared" si="217"/>
        <v>1685</v>
      </c>
      <c r="J666" s="68" t="s">
        <v>3334</v>
      </c>
      <c r="K666" s="68" t="s">
        <v>3322</v>
      </c>
      <c r="L666" s="70">
        <v>1</v>
      </c>
      <c r="M666" s="71" t="s">
        <v>980</v>
      </c>
      <c r="N666" s="72" t="s">
        <v>814</v>
      </c>
      <c r="O666" s="68">
        <v>1</v>
      </c>
      <c r="P666" s="69" t="str">
        <f t="shared" si="251"/>
        <v>OA-Special Pilau Rice - GFF520R</v>
      </c>
      <c r="Q666" s="72"/>
      <c r="R666" s="72"/>
      <c r="S666" s="72"/>
      <c r="T666" s="72"/>
      <c r="U666" s="72"/>
      <c r="V666" s="72"/>
      <c r="W666" s="72" t="s">
        <v>1435</v>
      </c>
      <c r="X666" s="72" t="s">
        <v>982</v>
      </c>
      <c r="Y666" s="72" t="s">
        <v>982</v>
      </c>
      <c r="Z666" s="80">
        <v>45860</v>
      </c>
    </row>
    <row r="667" spans="1:26" x14ac:dyDescent="0.25">
      <c r="A667" s="68">
        <f t="shared" si="219"/>
        <v>687</v>
      </c>
      <c r="B667" s="69" t="s">
        <v>182</v>
      </c>
      <c r="C667" s="68" t="s">
        <v>3313</v>
      </c>
      <c r="D667" s="68" t="s">
        <v>3323</v>
      </c>
      <c r="E667" s="68" t="s">
        <v>886</v>
      </c>
      <c r="F667" s="68" t="s">
        <v>62</v>
      </c>
      <c r="G667" s="68" t="s">
        <v>6</v>
      </c>
      <c r="H667" s="68" t="s">
        <v>888</v>
      </c>
      <c r="I667" s="68">
        <f t="shared" si="217"/>
        <v>1686</v>
      </c>
      <c r="J667" s="68" t="s">
        <v>3335</v>
      </c>
      <c r="K667" s="68" t="s">
        <v>3323</v>
      </c>
      <c r="L667" s="70">
        <v>1</v>
      </c>
      <c r="M667" s="71" t="s">
        <v>980</v>
      </c>
      <c r="N667" s="72" t="s">
        <v>814</v>
      </c>
      <c r="O667" s="68">
        <v>1</v>
      </c>
      <c r="P667" s="69" t="str">
        <f t="shared" si="251"/>
        <v>OA- Korma Sauce - GFF521R</v>
      </c>
      <c r="Q667" s="72"/>
      <c r="R667" s="72"/>
      <c r="S667" s="72"/>
      <c r="T667" s="72"/>
      <c r="U667" s="72"/>
      <c r="V667" s="72"/>
      <c r="W667" s="72" t="s">
        <v>1435</v>
      </c>
      <c r="X667" s="72" t="s">
        <v>1480</v>
      </c>
      <c r="Y667" s="72">
        <v>2</v>
      </c>
      <c r="Z667" s="80">
        <v>45860</v>
      </c>
    </row>
    <row r="668" spans="1:26" x14ac:dyDescent="0.25">
      <c r="A668" s="68">
        <f t="shared" si="219"/>
        <v>688</v>
      </c>
      <c r="B668" s="69" t="s">
        <v>182</v>
      </c>
      <c r="C668" s="68" t="s">
        <v>3314</v>
      </c>
      <c r="D668" s="68" t="s">
        <v>3324</v>
      </c>
      <c r="E668" s="68" t="s">
        <v>886</v>
      </c>
      <c r="F668" s="68" t="s">
        <v>62</v>
      </c>
      <c r="G668" s="68" t="s">
        <v>6</v>
      </c>
      <c r="H668" s="68" t="s">
        <v>888</v>
      </c>
      <c r="I668" s="68">
        <f t="shared" si="217"/>
        <v>1687</v>
      </c>
      <c r="J668" s="68" t="s">
        <v>3336</v>
      </c>
      <c r="K668" s="68" t="s">
        <v>3324</v>
      </c>
      <c r="L668" s="70">
        <v>1</v>
      </c>
      <c r="M668" s="71" t="s">
        <v>980</v>
      </c>
      <c r="N668" s="72" t="s">
        <v>814</v>
      </c>
      <c r="O668" s="68">
        <v>1</v>
      </c>
      <c r="P668" s="69" t="str">
        <f t="shared" ref="P668:P672" si="252">K668&amp;" - "&amp; C668</f>
        <v>OA-Butter Sauce - GFF522R</v>
      </c>
      <c r="Q668" s="72"/>
      <c r="R668" s="72"/>
      <c r="S668" s="72"/>
      <c r="T668" s="72"/>
      <c r="U668" s="72"/>
      <c r="V668" s="72"/>
      <c r="W668" s="72" t="s">
        <v>1435</v>
      </c>
      <c r="X668" s="72" t="s">
        <v>1480</v>
      </c>
      <c r="Y668" s="72">
        <v>2</v>
      </c>
      <c r="Z668" s="80">
        <v>45860</v>
      </c>
    </row>
    <row r="669" spans="1:26" x14ac:dyDescent="0.25">
      <c r="A669" s="68">
        <f t="shared" si="219"/>
        <v>689</v>
      </c>
      <c r="B669" s="69" t="s">
        <v>182</v>
      </c>
      <c r="C669" s="68" t="s">
        <v>3315</v>
      </c>
      <c r="D669" s="68" t="s">
        <v>3325</v>
      </c>
      <c r="E669" s="68" t="s">
        <v>886</v>
      </c>
      <c r="F669" s="68" t="s">
        <v>62</v>
      </c>
      <c r="G669" s="68" t="s">
        <v>6</v>
      </c>
      <c r="H669" s="68" t="s">
        <v>888</v>
      </c>
      <c r="I669" s="68">
        <f t="shared" si="217"/>
        <v>1688</v>
      </c>
      <c r="J669" s="68" t="s">
        <v>3337</v>
      </c>
      <c r="K669" s="68" t="s">
        <v>3325</v>
      </c>
      <c r="L669" s="70">
        <v>1</v>
      </c>
      <c r="M669" s="71" t="s">
        <v>980</v>
      </c>
      <c r="N669" s="72" t="s">
        <v>814</v>
      </c>
      <c r="O669" s="68">
        <v>1</v>
      </c>
      <c r="P669" s="69" t="str">
        <f t="shared" si="252"/>
        <v>OA-Jalfrezi Sauce - GFF523R</v>
      </c>
      <c r="Q669" s="72"/>
      <c r="R669" s="72"/>
      <c r="S669" s="72"/>
      <c r="T669" s="72"/>
      <c r="U669" s="72"/>
      <c r="V669" s="72"/>
      <c r="W669" s="72" t="s">
        <v>1435</v>
      </c>
      <c r="X669" s="72" t="s">
        <v>982</v>
      </c>
      <c r="Y669" s="72" t="s">
        <v>982</v>
      </c>
      <c r="Z669" s="80">
        <v>45860</v>
      </c>
    </row>
    <row r="670" spans="1:26" x14ac:dyDescent="0.25">
      <c r="A670" s="68">
        <f t="shared" si="219"/>
        <v>690</v>
      </c>
      <c r="B670" s="69" t="s">
        <v>182</v>
      </c>
      <c r="C670" s="68" t="s">
        <v>3316</v>
      </c>
      <c r="D670" s="68" t="s">
        <v>3321</v>
      </c>
      <c r="E670" s="68" t="s">
        <v>886</v>
      </c>
      <c r="F670" s="68" t="s">
        <v>62</v>
      </c>
      <c r="G670" s="68" t="s">
        <v>6</v>
      </c>
      <c r="H670" s="68" t="s">
        <v>888</v>
      </c>
      <c r="I670" s="68">
        <f t="shared" si="217"/>
        <v>1689</v>
      </c>
      <c r="J670" s="68" t="s">
        <v>3338</v>
      </c>
      <c r="K670" s="68" t="s">
        <v>3321</v>
      </c>
      <c r="L670" s="70">
        <v>1</v>
      </c>
      <c r="M670" s="71" t="s">
        <v>980</v>
      </c>
      <c r="N670" s="72" t="s">
        <v>814</v>
      </c>
      <c r="O670" s="68">
        <v>1</v>
      </c>
      <c r="P670" s="69" t="str">
        <f t="shared" si="252"/>
        <v>OA-Fruity Sauce - GFF524R</v>
      </c>
      <c r="Q670" s="72"/>
      <c r="R670" s="72"/>
      <c r="S670" s="72"/>
      <c r="T670" s="72"/>
      <c r="U670" s="72"/>
      <c r="V670" s="72"/>
      <c r="W670" s="72" t="s">
        <v>1435</v>
      </c>
      <c r="X670" s="72" t="s">
        <v>3345</v>
      </c>
      <c r="Y670" s="72">
        <v>2</v>
      </c>
      <c r="Z670" s="80">
        <v>45860</v>
      </c>
    </row>
    <row r="671" spans="1:26" x14ac:dyDescent="0.25">
      <c r="A671" s="68">
        <f t="shared" si="219"/>
        <v>691</v>
      </c>
      <c r="B671" s="69" t="s">
        <v>182</v>
      </c>
      <c r="C671" s="68" t="s">
        <v>3317</v>
      </c>
      <c r="D671" s="68" t="s">
        <v>3326</v>
      </c>
      <c r="E671" s="68" t="s">
        <v>886</v>
      </c>
      <c r="F671" s="68" t="s">
        <v>62</v>
      </c>
      <c r="G671" s="68" t="s">
        <v>6</v>
      </c>
      <c r="H671" s="68" t="s">
        <v>888</v>
      </c>
      <c r="I671" s="68">
        <f t="shared" si="217"/>
        <v>1690</v>
      </c>
      <c r="J671" s="68" t="s">
        <v>3339</v>
      </c>
      <c r="K671" s="68" t="s">
        <v>3326</v>
      </c>
      <c r="L671" s="70">
        <v>1</v>
      </c>
      <c r="M671" s="71" t="s">
        <v>980</v>
      </c>
      <c r="N671" s="72" t="s">
        <v>814</v>
      </c>
      <c r="O671" s="68">
        <v>1</v>
      </c>
      <c r="P671" s="69" t="str">
        <f t="shared" si="252"/>
        <v>OA-Beef Curry Sauce - GFF525R</v>
      </c>
      <c r="Q671" s="72"/>
      <c r="R671" s="72"/>
      <c r="S671" s="72"/>
      <c r="T671" s="72"/>
      <c r="U671" s="72"/>
      <c r="V671" s="72"/>
      <c r="W671" s="72" t="s">
        <v>1435</v>
      </c>
      <c r="X671" s="72" t="s">
        <v>1480</v>
      </c>
      <c r="Y671" s="72">
        <v>2</v>
      </c>
      <c r="Z671" s="80">
        <v>45860</v>
      </c>
    </row>
    <row r="672" spans="1:26" x14ac:dyDescent="0.25">
      <c r="A672" s="68">
        <f t="shared" si="219"/>
        <v>692</v>
      </c>
      <c r="B672" s="69" t="s">
        <v>182</v>
      </c>
      <c r="C672" s="68" t="s">
        <v>3318</v>
      </c>
      <c r="D672" s="68" t="s">
        <v>3327</v>
      </c>
      <c r="E672" s="68" t="s">
        <v>886</v>
      </c>
      <c r="F672" s="68" t="s">
        <v>62</v>
      </c>
      <c r="G672" s="68" t="s">
        <v>6</v>
      </c>
      <c r="H672" s="68" t="s">
        <v>888</v>
      </c>
      <c r="I672" s="68">
        <f t="shared" si="217"/>
        <v>1691</v>
      </c>
      <c r="J672" s="68" t="s">
        <v>3340</v>
      </c>
      <c r="K672" s="68" t="s">
        <v>3327</v>
      </c>
      <c r="L672" s="70">
        <v>1</v>
      </c>
      <c r="M672" s="71" t="s">
        <v>980</v>
      </c>
      <c r="N672" s="72" t="s">
        <v>814</v>
      </c>
      <c r="O672" s="68">
        <v>1</v>
      </c>
      <c r="P672" s="69" t="str">
        <f t="shared" si="252"/>
        <v>OA-Bhuna Sauce - GFF526R</v>
      </c>
      <c r="Q672" s="72"/>
      <c r="R672" s="72"/>
      <c r="S672" s="72"/>
      <c r="T672" s="72"/>
      <c r="U672" s="72"/>
      <c r="V672" s="72"/>
      <c r="W672" s="72" t="s">
        <v>1435</v>
      </c>
      <c r="X672" s="72" t="s">
        <v>982</v>
      </c>
      <c r="Y672" s="72" t="s">
        <v>982</v>
      </c>
      <c r="Z672" s="80">
        <v>45860</v>
      </c>
    </row>
    <row r="673" spans="1:26" x14ac:dyDescent="0.25">
      <c r="A673" s="68">
        <f t="shared" si="219"/>
        <v>693</v>
      </c>
      <c r="B673" s="69" t="s">
        <v>182</v>
      </c>
      <c r="C673" s="68" t="s">
        <v>3319</v>
      </c>
      <c r="D673" s="68" t="s">
        <v>3328</v>
      </c>
      <c r="E673" s="68" t="s">
        <v>886</v>
      </c>
      <c r="F673" s="68" t="s">
        <v>62</v>
      </c>
      <c r="G673" s="68" t="s">
        <v>6</v>
      </c>
      <c r="H673" s="68" t="s">
        <v>888</v>
      </c>
      <c r="I673" s="68">
        <f t="shared" si="217"/>
        <v>1692</v>
      </c>
      <c r="J673" s="68" t="s">
        <v>3341</v>
      </c>
      <c r="K673" s="68" t="s">
        <v>3328</v>
      </c>
      <c r="L673" s="70">
        <v>1</v>
      </c>
      <c r="M673" s="71" t="s">
        <v>980</v>
      </c>
      <c r="N673" s="72" t="s">
        <v>814</v>
      </c>
      <c r="O673" s="68">
        <v>1</v>
      </c>
      <c r="P673" s="69" t="str">
        <f t="shared" ref="P673:P677" si="253">K673&amp;" - "&amp; C673</f>
        <v>OA- Curry Sauce  - GFF527R</v>
      </c>
      <c r="Q673" s="72"/>
      <c r="R673" s="72"/>
      <c r="S673" s="72"/>
      <c r="T673" s="72"/>
      <c r="U673" s="72"/>
      <c r="V673" s="72"/>
      <c r="W673" s="72" t="s">
        <v>1435</v>
      </c>
      <c r="X673" s="72" t="s">
        <v>1490</v>
      </c>
      <c r="Y673" s="72">
        <v>2</v>
      </c>
      <c r="Z673" s="80">
        <v>45860</v>
      </c>
    </row>
    <row r="674" spans="1:26" x14ac:dyDescent="0.25">
      <c r="A674" s="68">
        <f t="shared" si="219"/>
        <v>694</v>
      </c>
      <c r="B674" s="69" t="s">
        <v>182</v>
      </c>
      <c r="C674" s="68" t="s">
        <v>3320</v>
      </c>
      <c r="D674" s="68" t="s">
        <v>3329</v>
      </c>
      <c r="E674" s="68" t="s">
        <v>886</v>
      </c>
      <c r="F674" s="68" t="s">
        <v>62</v>
      </c>
      <c r="G674" s="68" t="s">
        <v>6</v>
      </c>
      <c r="H674" s="68" t="s">
        <v>888</v>
      </c>
      <c r="I674" s="68">
        <f t="shared" si="217"/>
        <v>1693</v>
      </c>
      <c r="J674" s="68" t="s">
        <v>3342</v>
      </c>
      <c r="K674" s="68" t="s">
        <v>3329</v>
      </c>
      <c r="L674" s="70">
        <v>1</v>
      </c>
      <c r="M674" s="71" t="s">
        <v>980</v>
      </c>
      <c r="N674" s="72" t="s">
        <v>814</v>
      </c>
      <c r="O674" s="68">
        <v>1</v>
      </c>
      <c r="P674" s="69" t="str">
        <f t="shared" si="253"/>
        <v>OA-Vegetable Tikka Masala Sauce - GFF528R</v>
      </c>
      <c r="Q674" s="72"/>
      <c r="R674" s="72"/>
      <c r="S674" s="72"/>
      <c r="T674" s="72"/>
      <c r="U674" s="72"/>
      <c r="V674" s="72"/>
      <c r="W674" s="72" t="s">
        <v>1435</v>
      </c>
      <c r="X674" s="72" t="s">
        <v>1801</v>
      </c>
      <c r="Y674" s="72">
        <v>2</v>
      </c>
      <c r="Z674" s="80">
        <v>45860</v>
      </c>
    </row>
    <row r="675" spans="1:26" x14ac:dyDescent="0.25">
      <c r="A675" s="68">
        <f t="shared" si="219"/>
        <v>695</v>
      </c>
      <c r="B675" s="69" t="s">
        <v>182</v>
      </c>
      <c r="C675" s="68" t="s">
        <v>3330</v>
      </c>
      <c r="D675" s="68" t="s">
        <v>3332</v>
      </c>
      <c r="E675" s="68" t="s">
        <v>1628</v>
      </c>
      <c r="F675" s="68" t="s">
        <v>1414</v>
      </c>
      <c r="G675" s="68" t="s">
        <v>17</v>
      </c>
      <c r="H675" s="68" t="s">
        <v>888</v>
      </c>
      <c r="I675" s="68">
        <f t="shared" si="217"/>
        <v>1694</v>
      </c>
      <c r="J675" s="68" t="s">
        <v>3343</v>
      </c>
      <c r="K675" s="68" t="s">
        <v>3332</v>
      </c>
      <c r="L675" s="70">
        <v>1</v>
      </c>
      <c r="M675" s="71" t="s">
        <v>979</v>
      </c>
      <c r="N675" s="72" t="s">
        <v>814</v>
      </c>
      <c r="O675" s="68">
        <v>1</v>
      </c>
      <c r="P675" s="69" t="str">
        <f t="shared" si="253"/>
        <v>Cooked Diced Beef - GFF1694</v>
      </c>
      <c r="Q675" s="72"/>
      <c r="R675" s="72"/>
      <c r="S675" s="72"/>
      <c r="T675" s="72"/>
      <c r="U675" s="72"/>
      <c r="V675" s="72"/>
      <c r="W675" s="72" t="s">
        <v>1435</v>
      </c>
      <c r="X675" s="72" t="s">
        <v>982</v>
      </c>
      <c r="Y675" s="72" t="s">
        <v>982</v>
      </c>
      <c r="Z675" s="80">
        <v>45860</v>
      </c>
    </row>
    <row r="676" spans="1:26" x14ac:dyDescent="0.25">
      <c r="A676" s="68">
        <f t="shared" si="219"/>
        <v>696</v>
      </c>
      <c r="B676" s="69" t="s">
        <v>182</v>
      </c>
      <c r="C676" s="68" t="s">
        <v>3331</v>
      </c>
      <c r="D676" s="68" t="s">
        <v>3333</v>
      </c>
      <c r="E676" s="68" t="s">
        <v>1628</v>
      </c>
      <c r="F676" s="68" t="s">
        <v>609</v>
      </c>
      <c r="G676" s="68" t="s">
        <v>17</v>
      </c>
      <c r="H676" s="68" t="s">
        <v>888</v>
      </c>
      <c r="I676" s="68">
        <f t="shared" si="217"/>
        <v>1695</v>
      </c>
      <c r="J676" s="68" t="s">
        <v>3344</v>
      </c>
      <c r="K676" s="68" t="s">
        <v>3333</v>
      </c>
      <c r="L676" s="70">
        <v>1</v>
      </c>
      <c r="M676" s="71" t="s">
        <v>979</v>
      </c>
      <c r="N676" s="72" t="s">
        <v>814</v>
      </c>
      <c r="O676" s="68">
        <v>1</v>
      </c>
      <c r="P676" s="69" t="str">
        <f t="shared" si="253"/>
        <v>Cooked Diced Lamb - GFF1695</v>
      </c>
      <c r="Q676" s="72"/>
      <c r="R676" s="72"/>
      <c r="S676" s="72"/>
      <c r="T676" s="72"/>
      <c r="U676" s="72"/>
      <c r="V676" s="72"/>
      <c r="W676" s="72" t="s">
        <v>1435</v>
      </c>
      <c r="X676" s="72" t="s">
        <v>982</v>
      </c>
      <c r="Y676" s="72" t="s">
        <v>982</v>
      </c>
      <c r="Z676" s="80">
        <v>45860</v>
      </c>
    </row>
    <row r="677" spans="1:26" x14ac:dyDescent="0.25">
      <c r="A677" s="68">
        <f t="shared" si="219"/>
        <v>697</v>
      </c>
      <c r="B677" s="69" t="s">
        <v>182</v>
      </c>
      <c r="C677" s="68" t="s">
        <v>3347</v>
      </c>
      <c r="D677" s="68" t="s">
        <v>3348</v>
      </c>
      <c r="E677" s="68" t="s">
        <v>886</v>
      </c>
      <c r="F677" s="68" t="s">
        <v>62</v>
      </c>
      <c r="G677" s="68" t="s">
        <v>6</v>
      </c>
      <c r="H677" s="68" t="s">
        <v>888</v>
      </c>
      <c r="I677" s="68">
        <f t="shared" si="217"/>
        <v>1696</v>
      </c>
      <c r="J677" s="68" t="s">
        <v>3349</v>
      </c>
      <c r="K677" s="68" t="s">
        <v>3348</v>
      </c>
      <c r="L677" s="70">
        <v>1</v>
      </c>
      <c r="M677" s="71" t="s">
        <v>980</v>
      </c>
      <c r="N677" s="72" t="s">
        <v>814</v>
      </c>
      <c r="O677" s="68">
        <v>1</v>
      </c>
      <c r="P677" s="69" t="str">
        <f t="shared" si="253"/>
        <v>OA-Tikka Masala Sauce - GFF533R</v>
      </c>
      <c r="Q677" s="72"/>
      <c r="R677" s="72"/>
      <c r="S677" s="72"/>
      <c r="T677" s="72"/>
      <c r="U677" s="72"/>
      <c r="V677" s="72"/>
      <c r="W677" s="72" t="s">
        <v>1435</v>
      </c>
      <c r="X677" s="72" t="s">
        <v>1495</v>
      </c>
      <c r="Y677" s="72">
        <v>1</v>
      </c>
      <c r="Z677" s="80">
        <v>45862</v>
      </c>
    </row>
    <row r="678" spans="1:26" x14ac:dyDescent="0.25">
      <c r="A678" s="68">
        <f t="shared" si="219"/>
        <v>698</v>
      </c>
      <c r="B678" s="69" t="s">
        <v>3232</v>
      </c>
      <c r="C678" s="68" t="s">
        <v>3350</v>
      </c>
      <c r="D678" s="68" t="s">
        <v>3352</v>
      </c>
      <c r="E678" s="68" t="s">
        <v>885</v>
      </c>
      <c r="F678" s="68" t="s">
        <v>4</v>
      </c>
      <c r="G678" s="68" t="s">
        <v>17</v>
      </c>
      <c r="H678" s="68" t="s">
        <v>888</v>
      </c>
      <c r="I678" s="68">
        <f t="shared" si="217"/>
        <v>1697</v>
      </c>
      <c r="J678" s="68" t="s">
        <v>3354</v>
      </c>
      <c r="K678" s="68" t="s">
        <v>3352</v>
      </c>
      <c r="L678" s="70">
        <v>40</v>
      </c>
      <c r="M678" s="71" t="s">
        <v>979</v>
      </c>
      <c r="N678" s="72" t="s">
        <v>814</v>
      </c>
      <c r="O678" s="68">
        <v>1</v>
      </c>
      <c r="P678" s="69" t="str">
        <f t="shared" ref="P678:P679" si="254">K678&amp;" - "&amp; C678</f>
        <v>Chicken Samosa 40G (Pre-Fried) - WEI002-01</v>
      </c>
      <c r="Q678" s="72"/>
      <c r="R678" s="72"/>
      <c r="S678" s="72"/>
      <c r="T678" s="72"/>
      <c r="U678" s="72"/>
      <c r="V678" s="72"/>
      <c r="W678" s="72" t="s">
        <v>1435</v>
      </c>
      <c r="X678" s="72" t="s">
        <v>1499</v>
      </c>
      <c r="Y678" s="72">
        <v>3</v>
      </c>
      <c r="Z678" s="80">
        <v>45873</v>
      </c>
    </row>
    <row r="679" spans="1:26" x14ac:dyDescent="0.25">
      <c r="A679" s="68">
        <f t="shared" si="219"/>
        <v>699</v>
      </c>
      <c r="B679" s="69" t="s">
        <v>3232</v>
      </c>
      <c r="C679" s="68" t="s">
        <v>3351</v>
      </c>
      <c r="D679" s="68" t="s">
        <v>3353</v>
      </c>
      <c r="E679" s="68" t="s">
        <v>885</v>
      </c>
      <c r="F679" s="68" t="s">
        <v>30</v>
      </c>
      <c r="G679" s="68" t="s">
        <v>17</v>
      </c>
      <c r="H679" s="68" t="s">
        <v>888</v>
      </c>
      <c r="I679" s="68">
        <f t="shared" si="217"/>
        <v>1698</v>
      </c>
      <c r="J679" s="68" t="s">
        <v>3355</v>
      </c>
      <c r="K679" s="68" t="s">
        <v>3353</v>
      </c>
      <c r="L679" s="70">
        <v>30</v>
      </c>
      <c r="M679" s="71" t="s">
        <v>979</v>
      </c>
      <c r="N679" s="72" t="s">
        <v>814</v>
      </c>
      <c r="O679" s="68">
        <v>1</v>
      </c>
      <c r="P679" s="69" t="str">
        <f t="shared" si="254"/>
        <v>Chicken Springroll 30G (Pre-Fried) - WEI002-02</v>
      </c>
      <c r="Q679" s="72"/>
      <c r="R679" s="72"/>
      <c r="S679" s="72"/>
      <c r="T679" s="72"/>
      <c r="U679" s="72"/>
      <c r="V679" s="72"/>
      <c r="W679" s="72" t="s">
        <v>1435</v>
      </c>
      <c r="X679" s="72" t="s">
        <v>1499</v>
      </c>
      <c r="Y679" s="72">
        <v>3</v>
      </c>
      <c r="Z679" s="80">
        <v>45873</v>
      </c>
    </row>
    <row r="680" spans="1:26" x14ac:dyDescent="0.25">
      <c r="A680" s="68">
        <f t="shared" si="219"/>
        <v>700</v>
      </c>
      <c r="B680" s="69" t="s">
        <v>3357</v>
      </c>
      <c r="C680" s="68" t="s">
        <v>3358</v>
      </c>
      <c r="D680" s="68" t="s">
        <v>3359</v>
      </c>
      <c r="E680" s="68" t="s">
        <v>1628</v>
      </c>
      <c r="F680" s="68" t="s">
        <v>128</v>
      </c>
      <c r="G680" s="68" t="s">
        <v>17</v>
      </c>
      <c r="H680" s="68" t="s">
        <v>888</v>
      </c>
      <c r="I680" s="68">
        <f t="shared" si="217"/>
        <v>1699</v>
      </c>
      <c r="J680" s="68" t="s">
        <v>3360</v>
      </c>
      <c r="K680" s="68" t="s">
        <v>3359</v>
      </c>
      <c r="L680" s="70">
        <v>1</v>
      </c>
      <c r="M680" s="71" t="s">
        <v>979</v>
      </c>
      <c r="N680" s="72" t="s">
        <v>814</v>
      </c>
      <c r="O680" s="68">
        <v>1</v>
      </c>
      <c r="P680" s="69" t="str">
        <f t="shared" ref="P680:P681" si="255">K680&amp;" - "&amp; C680</f>
        <v>Crispy Coated Poppin Chicken - GFF1699</v>
      </c>
      <c r="Q680" s="72"/>
      <c r="R680" s="72"/>
      <c r="S680" s="72"/>
      <c r="T680" s="72"/>
      <c r="U680" s="72"/>
      <c r="V680" s="72"/>
      <c r="W680" s="72" t="s">
        <v>1435</v>
      </c>
      <c r="X680" s="72" t="s">
        <v>3361</v>
      </c>
      <c r="Y680" s="72">
        <v>2</v>
      </c>
      <c r="Z680" s="80">
        <v>45874</v>
      </c>
    </row>
    <row r="681" spans="1:26" x14ac:dyDescent="0.25">
      <c r="A681" s="68">
        <f t="shared" ref="A681:A734" si="256">+A680+1</f>
        <v>701</v>
      </c>
      <c r="B681" s="69" t="s">
        <v>182</v>
      </c>
      <c r="C681" s="68" t="s">
        <v>3362</v>
      </c>
      <c r="D681" s="68" t="s">
        <v>3363</v>
      </c>
      <c r="E681" s="68" t="s">
        <v>886</v>
      </c>
      <c r="F681" s="68" t="s">
        <v>62</v>
      </c>
      <c r="G681" s="68" t="s">
        <v>6</v>
      </c>
      <c r="H681" s="68" t="s">
        <v>888</v>
      </c>
      <c r="I681" s="68">
        <f t="shared" si="217"/>
        <v>1700</v>
      </c>
      <c r="J681" s="68" t="s">
        <v>3364</v>
      </c>
      <c r="K681" s="68" t="s">
        <v>3363</v>
      </c>
      <c r="L681" s="70">
        <v>1</v>
      </c>
      <c r="M681" s="71" t="s">
        <v>980</v>
      </c>
      <c r="N681" s="72" t="s">
        <v>814</v>
      </c>
      <c r="O681" s="68">
        <v>1</v>
      </c>
      <c r="P681" s="69" t="str">
        <f t="shared" si="255"/>
        <v>GZ-Deli Dhansak Sauce - GFF534R</v>
      </c>
      <c r="Q681" s="72"/>
      <c r="R681" s="72"/>
      <c r="S681" s="72"/>
      <c r="T681" s="72"/>
      <c r="U681" s="72"/>
      <c r="V681" s="72"/>
      <c r="W681" s="72" t="s">
        <v>1435</v>
      </c>
      <c r="X681" s="72" t="s">
        <v>982</v>
      </c>
      <c r="Y681" s="72" t="s">
        <v>982</v>
      </c>
      <c r="Z681" s="80">
        <v>45888</v>
      </c>
    </row>
    <row r="682" spans="1:26" x14ac:dyDescent="0.25">
      <c r="A682" s="68">
        <f t="shared" si="256"/>
        <v>702</v>
      </c>
      <c r="B682" s="69" t="s">
        <v>182</v>
      </c>
      <c r="C682" s="68" t="s">
        <v>3365</v>
      </c>
      <c r="D682" s="68" t="s">
        <v>3366</v>
      </c>
      <c r="E682" s="68" t="s">
        <v>886</v>
      </c>
      <c r="F682" s="68" t="s">
        <v>62</v>
      </c>
      <c r="G682" s="68" t="s">
        <v>6</v>
      </c>
      <c r="H682" s="68" t="s">
        <v>888</v>
      </c>
      <c r="I682" s="68">
        <f t="shared" si="217"/>
        <v>1701</v>
      </c>
      <c r="J682" s="68" t="s">
        <v>3367</v>
      </c>
      <c r="K682" s="68" t="s">
        <v>3366</v>
      </c>
      <c r="L682" s="70">
        <v>1</v>
      </c>
      <c r="M682" s="71" t="s">
        <v>980</v>
      </c>
      <c r="N682" s="72" t="s">
        <v>814</v>
      </c>
      <c r="O682" s="68">
        <v>1</v>
      </c>
      <c r="P682" s="69" t="str">
        <f t="shared" ref="P682:P687" si="257">K682&amp;" - "&amp; C682</f>
        <v>Navratna Sauce - GFF535R</v>
      </c>
      <c r="Q682" s="72"/>
      <c r="R682" s="72"/>
      <c r="S682" s="72"/>
      <c r="T682" s="72"/>
      <c r="U682" s="72"/>
      <c r="V682" s="72"/>
      <c r="W682" s="72" t="s">
        <v>1435</v>
      </c>
      <c r="X682" s="72" t="s">
        <v>3368</v>
      </c>
      <c r="Y682" s="72">
        <v>2</v>
      </c>
      <c r="Z682" s="80">
        <v>45888</v>
      </c>
    </row>
    <row r="683" spans="1:26" x14ac:dyDescent="0.25">
      <c r="A683" s="68">
        <f t="shared" si="256"/>
        <v>703</v>
      </c>
      <c r="B683" s="69" t="s">
        <v>182</v>
      </c>
      <c r="C683" s="68" t="s">
        <v>3369</v>
      </c>
      <c r="D683" s="68" t="s">
        <v>3370</v>
      </c>
      <c r="E683" s="68" t="s">
        <v>886</v>
      </c>
      <c r="F683" s="68" t="s">
        <v>62</v>
      </c>
      <c r="G683" s="68" t="s">
        <v>6</v>
      </c>
      <c r="H683" s="68" t="s">
        <v>888</v>
      </c>
      <c r="I683" s="68">
        <f t="shared" ref="I683:I734" si="258">I682+1</f>
        <v>1702</v>
      </c>
      <c r="J683" s="68" t="s">
        <v>3371</v>
      </c>
      <c r="K683" s="68" t="s">
        <v>3370</v>
      </c>
      <c r="L683" s="70">
        <v>1</v>
      </c>
      <c r="M683" s="71" t="s">
        <v>980</v>
      </c>
      <c r="N683" s="72" t="s">
        <v>814</v>
      </c>
      <c r="O683" s="68">
        <v>1</v>
      </c>
      <c r="P683" s="69" t="str">
        <f t="shared" si="257"/>
        <v>Gz Deli-Bhuna Curry Sauce - GFF536R</v>
      </c>
      <c r="Q683" s="72"/>
      <c r="R683" s="72"/>
      <c r="S683" s="72"/>
      <c r="T683" s="72"/>
      <c r="U683" s="72"/>
      <c r="V683" s="72"/>
      <c r="W683" s="72" t="s">
        <v>1435</v>
      </c>
      <c r="X683" s="72" t="s">
        <v>982</v>
      </c>
      <c r="Y683" s="72" t="s">
        <v>982</v>
      </c>
      <c r="Z683" s="80">
        <v>45888</v>
      </c>
    </row>
    <row r="684" spans="1:26" x14ac:dyDescent="0.25">
      <c r="A684" s="68">
        <f t="shared" si="256"/>
        <v>704</v>
      </c>
      <c r="B684" s="69" t="s">
        <v>182</v>
      </c>
      <c r="C684" s="68" t="s">
        <v>3372</v>
      </c>
      <c r="D684" s="68" t="s">
        <v>3373</v>
      </c>
      <c r="E684" s="68" t="s">
        <v>885</v>
      </c>
      <c r="F684" s="68" t="s">
        <v>4</v>
      </c>
      <c r="G684" s="68" t="s">
        <v>6</v>
      </c>
      <c r="H684" s="68" t="s">
        <v>888</v>
      </c>
      <c r="I684" s="68">
        <f t="shared" si="258"/>
        <v>1703</v>
      </c>
      <c r="J684" s="68" t="s">
        <v>3374</v>
      </c>
      <c r="K684" s="68" t="s">
        <v>3375</v>
      </c>
      <c r="L684" s="70">
        <v>100</v>
      </c>
      <c r="M684" s="71" t="s">
        <v>979</v>
      </c>
      <c r="N684" s="72" t="s">
        <v>814</v>
      </c>
      <c r="O684" s="68">
        <v>3900</v>
      </c>
      <c r="P684" s="69" t="str">
        <f t="shared" si="257"/>
        <v>Deli Chicken Tikka Samosa (Yellow) 100G - GFF537R</v>
      </c>
      <c r="Q684" s="72">
        <v>25</v>
      </c>
      <c r="R684" s="72">
        <v>20</v>
      </c>
      <c r="S684" s="72">
        <v>15</v>
      </c>
      <c r="T684" s="72">
        <v>10</v>
      </c>
      <c r="U684" s="72">
        <v>5</v>
      </c>
      <c r="V684" s="72"/>
      <c r="W684" s="72" t="s">
        <v>1435</v>
      </c>
      <c r="X684" s="72" t="s">
        <v>1502</v>
      </c>
      <c r="Y684" s="72">
        <v>3</v>
      </c>
      <c r="Z684" s="80">
        <v>45888</v>
      </c>
    </row>
    <row r="685" spans="1:26" x14ac:dyDescent="0.25">
      <c r="A685" s="68">
        <f t="shared" si="256"/>
        <v>705</v>
      </c>
      <c r="B685" s="69" t="s">
        <v>182</v>
      </c>
      <c r="C685" s="68" t="s">
        <v>3376</v>
      </c>
      <c r="D685" s="68" t="s">
        <v>3377</v>
      </c>
      <c r="E685" s="68" t="s">
        <v>886</v>
      </c>
      <c r="F685" s="68" t="s">
        <v>56</v>
      </c>
      <c r="G685" s="68" t="s">
        <v>6</v>
      </c>
      <c r="H685" s="68" t="s">
        <v>888</v>
      </c>
      <c r="I685" s="68">
        <f t="shared" si="258"/>
        <v>1704</v>
      </c>
      <c r="J685" s="68" t="s">
        <v>3378</v>
      </c>
      <c r="K685" s="68" t="s">
        <v>3377</v>
      </c>
      <c r="L685" s="70">
        <v>1</v>
      </c>
      <c r="M685" s="71" t="s">
        <v>979</v>
      </c>
      <c r="N685" s="72" t="s">
        <v>814</v>
      </c>
      <c r="O685" s="68">
        <v>1</v>
      </c>
      <c r="P685" s="69" t="str">
        <f t="shared" si="257"/>
        <v>Masala Chicken Keema Roll - Mix - GFF539R</v>
      </c>
      <c r="Q685" s="72"/>
      <c r="R685" s="72"/>
      <c r="S685" s="72"/>
      <c r="T685" s="72"/>
      <c r="U685" s="72"/>
      <c r="V685" s="72"/>
      <c r="W685" s="72" t="s">
        <v>1435</v>
      </c>
      <c r="X685" s="72" t="s">
        <v>1814</v>
      </c>
      <c r="Y685" s="72">
        <v>3</v>
      </c>
      <c r="Z685" s="80">
        <v>45888</v>
      </c>
    </row>
    <row r="686" spans="1:26" x14ac:dyDescent="0.25">
      <c r="A686" s="68">
        <f t="shared" si="256"/>
        <v>706</v>
      </c>
      <c r="B686" s="69" t="s">
        <v>182</v>
      </c>
      <c r="C686" s="68" t="s">
        <v>3379</v>
      </c>
      <c r="D686" s="68" t="s">
        <v>3381</v>
      </c>
      <c r="E686" s="68" t="s">
        <v>886</v>
      </c>
      <c r="F686" s="68" t="s">
        <v>102</v>
      </c>
      <c r="G686" s="68" t="s">
        <v>6</v>
      </c>
      <c r="H686" s="68" t="s">
        <v>888</v>
      </c>
      <c r="I686" s="68">
        <f t="shared" si="258"/>
        <v>1705</v>
      </c>
      <c r="J686" s="68" t="s">
        <v>3380</v>
      </c>
      <c r="K686" s="68" t="s">
        <v>3381</v>
      </c>
      <c r="L686" s="70">
        <v>1</v>
      </c>
      <c r="M686" s="71" t="s">
        <v>979</v>
      </c>
      <c r="N686" s="72" t="s">
        <v>814</v>
      </c>
      <c r="O686" s="68">
        <v>1</v>
      </c>
      <c r="P686" s="69" t="str">
        <f t="shared" si="257"/>
        <v>Gz Deli-Chicken Tikka Bites  - GFF540R</v>
      </c>
      <c r="Q686" s="72"/>
      <c r="R686" s="72"/>
      <c r="S686" s="72"/>
      <c r="T686" s="72"/>
      <c r="U686" s="72"/>
      <c r="V686" s="72"/>
      <c r="W686" s="72" t="s">
        <v>1435</v>
      </c>
      <c r="X686" s="72" t="s">
        <v>1480</v>
      </c>
      <c r="Y686" s="72">
        <v>2</v>
      </c>
      <c r="Z686" s="80">
        <v>45888</v>
      </c>
    </row>
    <row r="687" spans="1:26" x14ac:dyDescent="0.25">
      <c r="A687" s="68">
        <f t="shared" si="256"/>
        <v>707</v>
      </c>
      <c r="B687" s="69" t="s">
        <v>182</v>
      </c>
      <c r="C687" s="68" t="s">
        <v>3382</v>
      </c>
      <c r="D687" s="68" t="s">
        <v>3383</v>
      </c>
      <c r="E687" s="68" t="s">
        <v>885</v>
      </c>
      <c r="F687" s="68" t="s">
        <v>13</v>
      </c>
      <c r="G687" s="68" t="s">
        <v>6</v>
      </c>
      <c r="H687" s="68" t="s">
        <v>888</v>
      </c>
      <c r="I687" s="68">
        <f t="shared" si="258"/>
        <v>1706</v>
      </c>
      <c r="J687" s="68" t="s">
        <v>3386</v>
      </c>
      <c r="K687" s="68" t="s">
        <v>3389</v>
      </c>
      <c r="L687" s="70">
        <v>50</v>
      </c>
      <c r="M687" s="71" t="s">
        <v>979</v>
      </c>
      <c r="N687" s="72" t="s">
        <v>814</v>
      </c>
      <c r="O687" s="68">
        <v>5000</v>
      </c>
      <c r="P687" s="69" t="str">
        <f t="shared" si="257"/>
        <v>Aldi Vegetable Samosa 50G - GFF541R</v>
      </c>
      <c r="Q687" s="72"/>
      <c r="R687" s="72"/>
      <c r="S687" s="72"/>
      <c r="T687" s="72"/>
      <c r="U687" s="72"/>
      <c r="V687" s="72"/>
      <c r="W687" s="72" t="s">
        <v>1435</v>
      </c>
      <c r="X687" s="72" t="s">
        <v>1501</v>
      </c>
      <c r="Y687" s="72">
        <v>3</v>
      </c>
      <c r="Z687" s="80">
        <v>45888</v>
      </c>
    </row>
    <row r="688" spans="1:26" x14ac:dyDescent="0.25">
      <c r="A688" s="68">
        <f t="shared" si="256"/>
        <v>708</v>
      </c>
      <c r="B688" s="69" t="s">
        <v>182</v>
      </c>
      <c r="C688" s="68" t="s">
        <v>3404</v>
      </c>
      <c r="D688" s="68" t="s">
        <v>3385</v>
      </c>
      <c r="E688" s="68" t="s">
        <v>885</v>
      </c>
      <c r="F688" s="68" t="s">
        <v>23</v>
      </c>
      <c r="G688" s="68" t="s">
        <v>6</v>
      </c>
      <c r="H688" s="68" t="s">
        <v>888</v>
      </c>
      <c r="I688" s="68">
        <f t="shared" si="258"/>
        <v>1707</v>
      </c>
      <c r="J688" s="68" t="s">
        <v>3387</v>
      </c>
      <c r="K688" s="68" t="s">
        <v>3388</v>
      </c>
      <c r="L688" s="70">
        <v>50</v>
      </c>
      <c r="M688" s="71" t="s">
        <v>979</v>
      </c>
      <c r="N688" s="72" t="s">
        <v>814</v>
      </c>
      <c r="O688" s="68">
        <v>5500</v>
      </c>
      <c r="P688" s="69" t="str">
        <f t="shared" ref="P688:P692" si="259">K688&amp;" - "&amp; C688</f>
        <v>Aldi Lamb Samosa 50G - GFF542R</v>
      </c>
      <c r="Q688" s="72"/>
      <c r="R688" s="72"/>
      <c r="S688" s="72"/>
      <c r="T688" s="72"/>
      <c r="U688" s="72"/>
      <c r="V688" s="72"/>
      <c r="W688" s="72" t="s">
        <v>1435</v>
      </c>
      <c r="X688" s="72" t="s">
        <v>1499</v>
      </c>
      <c r="Y688" s="72">
        <v>3</v>
      </c>
      <c r="Z688" s="80">
        <v>45888</v>
      </c>
    </row>
    <row r="689" spans="1:26" x14ac:dyDescent="0.25">
      <c r="A689" s="68">
        <f t="shared" si="256"/>
        <v>709</v>
      </c>
      <c r="B689" s="69" t="s">
        <v>182</v>
      </c>
      <c r="C689" s="68" t="s">
        <v>3384</v>
      </c>
      <c r="D689" s="68" t="s">
        <v>3390</v>
      </c>
      <c r="E689" s="68" t="s">
        <v>886</v>
      </c>
      <c r="F689" s="68" t="s">
        <v>56</v>
      </c>
      <c r="G689" s="68" t="s">
        <v>6</v>
      </c>
      <c r="H689" s="68" t="s">
        <v>888</v>
      </c>
      <c r="I689" s="68">
        <f t="shared" si="258"/>
        <v>1708</v>
      </c>
      <c r="J689" s="68" t="s">
        <v>3391</v>
      </c>
      <c r="K689" s="68" t="s">
        <v>3390</v>
      </c>
      <c r="L689" s="70">
        <v>1</v>
      </c>
      <c r="M689" s="71" t="s">
        <v>980</v>
      </c>
      <c r="N689" s="72" t="s">
        <v>814</v>
      </c>
      <c r="O689" s="68">
        <v>1</v>
      </c>
      <c r="P689" s="69" t="str">
        <f t="shared" si="259"/>
        <v>Cook Vegetable Spring Rolls Mix - GFF543R</v>
      </c>
      <c r="Q689" s="72"/>
      <c r="R689" s="72"/>
      <c r="S689" s="72"/>
      <c r="T689" s="72"/>
      <c r="U689" s="72"/>
      <c r="V689" s="72"/>
      <c r="W689" s="72" t="s">
        <v>1435</v>
      </c>
      <c r="X689" s="72" t="s">
        <v>3396</v>
      </c>
      <c r="Y689" s="72">
        <v>3</v>
      </c>
      <c r="Z689" s="80">
        <v>45888</v>
      </c>
    </row>
    <row r="690" spans="1:26" x14ac:dyDescent="0.25">
      <c r="A690" s="68">
        <f t="shared" si="256"/>
        <v>710</v>
      </c>
      <c r="B690" s="69" t="s">
        <v>182</v>
      </c>
      <c r="C690" s="68" t="s">
        <v>3392</v>
      </c>
      <c r="D690" s="68" t="s">
        <v>3393</v>
      </c>
      <c r="E690" s="68" t="s">
        <v>885</v>
      </c>
      <c r="F690" s="68" t="s">
        <v>32</v>
      </c>
      <c r="G690" s="68" t="s">
        <v>6</v>
      </c>
      <c r="H690" s="68" t="s">
        <v>888</v>
      </c>
      <c r="I690" s="68">
        <f t="shared" si="258"/>
        <v>1709</v>
      </c>
      <c r="J690" s="68" t="s">
        <v>3394</v>
      </c>
      <c r="K690" s="68" t="s">
        <v>3395</v>
      </c>
      <c r="L690" s="70">
        <v>50</v>
      </c>
      <c r="M690" s="71" t="s">
        <v>980</v>
      </c>
      <c r="N690" s="72" t="s">
        <v>814</v>
      </c>
      <c r="O690" s="68">
        <v>4800</v>
      </c>
      <c r="P690" s="69" t="str">
        <f t="shared" si="259"/>
        <v>Cook Vegetable Spring Roll Medium 50G - GFF544R</v>
      </c>
      <c r="Q690" s="72">
        <v>35</v>
      </c>
      <c r="R690" s="72">
        <v>28</v>
      </c>
      <c r="S690" s="72">
        <v>21</v>
      </c>
      <c r="T690" s="72">
        <v>14</v>
      </c>
      <c r="U690" s="72">
        <v>7</v>
      </c>
      <c r="V690" s="72"/>
      <c r="W690" s="72" t="s">
        <v>1435</v>
      </c>
      <c r="X690" s="72" t="s">
        <v>3310</v>
      </c>
      <c r="Y690" s="72">
        <v>2</v>
      </c>
      <c r="Z690" s="80">
        <v>45888</v>
      </c>
    </row>
    <row r="691" spans="1:26" x14ac:dyDescent="0.25">
      <c r="A691" s="68">
        <f t="shared" si="256"/>
        <v>711</v>
      </c>
      <c r="B691" s="69" t="s">
        <v>182</v>
      </c>
      <c r="C691" s="68" t="s">
        <v>3399</v>
      </c>
      <c r="D691" s="68" t="s">
        <v>3397</v>
      </c>
      <c r="E691" s="68" t="s">
        <v>885</v>
      </c>
      <c r="F691" s="68" t="s">
        <v>57</v>
      </c>
      <c r="G691" s="68" t="s">
        <v>6</v>
      </c>
      <c r="H691" s="68" t="s">
        <v>888</v>
      </c>
      <c r="I691" s="68">
        <f t="shared" si="258"/>
        <v>1710</v>
      </c>
      <c r="J691" s="68" t="s">
        <v>3398</v>
      </c>
      <c r="K691" s="68" t="s">
        <v>3397</v>
      </c>
      <c r="L691" s="70">
        <v>85</v>
      </c>
      <c r="M691" s="71" t="s">
        <v>979</v>
      </c>
      <c r="N691" s="72" t="s">
        <v>814</v>
      </c>
      <c r="O691" s="68">
        <v>1750</v>
      </c>
      <c r="P691" s="69" t="str">
        <f t="shared" si="259"/>
        <v>Masala Chicken Keema Roll 85G - GFF545R</v>
      </c>
      <c r="Q691" s="72"/>
      <c r="R691" s="72"/>
      <c r="S691" s="72"/>
      <c r="T691" s="72"/>
      <c r="U691" s="72"/>
      <c r="V691" s="72"/>
      <c r="W691" s="72" t="s">
        <v>1435</v>
      </c>
      <c r="X691" s="72" t="s">
        <v>3400</v>
      </c>
      <c r="Y691" s="72">
        <v>2</v>
      </c>
      <c r="Z691" s="80">
        <v>45888</v>
      </c>
    </row>
    <row r="692" spans="1:26" x14ac:dyDescent="0.25">
      <c r="A692" s="68">
        <f t="shared" si="256"/>
        <v>712</v>
      </c>
      <c r="B692" s="69" t="s">
        <v>182</v>
      </c>
      <c r="C692" s="68" t="s">
        <v>3401</v>
      </c>
      <c r="D692" s="68" t="s">
        <v>3402</v>
      </c>
      <c r="E692" s="68" t="s">
        <v>886</v>
      </c>
      <c r="F692" s="68" t="s">
        <v>56</v>
      </c>
      <c r="G692" s="68" t="s">
        <v>6</v>
      </c>
      <c r="H692" s="68" t="s">
        <v>888</v>
      </c>
      <c r="I692" s="68">
        <f t="shared" si="258"/>
        <v>1711</v>
      </c>
      <c r="J692" s="68" t="s">
        <v>3403</v>
      </c>
      <c r="K692" s="68" t="s">
        <v>3402</v>
      </c>
      <c r="L692" s="70">
        <v>1</v>
      </c>
      <c r="M692" s="71" t="s">
        <v>980</v>
      </c>
      <c r="N692" s="72" t="s">
        <v>814</v>
      </c>
      <c r="O692" s="68">
        <v>1</v>
      </c>
      <c r="P692" s="69" t="str">
        <f t="shared" si="259"/>
        <v>Vegetable Samosa Mix - GFF003-1R</v>
      </c>
      <c r="Q692" s="72"/>
      <c r="R692" s="72"/>
      <c r="S692" s="72"/>
      <c r="T692" s="72"/>
      <c r="U692" s="72"/>
      <c r="V692" s="72"/>
      <c r="W692" s="72" t="s">
        <v>1435</v>
      </c>
      <c r="X692" s="72" t="s">
        <v>982</v>
      </c>
      <c r="Y692" s="72" t="s">
        <v>982</v>
      </c>
      <c r="Z692" s="80">
        <v>45896</v>
      </c>
    </row>
    <row r="693" spans="1:26" x14ac:dyDescent="0.25">
      <c r="A693" s="68">
        <f t="shared" si="256"/>
        <v>713</v>
      </c>
      <c r="B693" s="69" t="s">
        <v>172</v>
      </c>
      <c r="C693" s="68" t="s">
        <v>3407</v>
      </c>
      <c r="D693" s="68" t="s">
        <v>3405</v>
      </c>
      <c r="E693" s="68" t="s">
        <v>885</v>
      </c>
      <c r="F693" s="68" t="s">
        <v>40</v>
      </c>
      <c r="G693" s="68" t="s">
        <v>17</v>
      </c>
      <c r="H693" s="68" t="s">
        <v>888</v>
      </c>
      <c r="I693" s="68">
        <f t="shared" si="258"/>
        <v>1712</v>
      </c>
      <c r="J693" s="68" t="s">
        <v>3408</v>
      </c>
      <c r="K693" s="68" t="s">
        <v>3406</v>
      </c>
      <c r="L693" s="70">
        <v>40</v>
      </c>
      <c r="M693" s="71" t="s">
        <v>980</v>
      </c>
      <c r="N693" s="72" t="s">
        <v>814</v>
      </c>
      <c r="O693" s="68">
        <v>1</v>
      </c>
      <c r="P693" s="69" t="str">
        <f t="shared" ref="P693:P695" si="260">K693&amp;" - "&amp; C693</f>
        <v>Onion Bhaji 40G (Pre-Fried) - Ind - SRI001-01</v>
      </c>
      <c r="Q693" s="72"/>
      <c r="R693" s="72"/>
      <c r="S693" s="72"/>
      <c r="T693" s="72"/>
      <c r="U693" s="72"/>
      <c r="V693" s="72"/>
      <c r="W693" s="72" t="s">
        <v>1435</v>
      </c>
      <c r="X693" s="72" t="s">
        <v>982</v>
      </c>
      <c r="Y693" s="72" t="s">
        <v>982</v>
      </c>
      <c r="Z693" s="80">
        <v>45897</v>
      </c>
    </row>
    <row r="694" spans="1:26" x14ac:dyDescent="0.25">
      <c r="A694" s="68">
        <f t="shared" si="256"/>
        <v>714</v>
      </c>
      <c r="B694" s="69" t="s">
        <v>182</v>
      </c>
      <c r="C694" s="68" t="s">
        <v>1283</v>
      </c>
      <c r="D694" s="68" t="s">
        <v>824</v>
      </c>
      <c r="E694" s="68" t="s">
        <v>885</v>
      </c>
      <c r="F694" s="68" t="s">
        <v>40</v>
      </c>
      <c r="G694" s="68" t="s">
        <v>6</v>
      </c>
      <c r="H694" s="68" t="s">
        <v>888</v>
      </c>
      <c r="I694" s="68">
        <f t="shared" si="258"/>
        <v>1713</v>
      </c>
      <c r="J694" s="68" t="s">
        <v>3409</v>
      </c>
      <c r="K694" s="68" t="s">
        <v>3410</v>
      </c>
      <c r="L694" s="70">
        <v>50</v>
      </c>
      <c r="M694" s="71" t="s">
        <v>980</v>
      </c>
      <c r="N694" s="72" t="s">
        <v>814</v>
      </c>
      <c r="O694" s="68">
        <v>1750</v>
      </c>
      <c r="P694" s="69" t="s">
        <v>3410</v>
      </c>
      <c r="Q694" s="72">
        <v>50</v>
      </c>
      <c r="R694" s="72">
        <v>40</v>
      </c>
      <c r="S694" s="72">
        <v>30</v>
      </c>
      <c r="T694" s="72">
        <v>20</v>
      </c>
      <c r="U694" s="72">
        <v>10</v>
      </c>
      <c r="V694" s="72">
        <v>0</v>
      </c>
      <c r="W694" s="72" t="s">
        <v>1435</v>
      </c>
      <c r="X694" s="72" t="s">
        <v>982</v>
      </c>
      <c r="Y694" s="72" t="s">
        <v>982</v>
      </c>
      <c r="Z694" s="80">
        <v>45901</v>
      </c>
    </row>
    <row r="695" spans="1:26" x14ac:dyDescent="0.25">
      <c r="A695" s="68">
        <f t="shared" si="256"/>
        <v>715</v>
      </c>
      <c r="B695" s="69" t="s">
        <v>182</v>
      </c>
      <c r="C695" s="68" t="s">
        <v>3411</v>
      </c>
      <c r="D695" s="68" t="s">
        <v>3413</v>
      </c>
      <c r="E695" s="68" t="s">
        <v>886</v>
      </c>
      <c r="F695" s="68" t="s">
        <v>609</v>
      </c>
      <c r="G695" s="68" t="s">
        <v>6</v>
      </c>
      <c r="H695" s="68" t="s">
        <v>888</v>
      </c>
      <c r="I695" s="68">
        <f t="shared" si="258"/>
        <v>1714</v>
      </c>
      <c r="J695" s="68" t="s">
        <v>3415</v>
      </c>
      <c r="K695" s="68" t="s">
        <v>3413</v>
      </c>
      <c r="L695" s="70">
        <v>1</v>
      </c>
      <c r="M695" s="71" t="s">
        <v>979</v>
      </c>
      <c r="N695" s="72" t="s">
        <v>814</v>
      </c>
      <c r="O695" s="68">
        <v>1</v>
      </c>
      <c r="P695" s="69" t="str">
        <f t="shared" si="260"/>
        <v>Cooked Lamb Diced - Oakhouse - GFF546R</v>
      </c>
      <c r="Q695" s="72"/>
      <c r="R695" s="72"/>
      <c r="S695" s="72"/>
      <c r="T695" s="72"/>
      <c r="U695" s="72"/>
      <c r="V695" s="72"/>
      <c r="W695" s="72" t="s">
        <v>1435</v>
      </c>
      <c r="X695" s="72" t="s">
        <v>982</v>
      </c>
      <c r="Y695" s="72" t="s">
        <v>982</v>
      </c>
      <c r="Z695" s="80">
        <v>45917</v>
      </c>
    </row>
    <row r="696" spans="1:26" x14ac:dyDescent="0.25">
      <c r="A696" s="68">
        <f t="shared" si="256"/>
        <v>716</v>
      </c>
      <c r="B696" s="69" t="s">
        <v>182</v>
      </c>
      <c r="C696" s="68" t="s">
        <v>3412</v>
      </c>
      <c r="D696" s="68" t="s">
        <v>3414</v>
      </c>
      <c r="E696" s="68" t="s">
        <v>886</v>
      </c>
      <c r="F696" s="68" t="s">
        <v>1414</v>
      </c>
      <c r="G696" s="68" t="s">
        <v>6</v>
      </c>
      <c r="H696" s="68" t="s">
        <v>888</v>
      </c>
      <c r="I696" s="68">
        <f t="shared" si="258"/>
        <v>1715</v>
      </c>
      <c r="J696" s="68" t="s">
        <v>3416</v>
      </c>
      <c r="K696" s="68" t="s">
        <v>3414</v>
      </c>
      <c r="L696" s="70">
        <v>1</v>
      </c>
      <c r="M696" s="71" t="s">
        <v>979</v>
      </c>
      <c r="N696" s="72" t="s">
        <v>814</v>
      </c>
      <c r="O696" s="68">
        <v>1</v>
      </c>
      <c r="P696" s="69" t="str">
        <f t="shared" ref="P696:P697" si="261">K696&amp;" - "&amp; C696</f>
        <v>Cooked Beef Diced - Oakhouse - GFF547R</v>
      </c>
      <c r="Q696" s="72"/>
      <c r="R696" s="72"/>
      <c r="S696" s="72"/>
      <c r="T696" s="72"/>
      <c r="U696" s="72"/>
      <c r="V696" s="72"/>
      <c r="W696" s="72" t="s">
        <v>1435</v>
      </c>
      <c r="X696" s="72" t="s">
        <v>982</v>
      </c>
      <c r="Y696" s="72" t="s">
        <v>982</v>
      </c>
      <c r="Z696" s="80">
        <v>45917</v>
      </c>
    </row>
    <row r="697" spans="1:26" x14ac:dyDescent="0.25">
      <c r="A697" s="68">
        <f t="shared" si="256"/>
        <v>717</v>
      </c>
      <c r="B697" s="69" t="s">
        <v>182</v>
      </c>
      <c r="C697" s="68" t="s">
        <v>3417</v>
      </c>
      <c r="D697" s="68" t="s">
        <v>3426</v>
      </c>
      <c r="E697" s="68" t="s">
        <v>885</v>
      </c>
      <c r="F697" s="68" t="s">
        <v>56</v>
      </c>
      <c r="G697" s="68" t="s">
        <v>6</v>
      </c>
      <c r="H697" s="68" t="s">
        <v>939</v>
      </c>
      <c r="I697" s="68">
        <f t="shared" si="258"/>
        <v>1716</v>
      </c>
      <c r="J697" s="68" t="s">
        <v>3429</v>
      </c>
      <c r="K697" s="68" t="s">
        <v>3430</v>
      </c>
      <c r="L697" s="70">
        <v>20</v>
      </c>
      <c r="M697" s="71" t="s">
        <v>979</v>
      </c>
      <c r="N697" s="72" t="s">
        <v>814</v>
      </c>
      <c r="O697" s="68">
        <v>6000</v>
      </c>
      <c r="P697" s="69" t="str">
        <f t="shared" si="261"/>
        <v>Vintage Cheddar &amp; Spiced Chutney Filo Bites 20G - GFF548R</v>
      </c>
      <c r="Q697" s="72"/>
      <c r="R697" s="72"/>
      <c r="S697" s="72"/>
      <c r="T697" s="72"/>
      <c r="U697" s="72"/>
      <c r="V697" s="72"/>
      <c r="W697" s="72" t="s">
        <v>1435</v>
      </c>
      <c r="X697" s="72" t="s">
        <v>1744</v>
      </c>
      <c r="Y697" s="72">
        <v>2</v>
      </c>
      <c r="Z697" s="80">
        <v>45926</v>
      </c>
    </row>
    <row r="698" spans="1:26" x14ac:dyDescent="0.25">
      <c r="A698" s="68">
        <f t="shared" si="256"/>
        <v>718</v>
      </c>
      <c r="B698" s="69" t="s">
        <v>182</v>
      </c>
      <c r="C698" s="68" t="s">
        <v>3418</v>
      </c>
      <c r="D698" s="68" t="s">
        <v>3419</v>
      </c>
      <c r="E698" s="68" t="s">
        <v>886</v>
      </c>
      <c r="F698" s="68" t="s">
        <v>56</v>
      </c>
      <c r="G698" s="68" t="s">
        <v>6</v>
      </c>
      <c r="H698" s="68" t="s">
        <v>939</v>
      </c>
      <c r="I698" s="68">
        <f t="shared" si="258"/>
        <v>1717</v>
      </c>
      <c r="J698" s="68" t="s">
        <v>3431</v>
      </c>
      <c r="K698" s="68" t="s">
        <v>3419</v>
      </c>
      <c r="L698" s="70">
        <v>1</v>
      </c>
      <c r="M698" s="71" t="s">
        <v>979</v>
      </c>
      <c r="N698" s="72" t="s">
        <v>814</v>
      </c>
      <c r="O698" s="68">
        <v>1</v>
      </c>
      <c r="P698" s="69" t="str">
        <f t="shared" ref="P698:P700" si="262">K698&amp;" - "&amp; C698</f>
        <v>Chilli Beef Empanadas Filling  - GFF549R</v>
      </c>
      <c r="Q698" s="72"/>
      <c r="R698" s="72"/>
      <c r="S698" s="72"/>
      <c r="T698" s="72"/>
      <c r="U698" s="72"/>
      <c r="V698" s="72"/>
      <c r="W698" s="72" t="s">
        <v>1435</v>
      </c>
      <c r="X698" s="72" t="s">
        <v>1814</v>
      </c>
      <c r="Y698" s="72">
        <v>3</v>
      </c>
      <c r="Z698" s="80">
        <v>45926</v>
      </c>
    </row>
    <row r="699" spans="1:26" x14ac:dyDescent="0.25">
      <c r="A699" s="68">
        <f t="shared" si="256"/>
        <v>719</v>
      </c>
      <c r="B699" s="69" t="s">
        <v>182</v>
      </c>
      <c r="C699" s="68" t="s">
        <v>3420</v>
      </c>
      <c r="D699" s="68" t="s">
        <v>3421</v>
      </c>
      <c r="E699" s="68" t="s">
        <v>885</v>
      </c>
      <c r="F699" s="68" t="s">
        <v>56</v>
      </c>
      <c r="G699" s="68" t="s">
        <v>6</v>
      </c>
      <c r="H699" s="68" t="s">
        <v>939</v>
      </c>
      <c r="I699" s="68">
        <f t="shared" si="258"/>
        <v>1718</v>
      </c>
      <c r="J699" s="68" t="s">
        <v>3433</v>
      </c>
      <c r="K699" s="68" t="s">
        <v>3434</v>
      </c>
      <c r="L699" s="70">
        <v>20</v>
      </c>
      <c r="M699" s="71" t="s">
        <v>979</v>
      </c>
      <c r="N699" s="72" t="s">
        <v>814</v>
      </c>
      <c r="O699" s="68">
        <v>7000</v>
      </c>
      <c r="P699" s="69" t="str">
        <f t="shared" si="262"/>
        <v>Chilli Beef Empanadas 20G - GFF550R</v>
      </c>
      <c r="Q699" s="72"/>
      <c r="R699" s="72"/>
      <c r="S699" s="72"/>
      <c r="T699" s="72"/>
      <c r="U699" s="72"/>
      <c r="V699" s="72"/>
      <c r="W699" s="72" t="s">
        <v>1435</v>
      </c>
      <c r="X699" s="72" t="s">
        <v>1499</v>
      </c>
      <c r="Y699" s="72">
        <v>3</v>
      </c>
      <c r="Z699" s="80">
        <v>45926</v>
      </c>
    </row>
    <row r="700" spans="1:26" x14ac:dyDescent="0.25">
      <c r="A700" s="68">
        <f t="shared" si="256"/>
        <v>720</v>
      </c>
      <c r="B700" s="69" t="s">
        <v>182</v>
      </c>
      <c r="C700" s="68" t="s">
        <v>3422</v>
      </c>
      <c r="D700" s="68" t="s">
        <v>3423</v>
      </c>
      <c r="E700" s="68" t="s">
        <v>886</v>
      </c>
      <c r="F700" s="68" t="s">
        <v>56</v>
      </c>
      <c r="G700" s="68" t="s">
        <v>6</v>
      </c>
      <c r="H700" s="68" t="s">
        <v>939</v>
      </c>
      <c r="I700" s="68">
        <f t="shared" si="258"/>
        <v>1719</v>
      </c>
      <c r="J700" s="68" t="s">
        <v>3432</v>
      </c>
      <c r="K700" s="68" t="s">
        <v>3423</v>
      </c>
      <c r="L700" s="70">
        <v>1</v>
      </c>
      <c r="M700" s="71" t="s">
        <v>979</v>
      </c>
      <c r="N700" s="72" t="s">
        <v>814</v>
      </c>
      <c r="O700" s="68"/>
      <c r="P700" s="69" t="str">
        <f t="shared" si="262"/>
        <v>Duck Samosa Filling  - GFF551R</v>
      </c>
      <c r="Q700" s="72"/>
      <c r="R700" s="72"/>
      <c r="S700" s="72"/>
      <c r="T700" s="72"/>
      <c r="U700" s="72"/>
      <c r="V700" s="72"/>
      <c r="W700" s="72" t="s">
        <v>1435</v>
      </c>
      <c r="X700" s="72" t="s">
        <v>3438</v>
      </c>
      <c r="Y700" s="72">
        <v>1</v>
      </c>
      <c r="Z700" s="80">
        <v>45926</v>
      </c>
    </row>
    <row r="701" spans="1:26" x14ac:dyDescent="0.25">
      <c r="A701" s="68">
        <f t="shared" si="256"/>
        <v>721</v>
      </c>
      <c r="B701" s="69" t="s">
        <v>182</v>
      </c>
      <c r="C701" s="68" t="s">
        <v>3424</v>
      </c>
      <c r="D701" s="68" t="s">
        <v>3435</v>
      </c>
      <c r="E701" s="68" t="s">
        <v>885</v>
      </c>
      <c r="F701" s="68" t="s">
        <v>3428</v>
      </c>
      <c r="G701" s="68" t="s">
        <v>6</v>
      </c>
      <c r="H701" s="68" t="s">
        <v>939</v>
      </c>
      <c r="I701" s="68">
        <f t="shared" si="258"/>
        <v>1720</v>
      </c>
      <c r="J701" s="68" t="s">
        <v>3436</v>
      </c>
      <c r="K701" s="68" t="s">
        <v>3435</v>
      </c>
      <c r="L701" s="70">
        <v>25</v>
      </c>
      <c r="M701" s="71" t="s">
        <v>979</v>
      </c>
      <c r="N701" s="72" t="s">
        <v>814</v>
      </c>
      <c r="O701" s="68">
        <v>7500</v>
      </c>
      <c r="P701" s="69" t="str">
        <f t="shared" ref="P701:P704" si="263">K701&amp;" - "&amp; C701</f>
        <v>Duck Samosa 25G - GFF552R</v>
      </c>
      <c r="Q701" s="72"/>
      <c r="R701" s="72"/>
      <c r="S701" s="72"/>
      <c r="T701" s="72"/>
      <c r="U701" s="72"/>
      <c r="V701" s="72"/>
      <c r="W701" s="72" t="s">
        <v>1435</v>
      </c>
      <c r="X701" s="72" t="s">
        <v>3438</v>
      </c>
      <c r="Y701" s="72">
        <v>1</v>
      </c>
      <c r="Z701" s="80">
        <v>45926</v>
      </c>
    </row>
    <row r="702" spans="1:26" x14ac:dyDescent="0.25">
      <c r="A702" s="68">
        <f t="shared" si="256"/>
        <v>722</v>
      </c>
      <c r="B702" s="69" t="s">
        <v>182</v>
      </c>
      <c r="C702" s="68" t="s">
        <v>3425</v>
      </c>
      <c r="D702" s="68" t="s">
        <v>3427</v>
      </c>
      <c r="E702" s="68" t="s">
        <v>886</v>
      </c>
      <c r="F702" s="68" t="s">
        <v>130</v>
      </c>
      <c r="G702" s="68" t="s">
        <v>6</v>
      </c>
      <c r="H702" s="68" t="s">
        <v>939</v>
      </c>
      <c r="I702" s="68">
        <f t="shared" si="258"/>
        <v>1721</v>
      </c>
      <c r="J702" s="68" t="s">
        <v>3437</v>
      </c>
      <c r="K702" s="68" t="s">
        <v>3427</v>
      </c>
      <c r="L702" s="70">
        <v>1</v>
      </c>
      <c r="M702" s="71" t="s">
        <v>980</v>
      </c>
      <c r="N702" s="72" t="s">
        <v>814</v>
      </c>
      <c r="O702" s="68"/>
      <c r="P702" s="69" t="str">
        <f t="shared" si="263"/>
        <v>Plum Chilli Dip  - GFF553R</v>
      </c>
      <c r="Q702" s="72"/>
      <c r="R702" s="72"/>
      <c r="S702" s="72"/>
      <c r="T702" s="72"/>
      <c r="U702" s="72"/>
      <c r="V702" s="72"/>
      <c r="W702" s="72" t="s">
        <v>1435</v>
      </c>
      <c r="X702" s="72" t="s">
        <v>982</v>
      </c>
      <c r="Y702" s="72" t="s">
        <v>982</v>
      </c>
      <c r="Z702" s="80">
        <v>45926</v>
      </c>
    </row>
    <row r="703" spans="1:26" x14ac:dyDescent="0.25">
      <c r="A703" s="68">
        <f t="shared" si="256"/>
        <v>723</v>
      </c>
      <c r="B703" s="69" t="s">
        <v>182</v>
      </c>
      <c r="C703" s="68" t="s">
        <v>3439</v>
      </c>
      <c r="D703" s="68" t="s">
        <v>3440</v>
      </c>
      <c r="E703" s="68" t="s">
        <v>885</v>
      </c>
      <c r="F703" s="68" t="s">
        <v>56</v>
      </c>
      <c r="G703" s="68" t="s">
        <v>17</v>
      </c>
      <c r="H703" s="68" t="s">
        <v>939</v>
      </c>
      <c r="I703" s="68">
        <f t="shared" si="258"/>
        <v>1722</v>
      </c>
      <c r="J703" s="68" t="s">
        <v>3439</v>
      </c>
      <c r="K703" s="68" t="s">
        <v>3440</v>
      </c>
      <c r="L703" s="70">
        <v>270</v>
      </c>
      <c r="M703" s="71" t="s">
        <v>980</v>
      </c>
      <c r="N703" s="72" t="s">
        <v>814</v>
      </c>
      <c r="O703" s="68">
        <v>1</v>
      </c>
      <c r="P703" s="69" t="str">
        <f t="shared" si="263"/>
        <v>8 Tempura Vegetable Fritters W/Sweet Chilli Dip 270G (Ready Packed) - TRA003-18</v>
      </c>
      <c r="Q703" s="72"/>
      <c r="R703" s="72"/>
      <c r="S703" s="72"/>
      <c r="T703" s="72"/>
      <c r="U703" s="72"/>
      <c r="V703" s="72"/>
      <c r="W703" s="72" t="s">
        <v>1435</v>
      </c>
      <c r="X703" s="72" t="s">
        <v>1499</v>
      </c>
      <c r="Y703" s="72">
        <v>3</v>
      </c>
      <c r="Z703" s="80">
        <v>45938</v>
      </c>
    </row>
    <row r="704" spans="1:26" x14ac:dyDescent="0.25">
      <c r="A704" s="68">
        <f t="shared" si="256"/>
        <v>724</v>
      </c>
      <c r="B704" s="69" t="s">
        <v>182</v>
      </c>
      <c r="C704" s="68" t="s">
        <v>3441</v>
      </c>
      <c r="D704" s="68" t="s">
        <v>3442</v>
      </c>
      <c r="E704" s="68" t="s">
        <v>885</v>
      </c>
      <c r="F704" s="68" t="s">
        <v>56</v>
      </c>
      <c r="G704" s="68" t="s">
        <v>17</v>
      </c>
      <c r="H704" s="68" t="s">
        <v>939</v>
      </c>
      <c r="I704" s="68">
        <f t="shared" si="258"/>
        <v>1723</v>
      </c>
      <c r="J704" s="68" t="s">
        <v>3441</v>
      </c>
      <c r="K704" s="68" t="s">
        <v>3442</v>
      </c>
      <c r="L704" s="70">
        <v>230</v>
      </c>
      <c r="M704" s="71" t="s">
        <v>979</v>
      </c>
      <c r="N704" s="72" t="s">
        <v>814</v>
      </c>
      <c r="O704" s="68">
        <v>1</v>
      </c>
      <c r="P704" s="69" t="str">
        <f t="shared" si="263"/>
        <v>8 Sesame King Prawn Toast with Ponzu Dip | 230G (Ready Packed) - TRA003-17</v>
      </c>
      <c r="Q704" s="72"/>
      <c r="R704" s="72"/>
      <c r="S704" s="72"/>
      <c r="T704" s="72"/>
      <c r="U704" s="72"/>
      <c r="V704" s="72"/>
      <c r="W704" s="72" t="s">
        <v>1435</v>
      </c>
      <c r="X704" s="72" t="s">
        <v>3212</v>
      </c>
      <c r="Y704" s="72">
        <v>1</v>
      </c>
      <c r="Z704" s="80">
        <v>45938</v>
      </c>
    </row>
    <row r="705" spans="1:26" x14ac:dyDescent="0.25">
      <c r="A705" s="68">
        <f t="shared" si="256"/>
        <v>725</v>
      </c>
      <c r="B705" s="69" t="s">
        <v>3232</v>
      </c>
      <c r="C705" s="68" t="s">
        <v>3445</v>
      </c>
      <c r="D705" s="68" t="s">
        <v>3455</v>
      </c>
      <c r="E705" s="68" t="s">
        <v>885</v>
      </c>
      <c r="F705" s="68" t="s">
        <v>128</v>
      </c>
      <c r="G705" s="68" t="s">
        <v>17</v>
      </c>
      <c r="H705" s="68" t="s">
        <v>888</v>
      </c>
      <c r="I705" s="68">
        <f t="shared" si="258"/>
        <v>1724</v>
      </c>
      <c r="J705" s="68" t="s">
        <v>3445</v>
      </c>
      <c r="K705" s="68" t="s">
        <v>3455</v>
      </c>
      <c r="L705" s="70">
        <v>400</v>
      </c>
      <c r="M705" s="71" t="s">
        <v>979</v>
      </c>
      <c r="N705" s="72" t="s">
        <v>814</v>
      </c>
      <c r="O705" s="68">
        <v>1</v>
      </c>
      <c r="P705" s="69" t="str">
        <f t="shared" ref="P705" si="264">K705&amp;" - "&amp; C705</f>
        <v>IS- Chick'n Hut Battered Chicken Nuggets | 400G X 8 - WEI002-13</v>
      </c>
      <c r="Q705" s="72"/>
      <c r="R705" s="72"/>
      <c r="S705" s="72"/>
      <c r="T705" s="72"/>
      <c r="U705" s="72"/>
      <c r="V705" s="72"/>
      <c r="W705" s="72" t="s">
        <v>1435</v>
      </c>
      <c r="X705" s="72" t="s">
        <v>982</v>
      </c>
      <c r="Y705" s="72" t="s">
        <v>982</v>
      </c>
      <c r="Z705" s="80">
        <v>45954</v>
      </c>
    </row>
    <row r="706" spans="1:26" x14ac:dyDescent="0.25">
      <c r="A706" s="68">
        <f t="shared" si="256"/>
        <v>726</v>
      </c>
      <c r="B706" s="69" t="s">
        <v>3232</v>
      </c>
      <c r="C706" s="68" t="s">
        <v>3446</v>
      </c>
      <c r="D706" s="68" t="s">
        <v>3456</v>
      </c>
      <c r="E706" s="68" t="s">
        <v>885</v>
      </c>
      <c r="F706" s="68" t="s">
        <v>128</v>
      </c>
      <c r="G706" s="68" t="s">
        <v>17</v>
      </c>
      <c r="H706" s="68" t="s">
        <v>888</v>
      </c>
      <c r="I706" s="68">
        <f t="shared" si="258"/>
        <v>1725</v>
      </c>
      <c r="J706" s="68" t="s">
        <v>3446</v>
      </c>
      <c r="K706" s="68" t="s">
        <v>3456</v>
      </c>
      <c r="L706" s="70">
        <v>400</v>
      </c>
      <c r="M706" s="71" t="s">
        <v>979</v>
      </c>
      <c r="N706" s="72" t="s">
        <v>814</v>
      </c>
      <c r="O706" s="68">
        <v>1</v>
      </c>
      <c r="P706" s="69" t="str">
        <f t="shared" ref="P706:P715" si="265">K706&amp;" - "&amp; C706</f>
        <v>IS- Chick'n Hut Breaded Chicken Dippers| 400G X 8 - WEI002-12</v>
      </c>
      <c r="Q706" s="72"/>
      <c r="R706" s="72"/>
      <c r="S706" s="72"/>
      <c r="T706" s="72"/>
      <c r="U706" s="72"/>
      <c r="V706" s="72"/>
      <c r="W706" s="72" t="s">
        <v>1435</v>
      </c>
      <c r="X706" s="72" t="s">
        <v>982</v>
      </c>
      <c r="Y706" s="72" t="s">
        <v>982</v>
      </c>
      <c r="Z706" s="80">
        <v>45954</v>
      </c>
    </row>
    <row r="707" spans="1:26" x14ac:dyDescent="0.25">
      <c r="A707" s="68">
        <f t="shared" si="256"/>
        <v>727</v>
      </c>
      <c r="B707" s="69" t="s">
        <v>3232</v>
      </c>
      <c r="C707" s="68" t="s">
        <v>3447</v>
      </c>
      <c r="D707" s="68" t="s">
        <v>3457</v>
      </c>
      <c r="E707" s="68" t="s">
        <v>885</v>
      </c>
      <c r="F707" s="68" t="s">
        <v>128</v>
      </c>
      <c r="G707" s="68" t="s">
        <v>17</v>
      </c>
      <c r="H707" s="68" t="s">
        <v>888</v>
      </c>
      <c r="I707" s="68">
        <f t="shared" si="258"/>
        <v>1726</v>
      </c>
      <c r="J707" s="68" t="s">
        <v>3447</v>
      </c>
      <c r="K707" s="68" t="s">
        <v>3457</v>
      </c>
      <c r="L707" s="70">
        <v>400</v>
      </c>
      <c r="M707" s="71" t="s">
        <v>979</v>
      </c>
      <c r="N707" s="72" t="s">
        <v>814</v>
      </c>
      <c r="O707" s="68">
        <v>1</v>
      </c>
      <c r="P707" s="69" t="str">
        <f t="shared" si="265"/>
        <v>IS- Chick'n Hut Breaded Firecracker Chicken Steaks | 400G X 8 - WEI002-10</v>
      </c>
      <c r="Q707" s="72"/>
      <c r="R707" s="72"/>
      <c r="S707" s="72"/>
      <c r="T707" s="72"/>
      <c r="U707" s="72"/>
      <c r="V707" s="72"/>
      <c r="W707" s="72" t="s">
        <v>1435</v>
      </c>
      <c r="X707" s="72" t="s">
        <v>982</v>
      </c>
      <c r="Y707" s="72" t="s">
        <v>982</v>
      </c>
      <c r="Z707" s="80">
        <v>45954</v>
      </c>
    </row>
    <row r="708" spans="1:26" x14ac:dyDescent="0.25">
      <c r="A708" s="68">
        <f t="shared" si="256"/>
        <v>728</v>
      </c>
      <c r="B708" s="69" t="s">
        <v>3232</v>
      </c>
      <c r="C708" s="68" t="s">
        <v>3448</v>
      </c>
      <c r="D708" s="68" t="s">
        <v>3458</v>
      </c>
      <c r="E708" s="68" t="s">
        <v>885</v>
      </c>
      <c r="F708" s="68" t="s">
        <v>128</v>
      </c>
      <c r="G708" s="68" t="s">
        <v>17</v>
      </c>
      <c r="H708" s="68" t="s">
        <v>888</v>
      </c>
      <c r="I708" s="68">
        <f t="shared" si="258"/>
        <v>1727</v>
      </c>
      <c r="J708" s="68" t="s">
        <v>3448</v>
      </c>
      <c r="K708" s="68" t="s">
        <v>3458</v>
      </c>
      <c r="L708" s="70">
        <v>400</v>
      </c>
      <c r="M708" s="71" t="s">
        <v>979</v>
      </c>
      <c r="N708" s="72" t="s">
        <v>814</v>
      </c>
      <c r="O708" s="68">
        <v>1</v>
      </c>
      <c r="P708" s="69" t="str">
        <f t="shared" si="265"/>
        <v>IS- Chick'n Hut Breaded Katsu Style Chicken Steaks | 400G X 8 - WEI002-09</v>
      </c>
      <c r="Q708" s="72"/>
      <c r="R708" s="72"/>
      <c r="S708" s="72"/>
      <c r="T708" s="72"/>
      <c r="U708" s="72"/>
      <c r="V708" s="72"/>
      <c r="W708" s="72" t="s">
        <v>1435</v>
      </c>
      <c r="X708" s="72" t="s">
        <v>982</v>
      </c>
      <c r="Y708" s="72" t="s">
        <v>982</v>
      </c>
      <c r="Z708" s="80">
        <v>45954</v>
      </c>
    </row>
    <row r="709" spans="1:26" x14ac:dyDescent="0.25">
      <c r="A709" s="68">
        <f t="shared" si="256"/>
        <v>729</v>
      </c>
      <c r="B709" s="69" t="s">
        <v>3232</v>
      </c>
      <c r="C709" s="68" t="s">
        <v>3449</v>
      </c>
      <c r="D709" s="68" t="s">
        <v>3459</v>
      </c>
      <c r="E709" s="68" t="s">
        <v>885</v>
      </c>
      <c r="F709" s="68" t="s">
        <v>128</v>
      </c>
      <c r="G709" s="68" t="s">
        <v>17</v>
      </c>
      <c r="H709" s="68" t="s">
        <v>888</v>
      </c>
      <c r="I709" s="68">
        <f t="shared" si="258"/>
        <v>1728</v>
      </c>
      <c r="J709" s="68" t="s">
        <v>3449</v>
      </c>
      <c r="K709" s="68" t="s">
        <v>3459</v>
      </c>
      <c r="L709" s="70">
        <v>400</v>
      </c>
      <c r="M709" s="71" t="s">
        <v>979</v>
      </c>
      <c r="N709" s="72" t="s">
        <v>814</v>
      </c>
      <c r="O709" s="68">
        <v>1</v>
      </c>
      <c r="P709" s="69" t="str">
        <f t="shared" si="265"/>
        <v>IS- Chick'n Hut Salt &amp; Pepper Breaded Chicken Fillets | 400G X 8 - WEI002-14</v>
      </c>
      <c r="Q709" s="72"/>
      <c r="R709" s="72"/>
      <c r="S709" s="72"/>
      <c r="T709" s="72"/>
      <c r="U709" s="72"/>
      <c r="V709" s="72"/>
      <c r="W709" s="72" t="s">
        <v>1435</v>
      </c>
      <c r="X709" s="72" t="s">
        <v>982</v>
      </c>
      <c r="Y709" s="72" t="s">
        <v>982</v>
      </c>
      <c r="Z709" s="80">
        <v>45954</v>
      </c>
    </row>
    <row r="710" spans="1:26" x14ac:dyDescent="0.25">
      <c r="A710" s="68">
        <f t="shared" si="256"/>
        <v>730</v>
      </c>
      <c r="B710" s="69" t="s">
        <v>3232</v>
      </c>
      <c r="C710" s="68" t="s">
        <v>3450</v>
      </c>
      <c r="D710" s="68" t="s">
        <v>3460</v>
      </c>
      <c r="E710" s="68" t="s">
        <v>885</v>
      </c>
      <c r="F710" s="68" t="s">
        <v>128</v>
      </c>
      <c r="G710" s="68" t="s">
        <v>17</v>
      </c>
      <c r="H710" s="68" t="s">
        <v>888</v>
      </c>
      <c r="I710" s="68">
        <f t="shared" si="258"/>
        <v>1729</v>
      </c>
      <c r="J710" s="68" t="s">
        <v>3450</v>
      </c>
      <c r="K710" s="68" t="s">
        <v>3460</v>
      </c>
      <c r="L710" s="70">
        <v>400</v>
      </c>
      <c r="M710" s="71" t="s">
        <v>979</v>
      </c>
      <c r="N710" s="72" t="s">
        <v>814</v>
      </c>
      <c r="O710" s="68">
        <v>1</v>
      </c>
      <c r="P710" s="69" t="str">
        <f t="shared" si="265"/>
        <v>IS- Chick'n Hut Peri Peri Breaded Chicken Fillets | 400G X 8 - WEI002-15</v>
      </c>
      <c r="Q710" s="72"/>
      <c r="R710" s="72"/>
      <c r="S710" s="72"/>
      <c r="T710" s="72"/>
      <c r="U710" s="72"/>
      <c r="V710" s="72"/>
      <c r="W710" s="72" t="s">
        <v>1435</v>
      </c>
      <c r="X710" s="72" t="s">
        <v>982</v>
      </c>
      <c r="Y710" s="72" t="s">
        <v>982</v>
      </c>
      <c r="Z710" s="80">
        <v>45954</v>
      </c>
    </row>
    <row r="711" spans="1:26" x14ac:dyDescent="0.25">
      <c r="A711" s="68">
        <f t="shared" si="256"/>
        <v>731</v>
      </c>
      <c r="B711" s="69" t="s">
        <v>3232</v>
      </c>
      <c r="C711" s="68" t="s">
        <v>3451</v>
      </c>
      <c r="D711" s="68" t="s">
        <v>3461</v>
      </c>
      <c r="E711" s="68" t="s">
        <v>885</v>
      </c>
      <c r="F711" s="68" t="s">
        <v>128</v>
      </c>
      <c r="G711" s="68" t="s">
        <v>17</v>
      </c>
      <c r="H711" s="68" t="s">
        <v>888</v>
      </c>
      <c r="I711" s="68">
        <f t="shared" si="258"/>
        <v>1730</v>
      </c>
      <c r="J711" s="68" t="s">
        <v>3451</v>
      </c>
      <c r="K711" s="68" t="s">
        <v>3461</v>
      </c>
      <c r="L711" s="70">
        <v>400</v>
      </c>
      <c r="M711" s="71" t="s">
        <v>979</v>
      </c>
      <c r="N711" s="72" t="s">
        <v>814</v>
      </c>
      <c r="O711" s="68">
        <v>1</v>
      </c>
      <c r="P711" s="69" t="str">
        <f t="shared" si="265"/>
        <v>IS- Chick'n Hut Hot &amp; Spicy Breaded Chicken Strips | 400G X 8 - WEI002-16</v>
      </c>
      <c r="Q711" s="72"/>
      <c r="R711" s="72"/>
      <c r="S711" s="72"/>
      <c r="T711" s="72"/>
      <c r="U711" s="72"/>
      <c r="V711" s="72"/>
      <c r="W711" s="72" t="s">
        <v>1435</v>
      </c>
      <c r="X711" s="72" t="s">
        <v>982</v>
      </c>
      <c r="Y711" s="72" t="s">
        <v>982</v>
      </c>
      <c r="Z711" s="80">
        <v>45954</v>
      </c>
    </row>
    <row r="712" spans="1:26" x14ac:dyDescent="0.25">
      <c r="A712" s="68">
        <f t="shared" si="256"/>
        <v>732</v>
      </c>
      <c r="B712" s="69" t="s">
        <v>3232</v>
      </c>
      <c r="C712" s="68" t="s">
        <v>3452</v>
      </c>
      <c r="D712" s="68" t="s">
        <v>3462</v>
      </c>
      <c r="E712" s="68" t="s">
        <v>885</v>
      </c>
      <c r="F712" s="68" t="s">
        <v>128</v>
      </c>
      <c r="G712" s="68" t="s">
        <v>17</v>
      </c>
      <c r="H712" s="68" t="s">
        <v>888</v>
      </c>
      <c r="I712" s="68">
        <f t="shared" si="258"/>
        <v>1731</v>
      </c>
      <c r="J712" s="68" t="s">
        <v>3452</v>
      </c>
      <c r="K712" s="68" t="s">
        <v>3462</v>
      </c>
      <c r="L712" s="70">
        <v>400</v>
      </c>
      <c r="M712" s="71" t="s">
        <v>979</v>
      </c>
      <c r="N712" s="72" t="s">
        <v>814</v>
      </c>
      <c r="O712" s="68">
        <v>1</v>
      </c>
      <c r="P712" s="69" t="str">
        <f t="shared" si="265"/>
        <v>IS- Chick'n Hut Southern Fried Breaded Chicken Strips | 400G X 8 - WEI002-17</v>
      </c>
      <c r="Q712" s="72"/>
      <c r="R712" s="72"/>
      <c r="S712" s="72"/>
      <c r="T712" s="72"/>
      <c r="U712" s="72"/>
      <c r="V712" s="72"/>
      <c r="W712" s="72" t="s">
        <v>1435</v>
      </c>
      <c r="X712" s="72" t="s">
        <v>982</v>
      </c>
      <c r="Y712" s="72" t="s">
        <v>982</v>
      </c>
      <c r="Z712" s="80">
        <v>45954</v>
      </c>
    </row>
    <row r="713" spans="1:26" x14ac:dyDescent="0.25">
      <c r="A713" s="68">
        <f t="shared" si="256"/>
        <v>733</v>
      </c>
      <c r="B713" s="69" t="s">
        <v>3232</v>
      </c>
      <c r="C713" s="68" t="s">
        <v>3453</v>
      </c>
      <c r="D713" s="68" t="s">
        <v>3463</v>
      </c>
      <c r="E713" s="68" t="s">
        <v>885</v>
      </c>
      <c r="F713" s="68" t="s">
        <v>128</v>
      </c>
      <c r="G713" s="68" t="s">
        <v>17</v>
      </c>
      <c r="H713" s="68" t="s">
        <v>888</v>
      </c>
      <c r="I713" s="68">
        <f t="shared" si="258"/>
        <v>1732</v>
      </c>
      <c r="J713" s="68" t="s">
        <v>3453</v>
      </c>
      <c r="K713" s="68" t="s">
        <v>3463</v>
      </c>
      <c r="L713" s="70">
        <v>400</v>
      </c>
      <c r="M713" s="71" t="s">
        <v>979</v>
      </c>
      <c r="N713" s="72" t="s">
        <v>814</v>
      </c>
      <c r="O713" s="68">
        <v>1</v>
      </c>
      <c r="P713" s="69" t="str">
        <f t="shared" si="265"/>
        <v>IS- Chick'n Hut Chicken Tikka Chunks | 400G X 8 - WEI002-11</v>
      </c>
      <c r="Q713" s="72"/>
      <c r="R713" s="72"/>
      <c r="S713" s="72"/>
      <c r="T713" s="72"/>
      <c r="U713" s="72"/>
      <c r="V713" s="72"/>
      <c r="W713" s="72" t="s">
        <v>1435</v>
      </c>
      <c r="X713" s="72" t="s">
        <v>982</v>
      </c>
      <c r="Y713" s="72" t="s">
        <v>982</v>
      </c>
      <c r="Z713" s="80">
        <v>45954</v>
      </c>
    </row>
    <row r="714" spans="1:26" x14ac:dyDescent="0.25">
      <c r="A714" s="68">
        <f t="shared" si="256"/>
        <v>734</v>
      </c>
      <c r="B714" s="69" t="s">
        <v>3232</v>
      </c>
      <c r="C714" s="68" t="s">
        <v>3454</v>
      </c>
      <c r="D714" s="68" t="s">
        <v>3464</v>
      </c>
      <c r="E714" s="68" t="s">
        <v>885</v>
      </c>
      <c r="F714" s="68" t="s">
        <v>128</v>
      </c>
      <c r="G714" s="68" t="s">
        <v>17</v>
      </c>
      <c r="H714" s="68" t="s">
        <v>888</v>
      </c>
      <c r="I714" s="68">
        <f t="shared" si="258"/>
        <v>1733</v>
      </c>
      <c r="J714" s="68" t="s">
        <v>3454</v>
      </c>
      <c r="K714" s="68" t="s">
        <v>3464</v>
      </c>
      <c r="L714" s="70">
        <v>400</v>
      </c>
      <c r="M714" s="71" t="s">
        <v>979</v>
      </c>
      <c r="N714" s="72" t="s">
        <v>814</v>
      </c>
      <c r="O714" s="68">
        <v>1</v>
      </c>
      <c r="P714" s="69" t="str">
        <f t="shared" si="265"/>
        <v>IS- Chick'n Hut Breaded Hot &amp; Spicy Chicken Chunks | 400G X 8 - WEI002-08</v>
      </c>
      <c r="Q714" s="72"/>
      <c r="R714" s="72"/>
      <c r="S714" s="72"/>
      <c r="T714" s="72"/>
      <c r="U714" s="72"/>
      <c r="V714" s="72"/>
      <c r="W714" s="72" t="s">
        <v>1435</v>
      </c>
      <c r="X714" s="72" t="s">
        <v>982</v>
      </c>
      <c r="Y714" s="72" t="s">
        <v>982</v>
      </c>
      <c r="Z714" s="80">
        <v>45954</v>
      </c>
    </row>
    <row r="715" spans="1:26" x14ac:dyDescent="0.25">
      <c r="A715" s="68">
        <f t="shared" si="256"/>
        <v>735</v>
      </c>
      <c r="B715" s="69" t="s">
        <v>172</v>
      </c>
      <c r="C715" s="68" t="s">
        <v>3471</v>
      </c>
      <c r="D715" s="68" t="s">
        <v>3465</v>
      </c>
      <c r="E715" s="68" t="s">
        <v>885</v>
      </c>
      <c r="F715" s="68" t="s">
        <v>40</v>
      </c>
      <c r="G715" s="68" t="s">
        <v>17</v>
      </c>
      <c r="H715" s="68" t="s">
        <v>888</v>
      </c>
      <c r="I715" s="68">
        <f t="shared" si="258"/>
        <v>1734</v>
      </c>
      <c r="J715" s="68" t="s">
        <v>3467</v>
      </c>
      <c r="K715" s="68" t="s">
        <v>3466</v>
      </c>
      <c r="L715" s="70">
        <v>30</v>
      </c>
      <c r="M715" s="71" t="s">
        <v>980</v>
      </c>
      <c r="N715" s="72" t="s">
        <v>814</v>
      </c>
      <c r="O715" s="68">
        <v>1</v>
      </c>
      <c r="P715" s="69" t="str">
        <f t="shared" si="265"/>
        <v>Onion Bhaji 30G (Pre-Fried) - Ind - SRI001-02</v>
      </c>
      <c r="Q715" s="72"/>
      <c r="R715" s="72"/>
      <c r="S715" s="72"/>
      <c r="T715" s="72"/>
      <c r="U715" s="72"/>
      <c r="V715" s="72"/>
      <c r="W715" s="72" t="s">
        <v>1435</v>
      </c>
      <c r="X715" s="72" t="s">
        <v>982</v>
      </c>
      <c r="Y715" s="72" t="s">
        <v>982</v>
      </c>
      <c r="Z715" s="80">
        <v>45968</v>
      </c>
    </row>
    <row r="716" spans="1:26" x14ac:dyDescent="0.25">
      <c r="A716" s="68">
        <f t="shared" si="256"/>
        <v>736</v>
      </c>
      <c r="B716" s="69" t="s">
        <v>172</v>
      </c>
      <c r="C716" s="68" t="s">
        <v>3472</v>
      </c>
      <c r="D716" s="68" t="s">
        <v>3468</v>
      </c>
      <c r="E716" s="68" t="s">
        <v>885</v>
      </c>
      <c r="F716" s="68" t="s">
        <v>13</v>
      </c>
      <c r="G716" s="68" t="s">
        <v>17</v>
      </c>
      <c r="H716" s="68" t="s">
        <v>888</v>
      </c>
      <c r="I716" s="68">
        <f t="shared" si="258"/>
        <v>1735</v>
      </c>
      <c r="J716" s="68" t="s">
        <v>3470</v>
      </c>
      <c r="K716" s="68" t="s">
        <v>3469</v>
      </c>
      <c r="L716" s="70">
        <v>40</v>
      </c>
      <c r="M716" s="71" t="s">
        <v>980</v>
      </c>
      <c r="N716" s="72" t="s">
        <v>814</v>
      </c>
      <c r="O716" s="68">
        <v>1</v>
      </c>
      <c r="P716" s="69" t="str">
        <f t="shared" ref="P716:P718" si="266">K716&amp;" - "&amp; C716</f>
        <v>Vegetable Samosa 40G (Pre-Fried) - Ind - SRI001-03</v>
      </c>
      <c r="Q716" s="72"/>
      <c r="R716" s="72"/>
      <c r="S716" s="72"/>
      <c r="T716" s="72"/>
      <c r="U716" s="72"/>
      <c r="V716" s="72"/>
      <c r="W716" s="72" t="s">
        <v>1435</v>
      </c>
      <c r="X716" s="72" t="s">
        <v>1501</v>
      </c>
      <c r="Y716" s="72">
        <v>3</v>
      </c>
      <c r="Z716" s="80">
        <v>45968</v>
      </c>
    </row>
    <row r="717" spans="1:26" x14ac:dyDescent="0.25">
      <c r="A717" s="68">
        <f t="shared" si="256"/>
        <v>737</v>
      </c>
      <c r="B717" s="69" t="s">
        <v>182</v>
      </c>
      <c r="C717" s="68" t="s">
        <v>3473</v>
      </c>
      <c r="D717" s="68" t="s">
        <v>3474</v>
      </c>
      <c r="E717" s="68" t="s">
        <v>886</v>
      </c>
      <c r="F717" s="68" t="s">
        <v>62</v>
      </c>
      <c r="G717" s="68" t="s">
        <v>6</v>
      </c>
      <c r="H717" s="68" t="s">
        <v>888</v>
      </c>
      <c r="I717" s="68">
        <f t="shared" si="258"/>
        <v>1736</v>
      </c>
      <c r="J717" s="68" t="s">
        <v>3475</v>
      </c>
      <c r="K717" s="68" t="s">
        <v>3474</v>
      </c>
      <c r="L717" s="70">
        <v>1</v>
      </c>
      <c r="M717" s="71" t="s">
        <v>980</v>
      </c>
      <c r="N717" s="72" t="s">
        <v>814</v>
      </c>
      <c r="O717" s="68">
        <v>1</v>
      </c>
      <c r="P717" s="69" t="str">
        <f t="shared" si="266"/>
        <v>Low Salt Balti Sauce - GFF554R</v>
      </c>
      <c r="Q717" s="72"/>
      <c r="R717" s="72"/>
      <c r="S717" s="72"/>
      <c r="T717" s="72"/>
      <c r="U717" s="72"/>
      <c r="V717" s="72"/>
      <c r="W717" s="72" t="s">
        <v>1435</v>
      </c>
      <c r="X717" s="72" t="s">
        <v>1490</v>
      </c>
      <c r="Y717" s="72">
        <v>2</v>
      </c>
      <c r="Z717" s="80">
        <v>45993</v>
      </c>
    </row>
    <row r="718" spans="1:26" x14ac:dyDescent="0.25">
      <c r="A718" s="68">
        <f t="shared" si="256"/>
        <v>738</v>
      </c>
      <c r="B718" s="69" t="s">
        <v>172</v>
      </c>
      <c r="C718" s="68" t="s">
        <v>3476</v>
      </c>
      <c r="D718" s="68" t="s">
        <v>3477</v>
      </c>
      <c r="E718" s="68" t="s">
        <v>885</v>
      </c>
      <c r="F718" s="68" t="s">
        <v>13</v>
      </c>
      <c r="G718" s="68" t="s">
        <v>17</v>
      </c>
      <c r="H718" s="68" t="s">
        <v>888</v>
      </c>
      <c r="I718" s="68">
        <f t="shared" si="258"/>
        <v>1737</v>
      </c>
      <c r="J718" s="68" t="s">
        <v>3478</v>
      </c>
      <c r="K718" s="68" t="s">
        <v>3479</v>
      </c>
      <c r="L718" s="70">
        <v>25</v>
      </c>
      <c r="M718" s="71" t="s">
        <v>980</v>
      </c>
      <c r="N718" s="72" t="s">
        <v>814</v>
      </c>
      <c r="O718" s="68">
        <v>1</v>
      </c>
      <c r="P718" s="69" t="str">
        <f t="shared" si="266"/>
        <v>Vegetable Samosa 25G (Pre-Fried) - Ind - SRI001-04</v>
      </c>
      <c r="Q718" s="72"/>
      <c r="R718" s="72"/>
      <c r="S718" s="72"/>
      <c r="T718" s="72"/>
      <c r="U718" s="72"/>
      <c r="V718" s="72"/>
      <c r="W718" s="72" t="s">
        <v>1435</v>
      </c>
      <c r="X718" s="72" t="s">
        <v>1501</v>
      </c>
      <c r="Y718" s="72">
        <v>3</v>
      </c>
      <c r="Z718" s="80">
        <v>46006</v>
      </c>
    </row>
    <row r="719" spans="1:26" x14ac:dyDescent="0.25">
      <c r="A719" s="68">
        <f t="shared" si="256"/>
        <v>739</v>
      </c>
      <c r="B719" s="69" t="s">
        <v>3232</v>
      </c>
      <c r="C719" s="68" t="s">
        <v>3480</v>
      </c>
      <c r="D719" s="68" t="s">
        <v>3481</v>
      </c>
      <c r="E719" s="68" t="s">
        <v>885</v>
      </c>
      <c r="F719" s="68" t="s">
        <v>32</v>
      </c>
      <c r="G719" s="68" t="s">
        <v>17</v>
      </c>
      <c r="H719" s="68" t="s">
        <v>888</v>
      </c>
      <c r="I719" s="68">
        <f t="shared" si="258"/>
        <v>1738</v>
      </c>
      <c r="J719" s="68" t="s">
        <v>3482</v>
      </c>
      <c r="K719" s="68" t="s">
        <v>3481</v>
      </c>
      <c r="L719" s="70">
        <v>30</v>
      </c>
      <c r="M719" s="71" t="s">
        <v>980</v>
      </c>
      <c r="N719" s="72" t="s">
        <v>814</v>
      </c>
      <c r="O719" s="68">
        <v>1</v>
      </c>
      <c r="P719" s="69" t="str">
        <f t="shared" ref="P719:P720" si="267">K719&amp;" - "&amp; C719</f>
        <v>Vegetable Spring Roll 30G (Pre-Fried) - WEI002-03</v>
      </c>
      <c r="Q719" s="72"/>
      <c r="R719" s="72"/>
      <c r="S719" s="72"/>
      <c r="T719" s="72"/>
      <c r="U719" s="72"/>
      <c r="V719" s="72"/>
      <c r="W719" s="72" t="s">
        <v>1435</v>
      </c>
      <c r="X719" s="72" t="s">
        <v>1501</v>
      </c>
      <c r="Y719" s="72">
        <v>3</v>
      </c>
      <c r="Z719" s="80">
        <v>46006</v>
      </c>
    </row>
    <row r="720" spans="1:26" x14ac:dyDescent="0.25">
      <c r="A720" s="68">
        <f t="shared" si="256"/>
        <v>740</v>
      </c>
      <c r="B720" s="69" t="s">
        <v>182</v>
      </c>
      <c r="C720" s="68" t="s">
        <v>3484</v>
      </c>
      <c r="D720" s="68" t="s">
        <v>3485</v>
      </c>
      <c r="E720" s="68" t="s">
        <v>886</v>
      </c>
      <c r="F720" s="68" t="s">
        <v>56</v>
      </c>
      <c r="G720" s="68" t="s">
        <v>6</v>
      </c>
      <c r="H720" s="68" t="s">
        <v>888</v>
      </c>
      <c r="I720" s="68">
        <f t="shared" si="258"/>
        <v>1739</v>
      </c>
      <c r="J720" s="68" t="s">
        <v>3486</v>
      </c>
      <c r="K720" s="68" t="s">
        <v>3485</v>
      </c>
      <c r="L720" s="70">
        <v>1</v>
      </c>
      <c r="M720" s="71" t="s">
        <v>980</v>
      </c>
      <c r="N720" s="72" t="s">
        <v>814</v>
      </c>
      <c r="O720" s="68">
        <v>1</v>
      </c>
      <c r="P720" s="69" t="str">
        <f t="shared" si="267"/>
        <v>Fried 20mm Potato Diced - GFF556R</v>
      </c>
      <c r="Q720" s="72"/>
      <c r="R720" s="72"/>
      <c r="S720" s="72"/>
      <c r="T720" s="72"/>
      <c r="U720" s="72"/>
      <c r="V720" s="72"/>
      <c r="W720" s="72" t="s">
        <v>1435</v>
      </c>
      <c r="X720" s="72" t="s">
        <v>982</v>
      </c>
      <c r="Y720" s="72" t="s">
        <v>982</v>
      </c>
      <c r="Z720" s="80">
        <v>46097</v>
      </c>
    </row>
    <row r="721" spans="1:26" x14ac:dyDescent="0.25">
      <c r="A721" s="68">
        <f t="shared" si="256"/>
        <v>741</v>
      </c>
      <c r="B721" s="69" t="s">
        <v>3487</v>
      </c>
      <c r="C721" s="68" t="s">
        <v>3488</v>
      </c>
      <c r="D721" s="68" t="s">
        <v>3489</v>
      </c>
      <c r="E721" s="68" t="s">
        <v>130</v>
      </c>
      <c r="F721" s="68" t="s">
        <v>130</v>
      </c>
      <c r="G721" s="68" t="s">
        <v>17</v>
      </c>
      <c r="H721" s="68" t="s">
        <v>888</v>
      </c>
      <c r="I721" s="68">
        <f t="shared" si="258"/>
        <v>1740</v>
      </c>
      <c r="J721" s="68" t="s">
        <v>3490</v>
      </c>
      <c r="K721" s="68" t="s">
        <v>3491</v>
      </c>
      <c r="L721" s="70">
        <v>80</v>
      </c>
      <c r="M721" s="71" t="s">
        <v>980</v>
      </c>
      <c r="N721" s="72" t="s">
        <v>814</v>
      </c>
      <c r="O721" s="68">
        <v>1</v>
      </c>
      <c r="P721" s="69" t="str">
        <f t="shared" ref="P721:P722" si="268">K721&amp;" - "&amp; C721</f>
        <v>Spicy Tomato Dip Sachet 80G - GRI001-01</v>
      </c>
      <c r="Q721" s="72"/>
      <c r="R721" s="72"/>
      <c r="S721" s="72"/>
      <c r="T721" s="72"/>
      <c r="U721" s="72"/>
      <c r="V721" s="72"/>
      <c r="W721" s="72" t="s">
        <v>1435</v>
      </c>
      <c r="X721" s="72" t="s">
        <v>982</v>
      </c>
      <c r="Y721" s="72" t="s">
        <v>982</v>
      </c>
      <c r="Z721" s="80">
        <v>46163</v>
      </c>
    </row>
    <row r="722" spans="1:26" x14ac:dyDescent="0.25">
      <c r="A722" s="68">
        <f t="shared" si="256"/>
        <v>742</v>
      </c>
      <c r="B722" s="69" t="s">
        <v>182</v>
      </c>
      <c r="C722" s="68" t="s">
        <v>3493</v>
      </c>
      <c r="D722" s="68" t="s">
        <v>3494</v>
      </c>
      <c r="E722" s="68" t="s">
        <v>886</v>
      </c>
      <c r="F722" s="68" t="s">
        <v>73</v>
      </c>
      <c r="G722" s="68" t="s">
        <v>6</v>
      </c>
      <c r="H722" s="68" t="s">
        <v>888</v>
      </c>
      <c r="I722" s="68">
        <f t="shared" si="258"/>
        <v>1741</v>
      </c>
      <c r="J722" s="68" t="s">
        <v>3504</v>
      </c>
      <c r="K722" s="68" t="s">
        <v>3494</v>
      </c>
      <c r="L722" s="70">
        <v>1</v>
      </c>
      <c r="M722" s="71" t="s">
        <v>980</v>
      </c>
      <c r="N722" s="72" t="s">
        <v>814</v>
      </c>
      <c r="O722" s="68">
        <v>1</v>
      </c>
      <c r="P722" s="69" t="str">
        <f t="shared" si="268"/>
        <v>Sweet and Sour Sauce  ( Simmers) - GFF558R</v>
      </c>
      <c r="Q722" s="72"/>
      <c r="R722" s="72"/>
      <c r="S722" s="72"/>
      <c r="T722" s="72"/>
      <c r="U722" s="72"/>
      <c r="V722" s="72"/>
      <c r="W722" s="72" t="s">
        <v>1435</v>
      </c>
      <c r="X722" s="72" t="s">
        <v>1499</v>
      </c>
      <c r="Y722" s="72">
        <v>3</v>
      </c>
      <c r="Z722" s="80">
        <v>46191</v>
      </c>
    </row>
    <row r="723" spans="1:26" x14ac:dyDescent="0.25">
      <c r="A723" s="68">
        <f t="shared" si="256"/>
        <v>743</v>
      </c>
      <c r="B723" s="69" t="s">
        <v>182</v>
      </c>
      <c r="C723" s="68" t="s">
        <v>3495</v>
      </c>
      <c r="D723" s="68" t="s">
        <v>3515</v>
      </c>
      <c r="E723" s="68" t="s">
        <v>886</v>
      </c>
      <c r="F723" s="68" t="s">
        <v>73</v>
      </c>
      <c r="G723" s="68" t="s">
        <v>6</v>
      </c>
      <c r="H723" s="68" t="s">
        <v>888</v>
      </c>
      <c r="I723" s="68">
        <f t="shared" si="258"/>
        <v>1742</v>
      </c>
      <c r="J723" s="68" t="s">
        <v>3505</v>
      </c>
      <c r="K723" s="68" t="s">
        <v>3515</v>
      </c>
      <c r="L723" s="70">
        <v>1</v>
      </c>
      <c r="M723" s="71" t="s">
        <v>980</v>
      </c>
      <c r="N723" s="72" t="s">
        <v>814</v>
      </c>
      <c r="O723" s="68">
        <v>1</v>
      </c>
      <c r="P723" s="69" t="str">
        <f t="shared" ref="P723:P730" si="269">K723&amp;" - "&amp; C723</f>
        <v>Egg Fried Rice (Simmers) - GFF559R</v>
      </c>
      <c r="Q723" s="72"/>
      <c r="R723" s="72"/>
      <c r="S723" s="72"/>
      <c r="T723" s="72"/>
      <c r="U723" s="72"/>
      <c r="V723" s="72"/>
      <c r="W723" s="72" t="s">
        <v>1435</v>
      </c>
      <c r="X723" s="72" t="s">
        <v>3512</v>
      </c>
      <c r="Y723" s="72">
        <v>2</v>
      </c>
      <c r="Z723" s="80">
        <v>46191</v>
      </c>
    </row>
    <row r="724" spans="1:26" x14ac:dyDescent="0.25">
      <c r="A724" s="68">
        <f t="shared" si="256"/>
        <v>744</v>
      </c>
      <c r="B724" s="69" t="s">
        <v>182</v>
      </c>
      <c r="C724" s="68" t="s">
        <v>3496</v>
      </c>
      <c r="D724" s="68" t="s">
        <v>3516</v>
      </c>
      <c r="E724" s="68" t="s">
        <v>886</v>
      </c>
      <c r="F724" s="68" t="s">
        <v>73</v>
      </c>
      <c r="G724" s="68" t="s">
        <v>6</v>
      </c>
      <c r="H724" s="68" t="s">
        <v>888</v>
      </c>
      <c r="I724" s="68">
        <f t="shared" si="258"/>
        <v>1743</v>
      </c>
      <c r="J724" s="68" t="s">
        <v>3506</v>
      </c>
      <c r="K724" s="68" t="s">
        <v>3516</v>
      </c>
      <c r="L724" s="70">
        <v>1</v>
      </c>
      <c r="M724" s="71" t="s">
        <v>979</v>
      </c>
      <c r="N724" s="72" t="s">
        <v>814</v>
      </c>
      <c r="O724" s="68">
        <v>1</v>
      </c>
      <c r="P724" s="69" t="str">
        <f t="shared" si="269"/>
        <v>Coriander Marinated Chicken (Simmers) - GFF560R</v>
      </c>
      <c r="Q724" s="72"/>
      <c r="R724" s="72"/>
      <c r="S724" s="72"/>
      <c r="T724" s="72"/>
      <c r="U724" s="72"/>
      <c r="V724" s="72"/>
      <c r="W724" s="72" t="s">
        <v>1435</v>
      </c>
      <c r="X724" s="72" t="s">
        <v>982</v>
      </c>
      <c r="Y724" s="72" t="s">
        <v>982</v>
      </c>
      <c r="Z724" s="80">
        <v>46191</v>
      </c>
    </row>
    <row r="725" spans="1:26" x14ac:dyDescent="0.25">
      <c r="A725" s="68">
        <f t="shared" si="256"/>
        <v>745</v>
      </c>
      <c r="B725" s="69" t="s">
        <v>182</v>
      </c>
      <c r="C725" s="68" t="s">
        <v>3497</v>
      </c>
      <c r="D725" s="68" t="s">
        <v>3517</v>
      </c>
      <c r="E725" s="68" t="s">
        <v>886</v>
      </c>
      <c r="F725" s="68" t="s">
        <v>73</v>
      </c>
      <c r="G725" s="68" t="s">
        <v>6</v>
      </c>
      <c r="H725" s="68" t="s">
        <v>888</v>
      </c>
      <c r="I725" s="68">
        <f t="shared" si="258"/>
        <v>1744</v>
      </c>
      <c r="J725" s="68" t="s">
        <v>3507</v>
      </c>
      <c r="K725" s="68" t="s">
        <v>3517</v>
      </c>
      <c r="L725" s="70">
        <v>1</v>
      </c>
      <c r="M725" s="71" t="s">
        <v>979</v>
      </c>
      <c r="N725" s="72" t="s">
        <v>814</v>
      </c>
      <c r="O725" s="68">
        <v>1</v>
      </c>
      <c r="P725" s="69" t="str">
        <f t="shared" si="269"/>
        <v>Steamed Cauliflower  Minced (Simmers) - GFF561R</v>
      </c>
      <c r="Q725" s="72"/>
      <c r="R725" s="72"/>
      <c r="S725" s="72"/>
      <c r="T725" s="72"/>
      <c r="U725" s="72"/>
      <c r="V725" s="72"/>
      <c r="W725" s="72" t="s">
        <v>1435</v>
      </c>
      <c r="X725" s="72" t="s">
        <v>982</v>
      </c>
      <c r="Y725" s="72" t="s">
        <v>982</v>
      </c>
      <c r="Z725" s="80">
        <v>46191</v>
      </c>
    </row>
    <row r="726" spans="1:26" x14ac:dyDescent="0.25">
      <c r="A726" s="68">
        <f t="shared" si="256"/>
        <v>746</v>
      </c>
      <c r="B726" s="69" t="s">
        <v>182</v>
      </c>
      <c r="C726" s="68" t="s">
        <v>3498</v>
      </c>
      <c r="D726" s="68" t="s">
        <v>3499</v>
      </c>
      <c r="E726" s="68" t="s">
        <v>886</v>
      </c>
      <c r="F726" s="68" t="s">
        <v>73</v>
      </c>
      <c r="G726" s="68" t="s">
        <v>6</v>
      </c>
      <c r="H726" s="68" t="s">
        <v>888</v>
      </c>
      <c r="I726" s="68">
        <f t="shared" si="258"/>
        <v>1745</v>
      </c>
      <c r="J726" s="68" t="s">
        <v>3508</v>
      </c>
      <c r="K726" s="68" t="s">
        <v>3499</v>
      </c>
      <c r="L726" s="70">
        <v>1</v>
      </c>
      <c r="M726" s="71" t="s">
        <v>980</v>
      </c>
      <c r="N726" s="72" t="s">
        <v>814</v>
      </c>
      <c r="O726" s="68">
        <v>1</v>
      </c>
      <c r="P726" s="69" t="str">
        <f t="shared" si="269"/>
        <v>Panang Sauce (Simmers) - GFF562R</v>
      </c>
      <c r="Q726" s="72"/>
      <c r="R726" s="72"/>
      <c r="S726" s="72"/>
      <c r="T726" s="72"/>
      <c r="U726" s="72"/>
      <c r="V726" s="72"/>
      <c r="W726" s="72" t="s">
        <v>1435</v>
      </c>
      <c r="X726" s="72" t="s">
        <v>3513</v>
      </c>
      <c r="Y726" s="72">
        <v>1</v>
      </c>
      <c r="Z726" s="80">
        <v>46191</v>
      </c>
    </row>
    <row r="727" spans="1:26" x14ac:dyDescent="0.25">
      <c r="A727" s="68">
        <f t="shared" si="256"/>
        <v>747</v>
      </c>
      <c r="B727" s="69" t="s">
        <v>182</v>
      </c>
      <c r="C727" s="68" t="s">
        <v>3500</v>
      </c>
      <c r="D727" s="68" t="s">
        <v>3518</v>
      </c>
      <c r="E727" s="68" t="s">
        <v>886</v>
      </c>
      <c r="F727" s="68" t="s">
        <v>73</v>
      </c>
      <c r="G727" s="68" t="s">
        <v>6</v>
      </c>
      <c r="H727" s="68" t="s">
        <v>888</v>
      </c>
      <c r="I727" s="68">
        <f t="shared" si="258"/>
        <v>1746</v>
      </c>
      <c r="J727" s="68" t="s">
        <v>3509</v>
      </c>
      <c r="K727" s="68" t="s">
        <v>3518</v>
      </c>
      <c r="L727" s="70">
        <v>1</v>
      </c>
      <c r="M727" s="71" t="s">
        <v>980</v>
      </c>
      <c r="N727" s="72" t="s">
        <v>814</v>
      </c>
      <c r="O727" s="68">
        <v>1</v>
      </c>
      <c r="P727" s="69" t="str">
        <f t="shared" si="269"/>
        <v>Steamed Mixed Veg (Simmers) - GFF563R</v>
      </c>
      <c r="Q727" s="72"/>
      <c r="R727" s="72"/>
      <c r="S727" s="72"/>
      <c r="T727" s="72"/>
      <c r="U727" s="72"/>
      <c r="V727" s="72"/>
      <c r="W727" s="72" t="s">
        <v>1435</v>
      </c>
      <c r="X727" s="72" t="s">
        <v>982</v>
      </c>
      <c r="Y727" s="72" t="s">
        <v>982</v>
      </c>
      <c r="Z727" s="80">
        <v>46191</v>
      </c>
    </row>
    <row r="728" spans="1:26" x14ac:dyDescent="0.25">
      <c r="A728" s="68">
        <f t="shared" si="256"/>
        <v>748</v>
      </c>
      <c r="B728" s="69" t="s">
        <v>182</v>
      </c>
      <c r="C728" s="68" t="s">
        <v>3501</v>
      </c>
      <c r="D728" s="68" t="s">
        <v>3519</v>
      </c>
      <c r="E728" s="68" t="s">
        <v>886</v>
      </c>
      <c r="F728" s="68" t="s">
        <v>73</v>
      </c>
      <c r="G728" s="68" t="s">
        <v>6</v>
      </c>
      <c r="H728" s="68" t="s">
        <v>888</v>
      </c>
      <c r="I728" s="68">
        <f t="shared" si="258"/>
        <v>1747</v>
      </c>
      <c r="J728" s="68" t="s">
        <v>3510</v>
      </c>
      <c r="K728" s="68" t="s">
        <v>3519</v>
      </c>
      <c r="L728" s="70">
        <v>1</v>
      </c>
      <c r="M728" s="71" t="s">
        <v>979</v>
      </c>
      <c r="N728" s="72" t="s">
        <v>814</v>
      </c>
      <c r="O728" s="68">
        <v>1</v>
      </c>
      <c r="P728" s="69" t="str">
        <f t="shared" si="269"/>
        <v>Cooked Lamb Mince (For Lamb Samosa ) - GFF564R</v>
      </c>
      <c r="Q728" s="72"/>
      <c r="R728" s="72"/>
      <c r="S728" s="72"/>
      <c r="T728" s="72"/>
      <c r="U728" s="72"/>
      <c r="V728" s="72"/>
      <c r="W728" s="72" t="s">
        <v>1435</v>
      </c>
      <c r="X728" s="72" t="s">
        <v>982</v>
      </c>
      <c r="Y728" s="72" t="s">
        <v>982</v>
      </c>
      <c r="Z728" s="80">
        <v>46191</v>
      </c>
    </row>
    <row r="729" spans="1:26" x14ac:dyDescent="0.25">
      <c r="A729" s="68">
        <f t="shared" si="256"/>
        <v>749</v>
      </c>
      <c r="B729" s="69" t="s">
        <v>182</v>
      </c>
      <c r="C729" s="68" t="s">
        <v>3502</v>
      </c>
      <c r="D729" s="68" t="s">
        <v>3503</v>
      </c>
      <c r="E729" s="68" t="s">
        <v>886</v>
      </c>
      <c r="F729" s="68" t="s">
        <v>73</v>
      </c>
      <c r="G729" s="68" t="s">
        <v>6</v>
      </c>
      <c r="H729" s="68" t="s">
        <v>888</v>
      </c>
      <c r="I729" s="68">
        <f t="shared" si="258"/>
        <v>1748</v>
      </c>
      <c r="J729" s="68" t="s">
        <v>3511</v>
      </c>
      <c r="K729" s="68" t="s">
        <v>3503</v>
      </c>
      <c r="L729" s="70">
        <v>1</v>
      </c>
      <c r="M729" s="71" t="s">
        <v>980</v>
      </c>
      <c r="N729" s="72" t="s">
        <v>814</v>
      </c>
      <c r="O729" s="68">
        <v>1</v>
      </c>
      <c r="P729" s="69" t="str">
        <f t="shared" si="269"/>
        <v>Fragrant Rice (Simmer) - GFF565R</v>
      </c>
      <c r="Q729" s="72"/>
      <c r="R729" s="72"/>
      <c r="S729" s="72"/>
      <c r="T729" s="72"/>
      <c r="U729" s="72"/>
      <c r="V729" s="72"/>
      <c r="W729" s="72" t="s">
        <v>1435</v>
      </c>
      <c r="X729" s="72" t="s">
        <v>1482</v>
      </c>
      <c r="Y729" s="72">
        <v>1</v>
      </c>
      <c r="Z729" s="80">
        <v>46191</v>
      </c>
    </row>
    <row r="730" spans="1:26" x14ac:dyDescent="0.25">
      <c r="A730" s="68">
        <f t="shared" si="256"/>
        <v>750</v>
      </c>
      <c r="B730" s="69" t="s">
        <v>182</v>
      </c>
      <c r="C730" s="68" t="s">
        <v>3520</v>
      </c>
      <c r="D730" s="68" t="s">
        <v>3522</v>
      </c>
      <c r="E730" s="68" t="s">
        <v>886</v>
      </c>
      <c r="F730" s="68" t="s">
        <v>62</v>
      </c>
      <c r="G730" s="68" t="s">
        <v>6</v>
      </c>
      <c r="H730" s="68" t="s">
        <v>888</v>
      </c>
      <c r="I730" s="68">
        <f t="shared" si="258"/>
        <v>1749</v>
      </c>
      <c r="J730" s="68" t="s">
        <v>3524</v>
      </c>
      <c r="K730" s="68" t="s">
        <v>3522</v>
      </c>
      <c r="L730" s="70">
        <v>1</v>
      </c>
      <c r="M730" s="71" t="s">
        <v>980</v>
      </c>
      <c r="N730" s="72" t="s">
        <v>814</v>
      </c>
      <c r="O730" s="68">
        <v>1</v>
      </c>
      <c r="P730" s="69" t="str">
        <f t="shared" si="269"/>
        <v>Ruby Curry Sauce - GFF566R</v>
      </c>
      <c r="Q730" s="72"/>
      <c r="R730" s="72"/>
      <c r="S730" s="72"/>
      <c r="T730" s="72"/>
      <c r="U730" s="72"/>
      <c r="V730" s="72"/>
      <c r="W730" s="72" t="s">
        <v>1435</v>
      </c>
      <c r="X730" s="72" t="s">
        <v>1801</v>
      </c>
      <c r="Y730" s="72">
        <v>2</v>
      </c>
      <c r="Z730" s="80">
        <v>46217</v>
      </c>
    </row>
    <row r="731" spans="1:26" x14ac:dyDescent="0.25">
      <c r="A731" s="68">
        <f t="shared" si="256"/>
        <v>751</v>
      </c>
      <c r="B731" s="69" t="s">
        <v>182</v>
      </c>
      <c r="C731" s="68" t="s">
        <v>3521</v>
      </c>
      <c r="D731" s="68" t="s">
        <v>3523</v>
      </c>
      <c r="E731" s="68" t="s">
        <v>886</v>
      </c>
      <c r="F731" s="68" t="s">
        <v>62</v>
      </c>
      <c r="G731" s="68" t="s">
        <v>6</v>
      </c>
      <c r="H731" s="68" t="s">
        <v>888</v>
      </c>
      <c r="I731" s="68">
        <f t="shared" si="258"/>
        <v>1750</v>
      </c>
      <c r="J731" s="68" t="s">
        <v>3525</v>
      </c>
      <c r="K731" s="68" t="s">
        <v>3523</v>
      </c>
      <c r="L731" s="70">
        <v>1</v>
      </c>
      <c r="M731" s="71" t="s">
        <v>980</v>
      </c>
      <c r="N731" s="72" t="s">
        <v>814</v>
      </c>
      <c r="O731" s="68">
        <v>1</v>
      </c>
      <c r="P731" s="69" t="str">
        <f t="shared" ref="P731:P732" si="270">K731&amp;" - "&amp; C731</f>
        <v>Jewelled Pilau Rice - GFF567R</v>
      </c>
      <c r="Q731" s="72"/>
      <c r="R731" s="72"/>
      <c r="S731" s="72"/>
      <c r="T731" s="72"/>
      <c r="U731" s="72"/>
      <c r="V731" s="72"/>
      <c r="W731" s="72" t="s">
        <v>1435</v>
      </c>
      <c r="X731" s="72" t="s">
        <v>1862</v>
      </c>
      <c r="Y731" s="72">
        <v>1</v>
      </c>
      <c r="Z731" s="80">
        <v>46217</v>
      </c>
    </row>
    <row r="732" spans="1:26" x14ac:dyDescent="0.25">
      <c r="A732" s="68">
        <f t="shared" si="256"/>
        <v>752</v>
      </c>
      <c r="B732" s="69" t="s">
        <v>182</v>
      </c>
      <c r="C732" s="68" t="s">
        <v>3527</v>
      </c>
      <c r="D732" s="68" t="s">
        <v>3533</v>
      </c>
      <c r="E732" s="68" t="s">
        <v>886</v>
      </c>
      <c r="F732" s="68" t="s">
        <v>56</v>
      </c>
      <c r="G732" s="68" t="s">
        <v>6</v>
      </c>
      <c r="H732" s="68" t="s">
        <v>888</v>
      </c>
      <c r="I732" s="68">
        <f t="shared" si="258"/>
        <v>1751</v>
      </c>
      <c r="J732" s="68" t="s">
        <v>3534</v>
      </c>
      <c r="K732" s="68" t="s">
        <v>3533</v>
      </c>
      <c r="L732" s="70">
        <v>1</v>
      </c>
      <c r="M732" s="71" t="s">
        <v>979</v>
      </c>
      <c r="N732" s="72" t="s">
        <v>814</v>
      </c>
      <c r="O732" s="68">
        <v>1</v>
      </c>
      <c r="P732" s="69" t="str">
        <f t="shared" si="270"/>
        <v>Danora Chicken Samosa Mix (Thailand) - GFF568R</v>
      </c>
      <c r="Q732" s="72"/>
      <c r="R732" s="72"/>
      <c r="S732" s="72"/>
      <c r="T732" s="72"/>
      <c r="U732" s="72"/>
      <c r="V732" s="72"/>
      <c r="W732" s="72" t="s">
        <v>1435</v>
      </c>
      <c r="X732" s="72" t="s">
        <v>1814</v>
      </c>
      <c r="Y732" s="72">
        <v>3</v>
      </c>
      <c r="Z732" s="80">
        <v>46232</v>
      </c>
    </row>
    <row r="733" spans="1:26" x14ac:dyDescent="0.25">
      <c r="A733" s="68">
        <f t="shared" si="256"/>
        <v>753</v>
      </c>
      <c r="B733" s="69" t="s">
        <v>182</v>
      </c>
      <c r="C733" s="68" t="s">
        <v>3532</v>
      </c>
      <c r="D733" s="68" t="s">
        <v>3528</v>
      </c>
      <c r="E733" s="68" t="s">
        <v>885</v>
      </c>
      <c r="F733" s="68" t="s">
        <v>4</v>
      </c>
      <c r="G733" s="68" t="s">
        <v>6</v>
      </c>
      <c r="H733" s="68" t="s">
        <v>888</v>
      </c>
      <c r="I733" s="68">
        <f t="shared" si="258"/>
        <v>1752</v>
      </c>
      <c r="J733" s="68" t="s">
        <v>3529</v>
      </c>
      <c r="K733" s="68" t="s">
        <v>3530</v>
      </c>
      <c r="L733" s="70">
        <v>120</v>
      </c>
      <c r="M733" s="71" t="s">
        <v>979</v>
      </c>
      <c r="N733" s="72" t="s">
        <v>814</v>
      </c>
      <c r="O733" s="68">
        <v>3250</v>
      </c>
      <c r="P733" s="69" t="str">
        <f t="shared" ref="P733" si="271">K733&amp;" - "&amp; C733</f>
        <v>Danora Chicken Samosa 120G (Thailand) - GFF569R</v>
      </c>
      <c r="Q733" s="72">
        <v>30</v>
      </c>
      <c r="R733" s="72">
        <v>24</v>
      </c>
      <c r="S733" s="72">
        <v>18</v>
      </c>
      <c r="T733" s="72">
        <v>12</v>
      </c>
      <c r="U733" s="72">
        <v>6</v>
      </c>
      <c r="V733" s="72"/>
      <c r="W733" s="72" t="s">
        <v>1435</v>
      </c>
      <c r="X733" s="72" t="s">
        <v>1499</v>
      </c>
      <c r="Y733" s="72">
        <v>3</v>
      </c>
      <c r="Z733" s="80">
        <v>46232</v>
      </c>
    </row>
    <row r="734" spans="1:26" x14ac:dyDescent="0.25">
      <c r="A734" s="68">
        <f t="shared" si="256"/>
        <v>754</v>
      </c>
      <c r="B734" s="69"/>
      <c r="C734" s="68"/>
      <c r="D734" s="68"/>
      <c r="E734" s="68"/>
      <c r="F734" s="68"/>
      <c r="G734" s="68"/>
      <c r="H734" s="68"/>
      <c r="I734" s="68">
        <f t="shared" si="258"/>
        <v>1753</v>
      </c>
      <c r="J734" s="68"/>
      <c r="K734" s="68"/>
      <c r="L734" s="70"/>
      <c r="M734" s="71"/>
      <c r="N734" s="72"/>
      <c r="O734" s="68"/>
      <c r="P734" s="69" t="str">
        <f t="shared" ref="P734" si="272">K734&amp;" - "&amp; C734</f>
        <v xml:space="preserve"> - </v>
      </c>
      <c r="Q734" s="72"/>
      <c r="R734" s="72"/>
      <c r="S734" s="72"/>
      <c r="T734" s="72"/>
      <c r="U734" s="72"/>
      <c r="V734" s="72"/>
      <c r="W734" s="72"/>
      <c r="X734" s="72"/>
      <c r="Y734" s="72"/>
      <c r="Z734" s="80"/>
    </row>
  </sheetData>
  <autoFilter ref="A2:Z733" xr:uid="{992876A6-EE78-4997-AE3B-14D888BB1E06}"/>
  <customSheetViews>
    <customSheetView guid="{B1221BD8-8E00-46E8-8D60-4A56740AF862}" scale="80" fitToPage="1" showAutoFilter="1" topLeftCell="E1">
      <pane ySplit="2" topLeftCell="A174" activePane="bottomLeft" state="frozen"/>
      <selection pane="bottomLeft" activeCell="K179" sqref="K179"/>
      <pageMargins left="0.7" right="0.7" top="0.75" bottom="0.75" header="0.3" footer="0.3"/>
      <pageSetup paperSize="9" scale="37" fitToHeight="0" orientation="landscape" r:id="rId1"/>
      <autoFilter ref="A2:W214" xr:uid="{24F88913-E6E9-4D1A-8F85-FAC90B371EA6}"/>
    </customSheetView>
  </customSheetViews>
  <phoneticPr fontId="23" type="noConversion"/>
  <conditionalFormatting sqref="A1:A1048576">
    <cfRule type="duplicateValues" dxfId="5" priority="5"/>
  </conditionalFormatting>
  <conditionalFormatting sqref="C419">
    <cfRule type="duplicateValues" dxfId="4" priority="4"/>
  </conditionalFormatting>
  <conditionalFormatting sqref="D2 E1:E1048576">
    <cfRule type="containsText" dxfId="3" priority="1" operator="containsText" text="Ready Meals">
      <formula>NOT(ISERROR(SEARCH("Ready Meals",D1)))</formula>
    </cfRule>
    <cfRule type="containsText" dxfId="2" priority="2" operator="containsText" text="Snacks">
      <formula>NOT(ISERROR(SEARCH("Snacks",D1)))</formula>
    </cfRule>
  </conditionalFormatting>
  <conditionalFormatting sqref="J1:J1048576">
    <cfRule type="duplicateValues" dxfId="1" priority="6"/>
  </conditionalFormatting>
  <conditionalFormatting sqref="K3:K506 K508:K560 K562:K715 K717 K719:K988">
    <cfRule type="duplicateValues" dxfId="0" priority="177"/>
  </conditionalFormatting>
  <dataValidations count="3">
    <dataValidation type="list" allowBlank="1" showInputMessage="1" showErrorMessage="1" sqref="H45:H82 H142:H172 H187 H192:H195 H198:H202" xr:uid="{00000000-0002-0000-0100-000000000000}">
      <formula1>"Regular, Occasional"</formula1>
    </dataValidation>
    <dataValidation type="list" allowBlank="1" showInputMessage="1" showErrorMessage="1" sqref="N192:N198 N142 N45:N82" xr:uid="{00000000-0002-0000-0100-000001000000}">
      <formula1>"Live, Discontinued, Holt"</formula1>
    </dataValidation>
    <dataValidation type="list" allowBlank="1" showInputMessage="1" showErrorMessage="1" sqref="M3:M734" xr:uid="{00000000-0002-0000-0100-000002000000}">
      <formula1>"Y, N,N/A"</formula1>
    </dataValidation>
  </dataValidations>
  <pageMargins left="0.25" right="0.25" top="0.75" bottom="0.75" header="0.3" footer="0.3"/>
  <pageSetup paperSize="9" scale="33" fitToHeight="0" orientation="landscape"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B203"/>
  <sheetViews>
    <sheetView topLeftCell="A173" workbookViewId="0">
      <selection activeCell="A204" sqref="A204"/>
    </sheetView>
  </sheetViews>
  <sheetFormatPr defaultRowHeight="15" x14ac:dyDescent="0.25"/>
  <cols>
    <col min="1" max="1" width="10.7109375" style="82" bestFit="1" customWidth="1"/>
    <col min="2" max="2" width="103.85546875" style="82" bestFit="1" customWidth="1"/>
  </cols>
  <sheetData>
    <row r="1" spans="1:2" x14ac:dyDescent="0.25">
      <c r="A1" s="82" t="s">
        <v>2073</v>
      </c>
      <c r="B1" s="82" t="s">
        <v>2</v>
      </c>
    </row>
    <row r="2" spans="1:2" x14ac:dyDescent="0.25">
      <c r="A2" s="81">
        <v>42830</v>
      </c>
      <c r="B2" s="82" t="s">
        <v>1467</v>
      </c>
    </row>
    <row r="3" spans="1:2" x14ac:dyDescent="0.25">
      <c r="A3" s="81">
        <v>42849</v>
      </c>
      <c r="B3" s="82" t="s">
        <v>1472</v>
      </c>
    </row>
    <row r="4" spans="1:2" x14ac:dyDescent="0.25">
      <c r="A4" s="81">
        <v>42858</v>
      </c>
      <c r="B4" s="82" t="s">
        <v>1475</v>
      </c>
    </row>
    <row r="5" spans="1:2" x14ac:dyDescent="0.25">
      <c r="A5" s="81">
        <v>42867</v>
      </c>
      <c r="B5" s="82" t="s">
        <v>1476</v>
      </c>
    </row>
    <row r="6" spans="1:2" x14ac:dyDescent="0.25">
      <c r="A6" s="81">
        <v>42874</v>
      </c>
      <c r="B6" s="82" t="s">
        <v>1477</v>
      </c>
    </row>
    <row r="7" spans="1:2" x14ac:dyDescent="0.25">
      <c r="A7" s="81">
        <v>42894</v>
      </c>
      <c r="B7" s="82" t="s">
        <v>1506</v>
      </c>
    </row>
    <row r="8" spans="1:2" x14ac:dyDescent="0.25">
      <c r="A8" s="81">
        <v>42899</v>
      </c>
      <c r="B8" s="82" t="s">
        <v>1512</v>
      </c>
    </row>
    <row r="9" spans="1:2" x14ac:dyDescent="0.25">
      <c r="A9" s="81">
        <v>42942</v>
      </c>
      <c r="B9" s="82" t="s">
        <v>1513</v>
      </c>
    </row>
    <row r="10" spans="1:2" x14ac:dyDescent="0.25">
      <c r="A10" s="81">
        <v>42951</v>
      </c>
      <c r="B10" s="82" t="s">
        <v>1542</v>
      </c>
    </row>
    <row r="11" spans="1:2" x14ac:dyDescent="0.25">
      <c r="A11" s="81">
        <v>42972</v>
      </c>
      <c r="B11" s="82" t="s">
        <v>1544</v>
      </c>
    </row>
    <row r="12" spans="1:2" x14ac:dyDescent="0.25">
      <c r="A12" s="81">
        <v>42996</v>
      </c>
      <c r="B12" s="82" t="s">
        <v>1557</v>
      </c>
    </row>
    <row r="13" spans="1:2" x14ac:dyDescent="0.25">
      <c r="A13" s="81">
        <v>43024</v>
      </c>
      <c r="B13" s="82" t="s">
        <v>1591</v>
      </c>
    </row>
    <row r="14" spans="1:2" x14ac:dyDescent="0.25">
      <c r="A14" s="81">
        <v>43049</v>
      </c>
      <c r="B14" s="82" t="s">
        <v>1593</v>
      </c>
    </row>
    <row r="15" spans="1:2" x14ac:dyDescent="0.25">
      <c r="A15" s="81">
        <v>43053</v>
      </c>
      <c r="B15" s="82" t="s">
        <v>1594</v>
      </c>
    </row>
    <row r="16" spans="1:2" x14ac:dyDescent="0.25">
      <c r="A16" s="81">
        <v>43059</v>
      </c>
      <c r="B16" s="82" t="s">
        <v>1595</v>
      </c>
    </row>
    <row r="17" spans="1:2" x14ac:dyDescent="0.25">
      <c r="A17" s="81">
        <v>43060</v>
      </c>
      <c r="B17" s="82" t="s">
        <v>1596</v>
      </c>
    </row>
    <row r="18" spans="1:2" x14ac:dyDescent="0.25">
      <c r="A18" s="81">
        <v>43068</v>
      </c>
      <c r="B18" s="82" t="s">
        <v>1601</v>
      </c>
    </row>
    <row r="19" spans="1:2" x14ac:dyDescent="0.25">
      <c r="A19" s="81">
        <v>43139</v>
      </c>
      <c r="B19" s="82" t="s">
        <v>1619</v>
      </c>
    </row>
    <row r="20" spans="1:2" x14ac:dyDescent="0.25">
      <c r="A20" s="81">
        <v>43151</v>
      </c>
      <c r="B20" s="82" t="s">
        <v>1627</v>
      </c>
    </row>
    <row r="21" spans="1:2" x14ac:dyDescent="0.25">
      <c r="A21" s="81">
        <v>43151</v>
      </c>
      <c r="B21" s="82" t="s">
        <v>1629</v>
      </c>
    </row>
    <row r="22" spans="1:2" x14ac:dyDescent="0.25">
      <c r="A22" s="81">
        <v>43159</v>
      </c>
      <c r="B22" s="82" t="s">
        <v>1630</v>
      </c>
    </row>
    <row r="23" spans="1:2" x14ac:dyDescent="0.25">
      <c r="A23" s="81">
        <v>43159</v>
      </c>
      <c r="B23" s="82" t="s">
        <v>1639</v>
      </c>
    </row>
    <row r="24" spans="1:2" x14ac:dyDescent="0.25">
      <c r="A24" s="81">
        <v>43161</v>
      </c>
      <c r="B24" s="82" t="s">
        <v>1644</v>
      </c>
    </row>
    <row r="25" spans="1:2" x14ac:dyDescent="0.25">
      <c r="A25" s="81">
        <v>43173</v>
      </c>
      <c r="B25" s="82" t="s">
        <v>1672</v>
      </c>
    </row>
    <row r="26" spans="1:2" x14ac:dyDescent="0.25">
      <c r="A26" s="81">
        <v>43206</v>
      </c>
      <c r="B26" s="82" t="s">
        <v>1679</v>
      </c>
    </row>
    <row r="27" spans="1:2" x14ac:dyDescent="0.25">
      <c r="A27" s="81">
        <v>43217</v>
      </c>
      <c r="B27" s="82" t="s">
        <v>1714</v>
      </c>
    </row>
    <row r="28" spans="1:2" x14ac:dyDescent="0.25">
      <c r="A28" s="81">
        <v>43230</v>
      </c>
      <c r="B28" s="82" t="s">
        <v>1716</v>
      </c>
    </row>
    <row r="29" spans="1:2" x14ac:dyDescent="0.25">
      <c r="A29" s="81">
        <v>43230</v>
      </c>
      <c r="B29" s="82" t="s">
        <v>1719</v>
      </c>
    </row>
    <row r="30" spans="1:2" x14ac:dyDescent="0.25">
      <c r="A30" s="81">
        <v>43230</v>
      </c>
      <c r="B30" s="82" t="s">
        <v>1720</v>
      </c>
    </row>
    <row r="31" spans="1:2" x14ac:dyDescent="0.25">
      <c r="A31" s="81">
        <v>43249</v>
      </c>
      <c r="B31" s="82" t="s">
        <v>1723</v>
      </c>
    </row>
    <row r="32" spans="1:2" x14ac:dyDescent="0.25">
      <c r="A32" s="81">
        <v>43250</v>
      </c>
      <c r="B32" s="82" t="s">
        <v>1728</v>
      </c>
    </row>
    <row r="33" spans="1:2" x14ac:dyDescent="0.25">
      <c r="A33" s="81">
        <v>43252</v>
      </c>
      <c r="B33" s="82" t="s">
        <v>1733</v>
      </c>
    </row>
    <row r="34" spans="1:2" x14ac:dyDescent="0.25">
      <c r="A34" s="81">
        <v>43292</v>
      </c>
      <c r="B34" s="82" t="s">
        <v>1734</v>
      </c>
    </row>
    <row r="35" spans="1:2" x14ac:dyDescent="0.25">
      <c r="A35" s="81">
        <v>43294</v>
      </c>
      <c r="B35" s="82" t="s">
        <v>1774</v>
      </c>
    </row>
    <row r="36" spans="1:2" x14ac:dyDescent="0.25">
      <c r="A36" s="81">
        <v>43308</v>
      </c>
      <c r="B36" s="82" t="s">
        <v>1786</v>
      </c>
    </row>
    <row r="37" spans="1:2" x14ac:dyDescent="0.25">
      <c r="A37" s="81">
        <v>43353</v>
      </c>
      <c r="B37" s="82" t="s">
        <v>1809</v>
      </c>
    </row>
    <row r="38" spans="1:2" x14ac:dyDescent="0.25">
      <c r="A38" s="81">
        <v>43354</v>
      </c>
      <c r="B38" s="82" t="s">
        <v>1810</v>
      </c>
    </row>
    <row r="39" spans="1:2" x14ac:dyDescent="0.25">
      <c r="A39" s="81">
        <v>43355</v>
      </c>
      <c r="B39" s="82" t="s">
        <v>1821</v>
      </c>
    </row>
    <row r="40" spans="1:2" x14ac:dyDescent="0.25">
      <c r="A40" s="81">
        <v>43367</v>
      </c>
      <c r="B40" s="82" t="s">
        <v>1828</v>
      </c>
    </row>
    <row r="41" spans="1:2" x14ac:dyDescent="0.25">
      <c r="A41" s="81">
        <v>43367</v>
      </c>
      <c r="B41" s="82" t="s">
        <v>1829</v>
      </c>
    </row>
    <row r="42" spans="1:2" x14ac:dyDescent="0.25">
      <c r="A42" s="81">
        <v>43374</v>
      </c>
      <c r="B42" s="82" t="s">
        <v>1842</v>
      </c>
    </row>
    <row r="43" spans="1:2" x14ac:dyDescent="0.25">
      <c r="A43" s="81">
        <v>43382</v>
      </c>
      <c r="B43" s="82" t="s">
        <v>1843</v>
      </c>
    </row>
    <row r="44" spans="1:2" x14ac:dyDescent="0.25">
      <c r="A44" s="81">
        <v>43391</v>
      </c>
      <c r="B44" s="82" t="s">
        <v>1844</v>
      </c>
    </row>
    <row r="45" spans="1:2" x14ac:dyDescent="0.25">
      <c r="A45" s="81">
        <v>43391</v>
      </c>
      <c r="B45" s="82" t="s">
        <v>1845</v>
      </c>
    </row>
    <row r="46" spans="1:2" x14ac:dyDescent="0.25">
      <c r="A46" s="81">
        <v>43409</v>
      </c>
      <c r="B46" s="82" t="s">
        <v>1848</v>
      </c>
    </row>
    <row r="47" spans="1:2" x14ac:dyDescent="0.25">
      <c r="A47" s="81">
        <v>43409</v>
      </c>
      <c r="B47" s="82" t="s">
        <v>1846</v>
      </c>
    </row>
    <row r="48" spans="1:2" x14ac:dyDescent="0.25">
      <c r="A48" s="81">
        <v>43413</v>
      </c>
      <c r="B48" s="82" t="s">
        <v>1852</v>
      </c>
    </row>
    <row r="49" spans="1:2" x14ac:dyDescent="0.25">
      <c r="A49" s="81">
        <v>43430</v>
      </c>
      <c r="B49" s="82" t="s">
        <v>1853</v>
      </c>
    </row>
    <row r="50" spans="1:2" x14ac:dyDescent="0.25">
      <c r="A50" s="81">
        <v>43445</v>
      </c>
      <c r="B50" s="82" t="s">
        <v>1887</v>
      </c>
    </row>
    <row r="51" spans="1:2" x14ac:dyDescent="0.25">
      <c r="A51" s="81">
        <v>43445</v>
      </c>
      <c r="B51" s="82" t="s">
        <v>1890</v>
      </c>
    </row>
    <row r="52" spans="1:2" x14ac:dyDescent="0.25">
      <c r="A52" s="81">
        <v>43452</v>
      </c>
      <c r="B52" s="82" t="s">
        <v>1891</v>
      </c>
    </row>
    <row r="53" spans="1:2" x14ac:dyDescent="0.25">
      <c r="A53" s="81">
        <v>43458</v>
      </c>
      <c r="B53" s="82" t="s">
        <v>1910</v>
      </c>
    </row>
    <row r="54" spans="1:2" x14ac:dyDescent="0.25">
      <c r="A54" s="81">
        <v>43462</v>
      </c>
      <c r="B54" s="82" t="s">
        <v>1912</v>
      </c>
    </row>
    <row r="55" spans="1:2" x14ac:dyDescent="0.25">
      <c r="A55" s="81">
        <v>43489</v>
      </c>
      <c r="B55" s="82" t="s">
        <v>1918</v>
      </c>
    </row>
    <row r="56" spans="1:2" x14ac:dyDescent="0.25">
      <c r="A56" s="81">
        <v>43503</v>
      </c>
      <c r="B56" s="82" t="s">
        <v>1939</v>
      </c>
    </row>
    <row r="57" spans="1:2" x14ac:dyDescent="0.25">
      <c r="A57" s="81">
        <v>43538</v>
      </c>
      <c r="B57" s="82" t="s">
        <v>1940</v>
      </c>
    </row>
    <row r="58" spans="1:2" x14ac:dyDescent="0.25">
      <c r="A58" s="81">
        <v>43546</v>
      </c>
      <c r="B58" s="82" t="s">
        <v>1943</v>
      </c>
    </row>
    <row r="59" spans="1:2" x14ac:dyDescent="0.25">
      <c r="A59" s="81">
        <v>43552</v>
      </c>
      <c r="B59" s="82" t="s">
        <v>1945</v>
      </c>
    </row>
    <row r="60" spans="1:2" x14ac:dyDescent="0.25">
      <c r="A60" s="81">
        <v>43602</v>
      </c>
      <c r="B60" s="82" t="s">
        <v>1949</v>
      </c>
    </row>
    <row r="61" spans="1:2" x14ac:dyDescent="0.25">
      <c r="A61" s="81">
        <v>43606</v>
      </c>
      <c r="B61" s="82" t="s">
        <v>1973</v>
      </c>
    </row>
    <row r="62" spans="1:2" x14ac:dyDescent="0.25">
      <c r="A62" s="81">
        <v>43614</v>
      </c>
      <c r="B62" s="82" t="s">
        <v>1974</v>
      </c>
    </row>
    <row r="63" spans="1:2" x14ac:dyDescent="0.25">
      <c r="A63" s="81">
        <v>43615</v>
      </c>
      <c r="B63" s="82" t="s">
        <v>1975</v>
      </c>
    </row>
    <row r="64" spans="1:2" x14ac:dyDescent="0.25">
      <c r="A64" s="81">
        <v>43615</v>
      </c>
      <c r="B64" s="82" t="s">
        <v>1976</v>
      </c>
    </row>
    <row r="65" spans="1:2" x14ac:dyDescent="0.25">
      <c r="A65" s="81">
        <v>43620</v>
      </c>
      <c r="B65" s="82" t="s">
        <v>1977</v>
      </c>
    </row>
    <row r="66" spans="1:2" x14ac:dyDescent="0.25">
      <c r="A66" s="81">
        <v>43633</v>
      </c>
      <c r="B66" s="82" t="s">
        <v>1978</v>
      </c>
    </row>
    <row r="67" spans="1:2" x14ac:dyDescent="0.25">
      <c r="A67" s="81">
        <v>43634</v>
      </c>
      <c r="B67" s="82" t="s">
        <v>1989</v>
      </c>
    </row>
    <row r="68" spans="1:2" x14ac:dyDescent="0.25">
      <c r="A68" s="81">
        <v>43635</v>
      </c>
      <c r="B68" s="82" t="s">
        <v>2023</v>
      </c>
    </row>
    <row r="69" spans="1:2" x14ac:dyDescent="0.25">
      <c r="A69" s="81">
        <v>43675</v>
      </c>
      <c r="B69" s="82" t="s">
        <v>2024</v>
      </c>
    </row>
    <row r="70" spans="1:2" x14ac:dyDescent="0.25">
      <c r="A70" s="81">
        <v>43675</v>
      </c>
      <c r="B70" s="82" t="s">
        <v>2025</v>
      </c>
    </row>
    <row r="71" spans="1:2" x14ac:dyDescent="0.25">
      <c r="A71" s="81">
        <v>43675</v>
      </c>
      <c r="B71" s="82" t="s">
        <v>2028</v>
      </c>
    </row>
    <row r="72" spans="1:2" x14ac:dyDescent="0.25">
      <c r="A72" s="81">
        <v>43679</v>
      </c>
      <c r="B72" s="82" t="s">
        <v>2071</v>
      </c>
    </row>
    <row r="73" spans="1:2" x14ac:dyDescent="0.25">
      <c r="A73" s="81">
        <v>43686</v>
      </c>
      <c r="B73" s="82" t="s">
        <v>2072</v>
      </c>
    </row>
    <row r="74" spans="1:2" x14ac:dyDescent="0.25">
      <c r="A74" s="81">
        <v>43689</v>
      </c>
      <c r="B74" s="82" t="s">
        <v>2074</v>
      </c>
    </row>
    <row r="75" spans="1:2" x14ac:dyDescent="0.25">
      <c r="A75" s="81">
        <v>43699</v>
      </c>
      <c r="B75" s="82" t="s">
        <v>2075</v>
      </c>
    </row>
    <row r="76" spans="1:2" x14ac:dyDescent="0.25">
      <c r="A76" s="81">
        <v>43746</v>
      </c>
      <c r="B76" s="82" t="s">
        <v>2131</v>
      </c>
    </row>
    <row r="77" spans="1:2" x14ac:dyDescent="0.25">
      <c r="A77" s="81">
        <v>43756</v>
      </c>
      <c r="B77" s="82" t="s">
        <v>2134</v>
      </c>
    </row>
    <row r="78" spans="1:2" x14ac:dyDescent="0.25">
      <c r="A78" s="81">
        <v>43756</v>
      </c>
      <c r="B78" s="82" t="s">
        <v>2135</v>
      </c>
    </row>
    <row r="79" spans="1:2" x14ac:dyDescent="0.25">
      <c r="A79" s="81">
        <v>43761</v>
      </c>
      <c r="B79" s="82" t="s">
        <v>2147</v>
      </c>
    </row>
    <row r="80" spans="1:2" x14ac:dyDescent="0.25">
      <c r="A80" s="81">
        <v>43763</v>
      </c>
      <c r="B80" s="82" t="s">
        <v>2148</v>
      </c>
    </row>
    <row r="81" spans="1:2" x14ac:dyDescent="0.25">
      <c r="A81" s="81">
        <v>43763</v>
      </c>
      <c r="B81" s="82" t="s">
        <v>2150</v>
      </c>
    </row>
    <row r="82" spans="1:2" x14ac:dyDescent="0.25">
      <c r="A82" s="81">
        <v>43774</v>
      </c>
      <c r="B82" s="82" t="s">
        <v>2160</v>
      </c>
    </row>
    <row r="83" spans="1:2" x14ac:dyDescent="0.25">
      <c r="A83" s="81">
        <v>43797</v>
      </c>
      <c r="B83" s="82" t="s">
        <v>2161</v>
      </c>
    </row>
    <row r="84" spans="1:2" x14ac:dyDescent="0.25">
      <c r="A84" s="81">
        <v>43802</v>
      </c>
      <c r="B84" s="82" t="s">
        <v>2162</v>
      </c>
    </row>
    <row r="85" spans="1:2" x14ac:dyDescent="0.25">
      <c r="A85" s="81">
        <v>43805</v>
      </c>
      <c r="B85" s="82" t="s">
        <v>2162</v>
      </c>
    </row>
    <row r="86" spans="1:2" x14ac:dyDescent="0.25">
      <c r="A86" s="81">
        <v>43844</v>
      </c>
      <c r="B86" s="82" t="s">
        <v>2163</v>
      </c>
    </row>
    <row r="87" spans="1:2" x14ac:dyDescent="0.25">
      <c r="A87" s="81">
        <v>43846</v>
      </c>
      <c r="B87" s="82" t="s">
        <v>2164</v>
      </c>
    </row>
    <row r="88" spans="1:2" x14ac:dyDescent="0.25">
      <c r="A88" s="81">
        <v>43860</v>
      </c>
      <c r="B88" s="82" t="s">
        <v>2165</v>
      </c>
    </row>
    <row r="89" spans="1:2" x14ac:dyDescent="0.25">
      <c r="A89" s="81">
        <v>43860</v>
      </c>
      <c r="B89" s="82" t="s">
        <v>2166</v>
      </c>
    </row>
    <row r="90" spans="1:2" x14ac:dyDescent="0.25">
      <c r="A90" s="81">
        <v>43861</v>
      </c>
      <c r="B90" s="82" t="s">
        <v>2169</v>
      </c>
    </row>
    <row r="91" spans="1:2" x14ac:dyDescent="0.25">
      <c r="A91" s="81">
        <v>43868</v>
      </c>
      <c r="B91" s="82" t="s">
        <v>2195</v>
      </c>
    </row>
    <row r="92" spans="1:2" x14ac:dyDescent="0.25">
      <c r="A92" s="81">
        <v>43880</v>
      </c>
      <c r="B92" s="82" t="s">
        <v>2199</v>
      </c>
    </row>
    <row r="93" spans="1:2" x14ac:dyDescent="0.25">
      <c r="A93" s="81">
        <v>43880</v>
      </c>
      <c r="B93" s="82" t="s">
        <v>2200</v>
      </c>
    </row>
    <row r="94" spans="1:2" x14ac:dyDescent="0.25">
      <c r="A94" s="81">
        <v>43892</v>
      </c>
      <c r="B94" s="82" t="s">
        <v>2201</v>
      </c>
    </row>
    <row r="95" spans="1:2" x14ac:dyDescent="0.25">
      <c r="A95" s="81">
        <v>43909</v>
      </c>
      <c r="B95" s="82" t="s">
        <v>2226</v>
      </c>
    </row>
    <row r="96" spans="1:2" ht="150" x14ac:dyDescent="0.25">
      <c r="A96" s="81">
        <v>43963</v>
      </c>
      <c r="B96" s="49" t="s">
        <v>2229</v>
      </c>
    </row>
    <row r="97" spans="1:2" x14ac:dyDescent="0.25">
      <c r="A97" s="81">
        <v>43978</v>
      </c>
      <c r="B97" s="82" t="s">
        <v>2231</v>
      </c>
    </row>
    <row r="98" spans="1:2" x14ac:dyDescent="0.25">
      <c r="A98" s="81">
        <v>44001</v>
      </c>
      <c r="B98" s="82" t="s">
        <v>2253</v>
      </c>
    </row>
    <row r="99" spans="1:2" x14ac:dyDescent="0.25">
      <c r="A99" s="81">
        <v>44011</v>
      </c>
      <c r="B99" s="82" t="s">
        <v>2256</v>
      </c>
    </row>
    <row r="100" spans="1:2" x14ac:dyDescent="0.25">
      <c r="A100" s="81">
        <v>44013</v>
      </c>
      <c r="B100" s="82" t="s">
        <v>2260</v>
      </c>
    </row>
    <row r="101" spans="1:2" x14ac:dyDescent="0.25">
      <c r="A101" s="81">
        <v>44015</v>
      </c>
      <c r="B101" s="82" t="s">
        <v>2261</v>
      </c>
    </row>
    <row r="102" spans="1:2" x14ac:dyDescent="0.25">
      <c r="A102" s="81">
        <v>44036</v>
      </c>
      <c r="B102" s="82" t="s">
        <v>2262</v>
      </c>
    </row>
    <row r="103" spans="1:2" x14ac:dyDescent="0.25">
      <c r="A103" s="81">
        <v>44040</v>
      </c>
      <c r="B103" s="82" t="s">
        <v>2263</v>
      </c>
    </row>
    <row r="104" spans="1:2" x14ac:dyDescent="0.25">
      <c r="A104" s="81">
        <v>44060</v>
      </c>
      <c r="B104" s="82" t="s">
        <v>2266</v>
      </c>
    </row>
    <row r="105" spans="1:2" x14ac:dyDescent="0.25">
      <c r="A105" s="81">
        <v>44076</v>
      </c>
      <c r="B105" s="82" t="s">
        <v>2269</v>
      </c>
    </row>
    <row r="106" spans="1:2" x14ac:dyDescent="0.25">
      <c r="A106" s="81">
        <v>44077</v>
      </c>
      <c r="B106" s="82" t="s">
        <v>2287</v>
      </c>
    </row>
    <row r="107" spans="1:2" ht="105" x14ac:dyDescent="0.25">
      <c r="A107" s="81">
        <v>44083</v>
      </c>
      <c r="B107" s="49" t="s">
        <v>2288</v>
      </c>
    </row>
    <row r="108" spans="1:2" x14ac:dyDescent="0.25">
      <c r="A108" s="81">
        <v>44088</v>
      </c>
      <c r="B108" s="82" t="s">
        <v>2299</v>
      </c>
    </row>
    <row r="109" spans="1:2" x14ac:dyDescent="0.25">
      <c r="A109" s="81">
        <v>44089</v>
      </c>
      <c r="B109" s="82" t="s">
        <v>2299</v>
      </c>
    </row>
    <row r="110" spans="1:2" x14ac:dyDescent="0.25">
      <c r="A110" s="81">
        <v>44090</v>
      </c>
      <c r="B110" s="82" t="s">
        <v>2340</v>
      </c>
    </row>
    <row r="111" spans="1:2" x14ac:dyDescent="0.25">
      <c r="A111" s="81">
        <v>44090</v>
      </c>
      <c r="B111" s="82" t="s">
        <v>2342</v>
      </c>
    </row>
    <row r="112" spans="1:2" x14ac:dyDescent="0.25">
      <c r="A112" s="81">
        <v>44091</v>
      </c>
      <c r="B112" s="82" t="s">
        <v>2343</v>
      </c>
    </row>
    <row r="113" spans="1:2" x14ac:dyDescent="0.25">
      <c r="A113" s="81">
        <v>44092</v>
      </c>
      <c r="B113" s="82" t="s">
        <v>2344</v>
      </c>
    </row>
    <row r="114" spans="1:2" x14ac:dyDescent="0.25">
      <c r="A114" s="81">
        <v>44095</v>
      </c>
      <c r="B114" s="82" t="s">
        <v>2358</v>
      </c>
    </row>
    <row r="115" spans="1:2" x14ac:dyDescent="0.25">
      <c r="A115" s="81">
        <v>44099</v>
      </c>
      <c r="B115" s="82" t="s">
        <v>2376</v>
      </c>
    </row>
    <row r="116" spans="1:2" x14ac:dyDescent="0.25">
      <c r="A116" s="81">
        <v>44113</v>
      </c>
      <c r="B116" s="82" t="s">
        <v>2378</v>
      </c>
    </row>
    <row r="117" spans="1:2" x14ac:dyDescent="0.25">
      <c r="A117" s="81">
        <v>44117</v>
      </c>
      <c r="B117" s="82" t="s">
        <v>2379</v>
      </c>
    </row>
    <row r="118" spans="1:2" x14ac:dyDescent="0.25">
      <c r="A118" s="81">
        <v>44119</v>
      </c>
      <c r="B118" s="82" t="s">
        <v>2380</v>
      </c>
    </row>
    <row r="119" spans="1:2" x14ac:dyDescent="0.25">
      <c r="A119" s="81">
        <v>44119</v>
      </c>
      <c r="B119" s="82" t="s">
        <v>2381</v>
      </c>
    </row>
    <row r="120" spans="1:2" x14ac:dyDescent="0.25">
      <c r="A120" s="81">
        <v>44126</v>
      </c>
      <c r="B120" s="82" t="s">
        <v>2384</v>
      </c>
    </row>
    <row r="121" spans="1:2" x14ac:dyDescent="0.25">
      <c r="A121" s="81">
        <v>44127</v>
      </c>
      <c r="B121" s="82" t="s">
        <v>2396</v>
      </c>
    </row>
    <row r="122" spans="1:2" x14ac:dyDescent="0.25">
      <c r="A122" s="81">
        <v>44132</v>
      </c>
      <c r="B122" s="82" t="s">
        <v>2401</v>
      </c>
    </row>
    <row r="123" spans="1:2" x14ac:dyDescent="0.25">
      <c r="A123" s="81">
        <v>44133</v>
      </c>
      <c r="B123" s="82" t="s">
        <v>2403</v>
      </c>
    </row>
    <row r="124" spans="1:2" x14ac:dyDescent="0.25">
      <c r="A124" s="81">
        <v>44140</v>
      </c>
      <c r="B124" s="82" t="s">
        <v>2406</v>
      </c>
    </row>
    <row r="125" spans="1:2" x14ac:dyDescent="0.25">
      <c r="A125" s="81">
        <v>44142</v>
      </c>
      <c r="B125" s="82" t="s">
        <v>2432</v>
      </c>
    </row>
    <row r="126" spans="1:2" x14ac:dyDescent="0.25">
      <c r="A126" s="81">
        <v>44147</v>
      </c>
      <c r="B126" s="82" t="s">
        <v>2440</v>
      </c>
    </row>
    <row r="127" spans="1:2" x14ac:dyDescent="0.25">
      <c r="A127" s="81">
        <v>44158</v>
      </c>
      <c r="B127" s="82" t="s">
        <v>2444</v>
      </c>
    </row>
    <row r="128" spans="1:2" x14ac:dyDescent="0.25">
      <c r="A128" s="81">
        <v>44159</v>
      </c>
      <c r="B128" s="82" t="s">
        <v>2445</v>
      </c>
    </row>
    <row r="129" spans="1:2" x14ac:dyDescent="0.25">
      <c r="A129" s="81">
        <v>44160</v>
      </c>
      <c r="B129" s="82" t="s">
        <v>2446</v>
      </c>
    </row>
    <row r="130" spans="1:2" x14ac:dyDescent="0.25">
      <c r="A130" s="81">
        <v>44165</v>
      </c>
      <c r="B130" s="82" t="s">
        <v>2453</v>
      </c>
    </row>
    <row r="131" spans="1:2" x14ac:dyDescent="0.25">
      <c r="A131" s="81">
        <v>44172</v>
      </c>
      <c r="B131" s="82" t="s">
        <v>2455</v>
      </c>
    </row>
    <row r="132" spans="1:2" x14ac:dyDescent="0.25">
      <c r="A132" s="81">
        <v>44223</v>
      </c>
      <c r="B132" s="82" t="s">
        <v>2465</v>
      </c>
    </row>
    <row r="133" spans="1:2" x14ac:dyDescent="0.25">
      <c r="A133" s="81">
        <v>44235</v>
      </c>
      <c r="B133" s="82" t="s">
        <v>2467</v>
      </c>
    </row>
    <row r="134" spans="1:2" x14ac:dyDescent="0.25">
      <c r="A134" s="81">
        <v>44236</v>
      </c>
      <c r="B134" s="82" t="s">
        <v>2480</v>
      </c>
    </row>
    <row r="135" spans="1:2" x14ac:dyDescent="0.25">
      <c r="A135" s="81">
        <v>44249</v>
      </c>
      <c r="B135" s="82" t="s">
        <v>2481</v>
      </c>
    </row>
    <row r="136" spans="1:2" x14ac:dyDescent="0.25">
      <c r="A136" s="81">
        <v>44260</v>
      </c>
      <c r="B136" s="82" t="s">
        <v>2482</v>
      </c>
    </row>
    <row r="137" spans="1:2" x14ac:dyDescent="0.25">
      <c r="A137" s="81">
        <v>44278</v>
      </c>
      <c r="B137" s="82" t="s">
        <v>2501</v>
      </c>
    </row>
    <row r="138" spans="1:2" x14ac:dyDescent="0.25">
      <c r="A138" s="81">
        <v>44284</v>
      </c>
      <c r="B138" s="82" t="s">
        <v>2506</v>
      </c>
    </row>
    <row r="139" spans="1:2" x14ac:dyDescent="0.25">
      <c r="A139" s="81">
        <v>44295</v>
      </c>
      <c r="B139" s="82" t="s">
        <v>2540</v>
      </c>
    </row>
    <row r="140" spans="1:2" x14ac:dyDescent="0.25">
      <c r="A140" s="81">
        <v>44315</v>
      </c>
      <c r="B140" s="82" t="s">
        <v>2542</v>
      </c>
    </row>
    <row r="141" spans="1:2" x14ac:dyDescent="0.25">
      <c r="A141" s="81">
        <v>44356</v>
      </c>
      <c r="B141" s="82" t="s">
        <v>2549</v>
      </c>
    </row>
    <row r="142" spans="1:2" x14ac:dyDescent="0.25">
      <c r="A142" s="81">
        <v>44371</v>
      </c>
      <c r="B142" s="82" t="s">
        <v>2558</v>
      </c>
    </row>
    <row r="143" spans="1:2" x14ac:dyDescent="0.25">
      <c r="A143" s="81">
        <v>44396</v>
      </c>
      <c r="B143" s="82" t="s">
        <v>2561</v>
      </c>
    </row>
    <row r="144" spans="1:2" x14ac:dyDescent="0.25">
      <c r="A144" s="81">
        <v>44407</v>
      </c>
      <c r="B144" s="82" t="s">
        <v>2566</v>
      </c>
    </row>
    <row r="145" spans="1:2" x14ac:dyDescent="0.25">
      <c r="A145" s="81">
        <v>44411</v>
      </c>
      <c r="B145" s="82" t="s">
        <v>2575</v>
      </c>
    </row>
    <row r="146" spans="1:2" x14ac:dyDescent="0.25">
      <c r="A146" s="81">
        <v>44417</v>
      </c>
      <c r="B146" s="82" t="s">
        <v>2580</v>
      </c>
    </row>
    <row r="147" spans="1:2" x14ac:dyDescent="0.25">
      <c r="A147" s="81">
        <v>44419</v>
      </c>
      <c r="B147" s="82" t="s">
        <v>2581</v>
      </c>
    </row>
    <row r="148" spans="1:2" x14ac:dyDescent="0.25">
      <c r="A148" s="81">
        <v>44427</v>
      </c>
      <c r="B148" s="82" t="s">
        <v>2640</v>
      </c>
    </row>
    <row r="149" spans="1:2" x14ac:dyDescent="0.25">
      <c r="A149" s="81">
        <v>44428</v>
      </c>
      <c r="B149" s="82" t="s">
        <v>2644</v>
      </c>
    </row>
    <row r="150" spans="1:2" x14ac:dyDescent="0.25">
      <c r="A150" s="81">
        <v>44445</v>
      </c>
      <c r="B150" s="82" t="s">
        <v>2660</v>
      </c>
    </row>
    <row r="151" spans="1:2" x14ac:dyDescent="0.25">
      <c r="A151" s="81">
        <v>44455</v>
      </c>
      <c r="B151" s="82" t="s">
        <v>2663</v>
      </c>
    </row>
    <row r="152" spans="1:2" x14ac:dyDescent="0.25">
      <c r="A152" s="81">
        <v>44459</v>
      </c>
      <c r="B152" s="82" t="s">
        <v>2672</v>
      </c>
    </row>
    <row r="153" spans="1:2" x14ac:dyDescent="0.25">
      <c r="A153" s="81">
        <v>44463</v>
      </c>
      <c r="B153" s="82" t="s">
        <v>2673</v>
      </c>
    </row>
    <row r="154" spans="1:2" x14ac:dyDescent="0.25">
      <c r="A154" s="81">
        <v>44468</v>
      </c>
      <c r="B154" s="82" t="s">
        <v>2695</v>
      </c>
    </row>
    <row r="155" spans="1:2" x14ac:dyDescent="0.25">
      <c r="A155" s="81">
        <v>44469</v>
      </c>
      <c r="B155" s="82" t="s">
        <v>2698</v>
      </c>
    </row>
    <row r="156" spans="1:2" x14ac:dyDescent="0.25">
      <c r="A156" s="81">
        <v>44469</v>
      </c>
      <c r="B156" s="82" t="s">
        <v>2708</v>
      </c>
    </row>
    <row r="157" spans="1:2" x14ac:dyDescent="0.25">
      <c r="A157" s="81">
        <v>44476</v>
      </c>
      <c r="B157" s="82" t="s">
        <v>2709</v>
      </c>
    </row>
    <row r="158" spans="1:2" x14ac:dyDescent="0.25">
      <c r="A158" s="81">
        <v>44477</v>
      </c>
      <c r="B158" s="82" t="s">
        <v>2719</v>
      </c>
    </row>
    <row r="159" spans="1:2" x14ac:dyDescent="0.25">
      <c r="A159" s="81">
        <v>44505</v>
      </c>
      <c r="B159" s="82" t="s">
        <v>2730</v>
      </c>
    </row>
    <row r="160" spans="1:2" x14ac:dyDescent="0.25">
      <c r="A160" s="81">
        <v>44538</v>
      </c>
      <c r="B160" s="82" t="s">
        <v>2734</v>
      </c>
    </row>
    <row r="161" spans="1:2" x14ac:dyDescent="0.25">
      <c r="A161" s="81">
        <v>44553</v>
      </c>
      <c r="B161" s="82" t="s">
        <v>2748</v>
      </c>
    </row>
    <row r="162" spans="1:2" x14ac:dyDescent="0.25">
      <c r="A162" s="81">
        <v>44572</v>
      </c>
      <c r="B162" s="82" t="s">
        <v>2763</v>
      </c>
    </row>
    <row r="163" spans="1:2" x14ac:dyDescent="0.25">
      <c r="A163" s="81">
        <v>44638</v>
      </c>
      <c r="B163" s="82" t="s">
        <v>2768</v>
      </c>
    </row>
    <row r="164" spans="1:2" x14ac:dyDescent="0.25">
      <c r="A164" s="81">
        <v>44642</v>
      </c>
      <c r="B164" s="82" t="s">
        <v>2772</v>
      </c>
    </row>
    <row r="165" spans="1:2" x14ac:dyDescent="0.25">
      <c r="A165" s="81">
        <v>44658</v>
      </c>
      <c r="B165" s="82" t="s">
        <v>2773</v>
      </c>
    </row>
    <row r="166" spans="1:2" x14ac:dyDescent="0.25">
      <c r="A166" s="81">
        <v>44659</v>
      </c>
      <c r="B166" s="82" t="s">
        <v>2774</v>
      </c>
    </row>
    <row r="167" spans="1:2" x14ac:dyDescent="0.25">
      <c r="A167" s="81">
        <v>44664</v>
      </c>
      <c r="B167" s="82" t="s">
        <v>2777</v>
      </c>
    </row>
    <row r="168" spans="1:2" x14ac:dyDescent="0.25">
      <c r="A168" s="81">
        <v>44718</v>
      </c>
      <c r="B168" s="82" t="s">
        <v>1949</v>
      </c>
    </row>
    <row r="169" spans="1:2" x14ac:dyDescent="0.25">
      <c r="A169" s="81">
        <v>44760</v>
      </c>
      <c r="B169" s="82" t="s">
        <v>2804</v>
      </c>
    </row>
    <row r="170" spans="1:2" x14ac:dyDescent="0.25">
      <c r="A170" s="81">
        <v>44809</v>
      </c>
      <c r="B170" s="82" t="s">
        <v>2843</v>
      </c>
    </row>
    <row r="171" spans="1:2" x14ac:dyDescent="0.25">
      <c r="A171" s="81">
        <v>44830</v>
      </c>
      <c r="B171" s="82" t="s">
        <v>2855</v>
      </c>
    </row>
    <row r="172" spans="1:2" x14ac:dyDescent="0.25">
      <c r="A172" s="81">
        <v>44839</v>
      </c>
      <c r="B172" s="82" t="s">
        <v>2863</v>
      </c>
    </row>
    <row r="173" spans="1:2" x14ac:dyDescent="0.25">
      <c r="A173" s="81">
        <v>44852</v>
      </c>
      <c r="B173" s="82" t="s">
        <v>2889</v>
      </c>
    </row>
    <row r="174" spans="1:2" x14ac:dyDescent="0.25">
      <c r="A174" s="81">
        <v>44978</v>
      </c>
      <c r="B174" s="82" t="s">
        <v>2893</v>
      </c>
    </row>
    <row r="175" spans="1:2" x14ac:dyDescent="0.25">
      <c r="A175" s="81">
        <v>44988</v>
      </c>
      <c r="B175" s="82" t="s">
        <v>2896</v>
      </c>
    </row>
    <row r="176" spans="1:2" x14ac:dyDescent="0.25">
      <c r="A176" s="81">
        <v>45006</v>
      </c>
      <c r="B176" s="82" t="s">
        <v>2921</v>
      </c>
    </row>
    <row r="177" spans="1:2" x14ac:dyDescent="0.25">
      <c r="A177" s="81">
        <v>45014</v>
      </c>
      <c r="B177" s="82" t="s">
        <v>2924</v>
      </c>
    </row>
    <row r="178" spans="1:2" x14ac:dyDescent="0.25">
      <c r="A178" s="81">
        <v>45020</v>
      </c>
      <c r="B178" s="82" t="s">
        <v>2925</v>
      </c>
    </row>
    <row r="179" spans="1:2" x14ac:dyDescent="0.25">
      <c r="A179" s="81">
        <v>45044</v>
      </c>
      <c r="B179" s="82" t="s">
        <v>2931</v>
      </c>
    </row>
    <row r="180" spans="1:2" x14ac:dyDescent="0.25">
      <c r="A180" s="81">
        <v>45089</v>
      </c>
      <c r="B180" s="82" t="s">
        <v>2935</v>
      </c>
    </row>
    <row r="181" spans="1:2" x14ac:dyDescent="0.25">
      <c r="A181" s="81">
        <v>45112</v>
      </c>
      <c r="B181" s="82" t="s">
        <v>2936</v>
      </c>
    </row>
    <row r="182" spans="1:2" x14ac:dyDescent="0.25">
      <c r="A182" s="81">
        <v>45127</v>
      </c>
      <c r="B182" s="82" t="s">
        <v>2942</v>
      </c>
    </row>
    <row r="183" spans="1:2" x14ac:dyDescent="0.25">
      <c r="A183" s="81">
        <v>45176</v>
      </c>
      <c r="B183" s="82" t="s">
        <v>2955</v>
      </c>
    </row>
    <row r="184" spans="1:2" x14ac:dyDescent="0.25">
      <c r="A184" s="81">
        <v>45177</v>
      </c>
      <c r="B184" s="82" t="s">
        <v>2959</v>
      </c>
    </row>
    <row r="185" spans="1:2" x14ac:dyDescent="0.25">
      <c r="A185" s="81">
        <v>45187</v>
      </c>
      <c r="B185" s="82" t="s">
        <v>2971</v>
      </c>
    </row>
    <row r="186" spans="1:2" x14ac:dyDescent="0.25">
      <c r="A186" s="81">
        <v>45206</v>
      </c>
      <c r="B186" s="82" t="s">
        <v>3022</v>
      </c>
    </row>
    <row r="187" spans="1:2" x14ac:dyDescent="0.25">
      <c r="A187" s="81">
        <v>45273</v>
      </c>
      <c r="B187" s="82" t="s">
        <v>3058</v>
      </c>
    </row>
    <row r="188" spans="1:2" x14ac:dyDescent="0.25">
      <c r="A188" s="81">
        <v>45322</v>
      </c>
      <c r="B188" s="82" t="s">
        <v>3063</v>
      </c>
    </row>
    <row r="189" spans="1:2" x14ac:dyDescent="0.25">
      <c r="A189" s="81">
        <v>45392</v>
      </c>
      <c r="B189" s="82" t="s">
        <v>3085</v>
      </c>
    </row>
    <row r="190" spans="1:2" x14ac:dyDescent="0.25">
      <c r="A190" s="81">
        <v>45398</v>
      </c>
      <c r="B190" s="82" t="s">
        <v>3089</v>
      </c>
    </row>
    <row r="191" spans="1:2" x14ac:dyDescent="0.25">
      <c r="A191" s="81">
        <v>45427</v>
      </c>
      <c r="B191" s="82" t="s">
        <v>3092</v>
      </c>
    </row>
    <row r="192" spans="1:2" x14ac:dyDescent="0.25">
      <c r="A192" s="81">
        <v>45463</v>
      </c>
      <c r="B192" s="82" t="s">
        <v>3099</v>
      </c>
    </row>
    <row r="193" spans="1:2" x14ac:dyDescent="0.25">
      <c r="A193" s="81">
        <v>45573</v>
      </c>
      <c r="B193" s="82" t="s">
        <v>3213</v>
      </c>
    </row>
    <row r="194" spans="1:2" x14ac:dyDescent="0.25">
      <c r="A194" s="81">
        <v>45618</v>
      </c>
      <c r="B194" s="82" t="s">
        <v>3223</v>
      </c>
    </row>
    <row r="195" spans="1:2" x14ac:dyDescent="0.25">
      <c r="A195" s="81">
        <v>45625</v>
      </c>
      <c r="B195" s="82" t="s">
        <v>3228</v>
      </c>
    </row>
    <row r="196" spans="1:2" x14ac:dyDescent="0.25">
      <c r="A196" s="81">
        <v>45743</v>
      </c>
      <c r="B196" s="82" t="s">
        <v>3276</v>
      </c>
    </row>
    <row r="197" spans="1:2" x14ac:dyDescent="0.25">
      <c r="A197" s="81">
        <v>45838</v>
      </c>
      <c r="B197" s="82" t="s">
        <v>3277</v>
      </c>
    </row>
    <row r="198" spans="1:2" x14ac:dyDescent="0.25">
      <c r="A198" s="81">
        <v>45855</v>
      </c>
      <c r="B198" s="82" t="s">
        <v>3309</v>
      </c>
    </row>
    <row r="199" spans="1:2" x14ac:dyDescent="0.25">
      <c r="A199" s="81">
        <v>45860</v>
      </c>
      <c r="B199" s="82" t="s">
        <v>3346</v>
      </c>
    </row>
    <row r="200" spans="1:2" x14ac:dyDescent="0.25">
      <c r="A200" s="81">
        <v>45873</v>
      </c>
      <c r="B200" s="82" t="s">
        <v>3356</v>
      </c>
    </row>
    <row r="201" spans="1:2" x14ac:dyDescent="0.25">
      <c r="A201" s="81">
        <v>46191</v>
      </c>
      <c r="B201" s="82" t="s">
        <v>3514</v>
      </c>
    </row>
    <row r="202" spans="1:2" x14ac:dyDescent="0.25">
      <c r="A202" s="81">
        <v>46217</v>
      </c>
      <c r="B202" s="82" t="s">
        <v>3526</v>
      </c>
    </row>
    <row r="203" spans="1:2" x14ac:dyDescent="0.25">
      <c r="A203" s="81">
        <v>46232</v>
      </c>
      <c r="B203" s="82" t="s">
        <v>3531</v>
      </c>
    </row>
  </sheetData>
  <autoFilter ref="A1:B1" xr:uid="{13A3ACA5-2420-4645-A5D0-FBF17833F97D}"/>
  <customSheetViews>
    <customSheetView guid="{B1221BD8-8E00-46E8-8D60-4A56740AF862}">
      <selection activeCell="A5" sqref="A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V275"/>
  <sheetViews>
    <sheetView topLeftCell="A124" zoomScale="80" zoomScaleNormal="80" workbookViewId="0">
      <selection activeCell="D155" sqref="D155"/>
    </sheetView>
  </sheetViews>
  <sheetFormatPr defaultRowHeight="15" x14ac:dyDescent="0.25"/>
  <cols>
    <col min="1" max="1" width="4.28515625" bestFit="1" customWidth="1"/>
    <col min="2" max="2" width="8.7109375" bestFit="1" customWidth="1"/>
    <col min="3" max="3" width="10.140625" bestFit="1" customWidth="1"/>
    <col min="4" max="4" width="23.7109375" bestFit="1" customWidth="1"/>
    <col min="6" max="6" width="18.85546875" bestFit="1" customWidth="1"/>
    <col min="7" max="7" width="10.85546875" bestFit="1" customWidth="1"/>
    <col min="8" max="9" width="11" bestFit="1" customWidth="1"/>
    <col min="10" max="10" width="10.140625" bestFit="1" customWidth="1"/>
    <col min="11" max="11" width="42.7109375" bestFit="1" customWidth="1"/>
    <col min="12" max="12" width="7.7109375" bestFit="1" customWidth="1"/>
    <col min="13" max="13" width="10.85546875" bestFit="1" customWidth="1"/>
    <col min="14" max="14" width="6.7109375" bestFit="1" customWidth="1"/>
    <col min="15" max="15" width="9.5703125" bestFit="1" customWidth="1"/>
    <col min="16" max="16" width="10.85546875" bestFit="1" customWidth="1"/>
    <col min="17" max="17" width="11.42578125" bestFit="1" customWidth="1"/>
    <col min="18" max="18" width="9.5703125" bestFit="1" customWidth="1"/>
    <col min="19" max="19" width="17.28515625" bestFit="1" customWidth="1"/>
    <col min="20" max="20" width="16.5703125" bestFit="1" customWidth="1"/>
    <col min="21" max="21" width="11.28515625" bestFit="1" customWidth="1"/>
  </cols>
  <sheetData>
    <row r="1" spans="1:22" ht="45" x14ac:dyDescent="0.25">
      <c r="A1" s="50" t="s">
        <v>0</v>
      </c>
      <c r="B1" s="50" t="s">
        <v>3</v>
      </c>
      <c r="C1" s="51" t="s">
        <v>884</v>
      </c>
      <c r="D1" s="51" t="s">
        <v>818</v>
      </c>
      <c r="E1" s="51" t="s">
        <v>1</v>
      </c>
      <c r="F1" s="51" t="s">
        <v>143</v>
      </c>
      <c r="G1" s="51" t="s">
        <v>887</v>
      </c>
      <c r="H1" s="51" t="s">
        <v>937</v>
      </c>
      <c r="I1" s="51" t="s">
        <v>938</v>
      </c>
      <c r="J1" s="51" t="s">
        <v>142</v>
      </c>
      <c r="K1" s="51" t="s">
        <v>2</v>
      </c>
      <c r="L1" s="52" t="s">
        <v>798</v>
      </c>
      <c r="M1" s="52" t="s">
        <v>978</v>
      </c>
      <c r="N1" s="50" t="s">
        <v>808</v>
      </c>
      <c r="O1" s="54" t="s">
        <v>816</v>
      </c>
      <c r="P1" s="54" t="s">
        <v>991</v>
      </c>
      <c r="Q1" s="54" t="s">
        <v>990</v>
      </c>
      <c r="R1" s="54" t="s">
        <v>989</v>
      </c>
      <c r="S1" s="54" t="s">
        <v>988</v>
      </c>
      <c r="T1" s="54" t="s">
        <v>987</v>
      </c>
      <c r="U1" s="54" t="s">
        <v>986</v>
      </c>
      <c r="V1" s="54" t="s">
        <v>985</v>
      </c>
    </row>
    <row r="2" spans="1:22" x14ac:dyDescent="0.25">
      <c r="A2" s="2">
        <v>4</v>
      </c>
      <c r="B2" s="2" t="s">
        <v>182</v>
      </c>
      <c r="C2" s="2" t="s">
        <v>893</v>
      </c>
      <c r="D2" s="2" t="s">
        <v>825</v>
      </c>
      <c r="E2" s="2" t="s">
        <v>885</v>
      </c>
      <c r="F2" s="2" t="s">
        <v>4</v>
      </c>
      <c r="G2" s="2" t="s">
        <v>6</v>
      </c>
      <c r="H2" s="2" t="s">
        <v>888</v>
      </c>
      <c r="I2" s="2">
        <v>1003</v>
      </c>
      <c r="J2" s="2" t="s">
        <v>713</v>
      </c>
      <c r="K2" s="2" t="s">
        <v>5</v>
      </c>
      <c r="L2" s="53">
        <v>120</v>
      </c>
      <c r="M2" s="55" t="s">
        <v>979</v>
      </c>
      <c r="N2" s="1" t="s">
        <v>814</v>
      </c>
      <c r="O2" s="2">
        <v>320</v>
      </c>
      <c r="P2" s="2" t="s">
        <v>982</v>
      </c>
      <c r="Q2" s="2" t="s">
        <v>982</v>
      </c>
      <c r="R2" s="2" t="s">
        <v>982</v>
      </c>
      <c r="S2" s="2" t="s">
        <v>128</v>
      </c>
      <c r="T2" s="2" t="s">
        <v>984</v>
      </c>
      <c r="U2" s="2">
        <v>2640</v>
      </c>
      <c r="V2" s="2" t="s">
        <v>982</v>
      </c>
    </row>
    <row r="3" spans="1:22" x14ac:dyDescent="0.25">
      <c r="A3" s="2">
        <v>4</v>
      </c>
      <c r="B3" s="2" t="s">
        <v>182</v>
      </c>
      <c r="C3" s="2" t="s">
        <v>893</v>
      </c>
      <c r="D3" s="2" t="s">
        <v>825</v>
      </c>
      <c r="E3" s="2" t="s">
        <v>885</v>
      </c>
      <c r="F3" s="2" t="s">
        <v>4</v>
      </c>
      <c r="G3" s="2" t="s">
        <v>6</v>
      </c>
      <c r="H3" s="2" t="s">
        <v>888</v>
      </c>
      <c r="I3" s="2">
        <v>1003</v>
      </c>
      <c r="J3" s="2" t="s">
        <v>713</v>
      </c>
      <c r="K3" s="2" t="s">
        <v>5</v>
      </c>
      <c r="L3" s="53">
        <v>120</v>
      </c>
      <c r="M3" s="55" t="s">
        <v>979</v>
      </c>
      <c r="N3" s="1" t="s">
        <v>814</v>
      </c>
      <c r="O3" s="2">
        <v>320</v>
      </c>
      <c r="P3" s="2" t="s">
        <v>982</v>
      </c>
      <c r="Q3" s="2" t="s">
        <v>982</v>
      </c>
      <c r="R3" s="2" t="s">
        <v>982</v>
      </c>
      <c r="S3" s="2" t="s">
        <v>284</v>
      </c>
      <c r="T3" s="2" t="s">
        <v>984</v>
      </c>
      <c r="U3" s="2">
        <v>2640</v>
      </c>
      <c r="V3" s="2" t="s">
        <v>982</v>
      </c>
    </row>
    <row r="4" spans="1:22" x14ac:dyDescent="0.25">
      <c r="A4" s="2">
        <v>4</v>
      </c>
      <c r="B4" s="2" t="s">
        <v>182</v>
      </c>
      <c r="C4" s="2" t="s">
        <v>893</v>
      </c>
      <c r="D4" s="2" t="s">
        <v>825</v>
      </c>
      <c r="E4" s="2" t="s">
        <v>885</v>
      </c>
      <c r="F4" s="2" t="s">
        <v>4</v>
      </c>
      <c r="G4" s="2" t="s">
        <v>6</v>
      </c>
      <c r="H4" s="2" t="s">
        <v>888</v>
      </c>
      <c r="I4" s="2">
        <v>1003</v>
      </c>
      <c r="J4" s="2" t="s">
        <v>713</v>
      </c>
      <c r="K4" s="2" t="s">
        <v>5</v>
      </c>
      <c r="L4" s="53">
        <v>120</v>
      </c>
      <c r="M4" s="55" t="s">
        <v>979</v>
      </c>
      <c r="N4" s="1" t="s">
        <v>814</v>
      </c>
      <c r="O4" s="2">
        <v>320</v>
      </c>
      <c r="P4" s="2" t="s">
        <v>982</v>
      </c>
      <c r="Q4" s="2" t="s">
        <v>982</v>
      </c>
      <c r="R4" s="2" t="s">
        <v>982</v>
      </c>
      <c r="S4" s="2" t="s">
        <v>282</v>
      </c>
      <c r="T4" s="2" t="s">
        <v>984</v>
      </c>
      <c r="U4" s="2">
        <v>2400</v>
      </c>
      <c r="V4" s="2" t="s">
        <v>982</v>
      </c>
    </row>
    <row r="5" spans="1:22" x14ac:dyDescent="0.25">
      <c r="A5" s="2">
        <v>4</v>
      </c>
      <c r="B5" s="2" t="s">
        <v>182</v>
      </c>
      <c r="C5" s="2" t="s">
        <v>893</v>
      </c>
      <c r="D5" s="2" t="s">
        <v>825</v>
      </c>
      <c r="E5" s="2" t="s">
        <v>885</v>
      </c>
      <c r="F5" s="2" t="s">
        <v>4</v>
      </c>
      <c r="G5" s="2" t="s">
        <v>6</v>
      </c>
      <c r="H5" s="2" t="s">
        <v>888</v>
      </c>
      <c r="I5" s="2">
        <v>1003</v>
      </c>
      <c r="J5" s="2" t="s">
        <v>713</v>
      </c>
      <c r="K5" s="2" t="s">
        <v>5</v>
      </c>
      <c r="L5" s="53">
        <v>120</v>
      </c>
      <c r="M5" s="55" t="s">
        <v>979</v>
      </c>
      <c r="N5" s="1" t="s">
        <v>814</v>
      </c>
      <c r="O5" s="2">
        <v>320</v>
      </c>
      <c r="P5" s="2" t="s">
        <v>982</v>
      </c>
      <c r="Q5" s="2" t="s">
        <v>982</v>
      </c>
      <c r="R5" s="2" t="s">
        <v>982</v>
      </c>
      <c r="S5" s="2" t="s">
        <v>289</v>
      </c>
      <c r="T5" s="2" t="s">
        <v>984</v>
      </c>
      <c r="U5" s="2">
        <v>1600</v>
      </c>
      <c r="V5" s="2" t="s">
        <v>982</v>
      </c>
    </row>
    <row r="6" spans="1:22" x14ac:dyDescent="0.25">
      <c r="A6" s="2">
        <v>4</v>
      </c>
      <c r="B6" s="2" t="s">
        <v>182</v>
      </c>
      <c r="C6" s="2" t="s">
        <v>893</v>
      </c>
      <c r="D6" s="2" t="s">
        <v>825</v>
      </c>
      <c r="E6" s="2" t="s">
        <v>885</v>
      </c>
      <c r="F6" s="2" t="s">
        <v>4</v>
      </c>
      <c r="G6" s="2" t="s">
        <v>6</v>
      </c>
      <c r="H6" s="2" t="s">
        <v>888</v>
      </c>
      <c r="I6" s="2">
        <v>1003</v>
      </c>
      <c r="J6" s="2" t="s">
        <v>713</v>
      </c>
      <c r="K6" s="2" t="s">
        <v>5</v>
      </c>
      <c r="L6" s="53">
        <v>120</v>
      </c>
      <c r="M6" s="55" t="s">
        <v>979</v>
      </c>
      <c r="N6" s="1" t="s">
        <v>814</v>
      </c>
      <c r="O6" s="2">
        <v>320</v>
      </c>
      <c r="P6" s="2" t="s">
        <v>982</v>
      </c>
      <c r="Q6" s="2" t="s">
        <v>982</v>
      </c>
      <c r="R6" s="2" t="s">
        <v>982</v>
      </c>
      <c r="S6" s="2" t="s">
        <v>290</v>
      </c>
      <c r="T6" s="2" t="s">
        <v>984</v>
      </c>
      <c r="U6" s="2">
        <v>1330</v>
      </c>
      <c r="V6" s="2" t="s">
        <v>982</v>
      </c>
    </row>
    <row r="7" spans="1:22" x14ac:dyDescent="0.25">
      <c r="A7" s="2">
        <v>4</v>
      </c>
      <c r="B7" s="2" t="s">
        <v>182</v>
      </c>
      <c r="C7" s="2" t="s">
        <v>893</v>
      </c>
      <c r="D7" s="2" t="s">
        <v>825</v>
      </c>
      <c r="E7" s="2" t="s">
        <v>885</v>
      </c>
      <c r="F7" s="2" t="s">
        <v>4</v>
      </c>
      <c r="G7" s="2" t="s">
        <v>6</v>
      </c>
      <c r="H7" s="2" t="s">
        <v>888</v>
      </c>
      <c r="I7" s="2">
        <v>1003</v>
      </c>
      <c r="J7" s="2" t="s">
        <v>713</v>
      </c>
      <c r="K7" s="2" t="s">
        <v>5</v>
      </c>
      <c r="L7" s="53">
        <v>120</v>
      </c>
      <c r="M7" s="55" t="s">
        <v>979</v>
      </c>
      <c r="N7" s="1" t="s">
        <v>814</v>
      </c>
      <c r="O7" s="2">
        <v>320</v>
      </c>
      <c r="P7" s="2" t="s">
        <v>982</v>
      </c>
      <c r="Q7" s="2" t="s">
        <v>982</v>
      </c>
      <c r="R7" s="2" t="s">
        <v>982</v>
      </c>
      <c r="S7" s="2" t="s">
        <v>293</v>
      </c>
      <c r="T7" s="2" t="s">
        <v>984</v>
      </c>
      <c r="U7" s="2">
        <v>1070</v>
      </c>
      <c r="V7" s="2" t="s">
        <v>982</v>
      </c>
    </row>
    <row r="8" spans="1:22" x14ac:dyDescent="0.25">
      <c r="A8" s="2">
        <v>4</v>
      </c>
      <c r="B8" s="2" t="s">
        <v>182</v>
      </c>
      <c r="C8" s="2" t="s">
        <v>893</v>
      </c>
      <c r="D8" s="2" t="s">
        <v>825</v>
      </c>
      <c r="E8" s="2" t="s">
        <v>885</v>
      </c>
      <c r="F8" s="2" t="s">
        <v>4</v>
      </c>
      <c r="G8" s="2" t="s">
        <v>6</v>
      </c>
      <c r="H8" s="2" t="s">
        <v>888</v>
      </c>
      <c r="I8" s="2">
        <v>1003</v>
      </c>
      <c r="J8" s="2" t="s">
        <v>713</v>
      </c>
      <c r="K8" s="2" t="s">
        <v>5</v>
      </c>
      <c r="L8" s="53">
        <v>120</v>
      </c>
      <c r="M8" s="55" t="s">
        <v>979</v>
      </c>
      <c r="N8" s="1" t="s">
        <v>814</v>
      </c>
      <c r="O8" s="2">
        <v>320</v>
      </c>
      <c r="P8" s="2" t="s">
        <v>982</v>
      </c>
      <c r="Q8" s="2" t="s">
        <v>982</v>
      </c>
      <c r="R8" s="2" t="s">
        <v>982</v>
      </c>
      <c r="S8" s="2" t="s">
        <v>272</v>
      </c>
      <c r="T8" s="2" t="s">
        <v>984</v>
      </c>
      <c r="U8" s="2">
        <v>460</v>
      </c>
      <c r="V8" s="2" t="s">
        <v>982</v>
      </c>
    </row>
    <row r="9" spans="1:22" x14ac:dyDescent="0.25">
      <c r="A9" s="2">
        <v>4</v>
      </c>
      <c r="B9" s="2" t="s">
        <v>182</v>
      </c>
      <c r="C9" s="2" t="s">
        <v>893</v>
      </c>
      <c r="D9" s="2" t="s">
        <v>825</v>
      </c>
      <c r="E9" s="2" t="s">
        <v>885</v>
      </c>
      <c r="F9" s="2" t="s">
        <v>4</v>
      </c>
      <c r="G9" s="2" t="s">
        <v>6</v>
      </c>
      <c r="H9" s="2" t="s">
        <v>888</v>
      </c>
      <c r="I9" s="2">
        <v>1003</v>
      </c>
      <c r="J9" s="2" t="s">
        <v>713</v>
      </c>
      <c r="K9" s="2" t="s">
        <v>5</v>
      </c>
      <c r="L9" s="53">
        <v>120</v>
      </c>
      <c r="M9" s="55" t="s">
        <v>979</v>
      </c>
      <c r="N9" s="1" t="s">
        <v>814</v>
      </c>
      <c r="O9" s="2">
        <v>320</v>
      </c>
      <c r="P9" s="2" t="s">
        <v>982</v>
      </c>
      <c r="Q9" s="2" t="s">
        <v>982</v>
      </c>
      <c r="R9" s="2" t="s">
        <v>982</v>
      </c>
      <c r="S9" s="2" t="s">
        <v>292</v>
      </c>
      <c r="T9" s="2" t="s">
        <v>983</v>
      </c>
      <c r="U9" s="2">
        <v>270</v>
      </c>
      <c r="V9" s="2" t="s">
        <v>982</v>
      </c>
    </row>
    <row r="10" spans="1:22" x14ac:dyDescent="0.25">
      <c r="A10" s="2">
        <v>4</v>
      </c>
      <c r="B10" s="2" t="s">
        <v>182</v>
      </c>
      <c r="C10" s="2" t="s">
        <v>893</v>
      </c>
      <c r="D10" s="2" t="s">
        <v>825</v>
      </c>
      <c r="E10" s="2" t="s">
        <v>885</v>
      </c>
      <c r="F10" s="2" t="s">
        <v>4</v>
      </c>
      <c r="G10" s="2" t="s">
        <v>6</v>
      </c>
      <c r="H10" s="2" t="s">
        <v>888</v>
      </c>
      <c r="I10" s="2">
        <v>1003</v>
      </c>
      <c r="J10" s="2" t="s">
        <v>713</v>
      </c>
      <c r="K10" s="2" t="s">
        <v>5</v>
      </c>
      <c r="L10" s="53">
        <v>120</v>
      </c>
      <c r="M10" s="55" t="s">
        <v>979</v>
      </c>
      <c r="N10" s="1" t="s">
        <v>814</v>
      </c>
      <c r="O10" s="2">
        <v>320</v>
      </c>
      <c r="P10" s="2" t="s">
        <v>982</v>
      </c>
      <c r="Q10" s="2" t="s">
        <v>982</v>
      </c>
      <c r="R10" s="2" t="s">
        <v>982</v>
      </c>
      <c r="S10" s="2" t="s">
        <v>276</v>
      </c>
      <c r="T10" s="2" t="s">
        <v>983</v>
      </c>
      <c r="U10" s="2">
        <v>70</v>
      </c>
      <c r="V10" s="2" t="s">
        <v>982</v>
      </c>
    </row>
    <row r="11" spans="1:22" x14ac:dyDescent="0.25">
      <c r="A11" s="2">
        <v>4</v>
      </c>
      <c r="B11" s="2" t="s">
        <v>182</v>
      </c>
      <c r="C11" s="2" t="s">
        <v>893</v>
      </c>
      <c r="D11" s="2" t="s">
        <v>825</v>
      </c>
      <c r="E11" s="2" t="s">
        <v>885</v>
      </c>
      <c r="F11" s="2" t="s">
        <v>4</v>
      </c>
      <c r="G11" s="2" t="s">
        <v>6</v>
      </c>
      <c r="H11" s="2" t="s">
        <v>888</v>
      </c>
      <c r="I11" s="2">
        <v>1003</v>
      </c>
      <c r="J11" s="2" t="s">
        <v>713</v>
      </c>
      <c r="K11" s="2" t="s">
        <v>5</v>
      </c>
      <c r="L11" s="53">
        <v>120</v>
      </c>
      <c r="M11" s="55" t="s">
        <v>979</v>
      </c>
      <c r="N11" s="1" t="s">
        <v>814</v>
      </c>
      <c r="O11" s="2">
        <v>320</v>
      </c>
      <c r="P11" s="2" t="s">
        <v>982</v>
      </c>
      <c r="Q11" s="2" t="s">
        <v>982</v>
      </c>
      <c r="R11" s="2" t="s">
        <v>982</v>
      </c>
      <c r="S11" s="2" t="s">
        <v>291</v>
      </c>
      <c r="T11" s="2" t="s">
        <v>983</v>
      </c>
      <c r="U11" s="2">
        <v>40</v>
      </c>
      <c r="V11" s="2" t="s">
        <v>982</v>
      </c>
    </row>
    <row r="12" spans="1:22" x14ac:dyDescent="0.25">
      <c r="A12" s="2">
        <v>4</v>
      </c>
      <c r="B12" s="2" t="s">
        <v>182</v>
      </c>
      <c r="C12" s="2" t="s">
        <v>893</v>
      </c>
      <c r="D12" s="2" t="s">
        <v>825</v>
      </c>
      <c r="E12" s="2" t="s">
        <v>885</v>
      </c>
      <c r="F12" s="2" t="s">
        <v>4</v>
      </c>
      <c r="G12" s="2" t="s">
        <v>6</v>
      </c>
      <c r="H12" s="2" t="s">
        <v>888</v>
      </c>
      <c r="I12" s="2">
        <v>1003</v>
      </c>
      <c r="J12" s="2" t="s">
        <v>713</v>
      </c>
      <c r="K12" s="2" t="s">
        <v>5</v>
      </c>
      <c r="L12" s="53">
        <v>120</v>
      </c>
      <c r="M12" s="55" t="s">
        <v>979</v>
      </c>
      <c r="N12" s="1" t="s">
        <v>814</v>
      </c>
      <c r="O12" s="2">
        <v>320</v>
      </c>
      <c r="P12" s="2" t="s">
        <v>982</v>
      </c>
      <c r="Q12" s="2" t="s">
        <v>982</v>
      </c>
      <c r="R12" s="2" t="s">
        <v>982</v>
      </c>
      <c r="S12" s="2" t="s">
        <v>278</v>
      </c>
      <c r="T12" s="2" t="s">
        <v>983</v>
      </c>
      <c r="U12" s="2">
        <v>40</v>
      </c>
      <c r="V12" s="2" t="s">
        <v>982</v>
      </c>
    </row>
    <row r="13" spans="1:22" x14ac:dyDescent="0.25">
      <c r="A13" s="2">
        <v>4</v>
      </c>
      <c r="B13" s="2" t="s">
        <v>182</v>
      </c>
      <c r="C13" s="2" t="s">
        <v>893</v>
      </c>
      <c r="D13" s="2" t="s">
        <v>825</v>
      </c>
      <c r="E13" s="2" t="s">
        <v>885</v>
      </c>
      <c r="F13" s="2" t="s">
        <v>4</v>
      </c>
      <c r="G13" s="2" t="s">
        <v>6</v>
      </c>
      <c r="H13" s="2" t="s">
        <v>888</v>
      </c>
      <c r="I13" s="2">
        <v>1003</v>
      </c>
      <c r="J13" s="2" t="s">
        <v>713</v>
      </c>
      <c r="K13" s="2" t="s">
        <v>5</v>
      </c>
      <c r="L13" s="53">
        <v>120</v>
      </c>
      <c r="M13" s="55" t="s">
        <v>979</v>
      </c>
      <c r="N13" s="1" t="s">
        <v>814</v>
      </c>
      <c r="O13" s="2">
        <v>320</v>
      </c>
      <c r="P13" s="2" t="s">
        <v>982</v>
      </c>
      <c r="Q13" s="2" t="s">
        <v>982</v>
      </c>
      <c r="R13" s="2" t="s">
        <v>982</v>
      </c>
      <c r="S13" s="2" t="s">
        <v>280</v>
      </c>
      <c r="T13" s="2" t="s">
        <v>983</v>
      </c>
      <c r="U13" s="2">
        <v>40</v>
      </c>
      <c r="V13" s="2" t="s">
        <v>982</v>
      </c>
    </row>
    <row r="14" spans="1:22" x14ac:dyDescent="0.25">
      <c r="A14" s="2">
        <v>4</v>
      </c>
      <c r="B14" s="2" t="s">
        <v>182</v>
      </c>
      <c r="C14" s="2" t="s">
        <v>893</v>
      </c>
      <c r="D14" s="2" t="s">
        <v>825</v>
      </c>
      <c r="E14" s="2" t="s">
        <v>885</v>
      </c>
      <c r="F14" s="2" t="s">
        <v>4</v>
      </c>
      <c r="G14" s="2" t="s">
        <v>6</v>
      </c>
      <c r="H14" s="2" t="s">
        <v>888</v>
      </c>
      <c r="I14" s="2">
        <v>1003</v>
      </c>
      <c r="J14" s="2" t="s">
        <v>713</v>
      </c>
      <c r="K14" s="2" t="s">
        <v>5</v>
      </c>
      <c r="L14" s="53">
        <v>120</v>
      </c>
      <c r="M14" s="55" t="s">
        <v>979</v>
      </c>
      <c r="N14" s="1" t="s">
        <v>814</v>
      </c>
      <c r="O14" s="2">
        <v>320</v>
      </c>
      <c r="P14" s="2" t="s">
        <v>982</v>
      </c>
      <c r="Q14" s="2" t="s">
        <v>982</v>
      </c>
      <c r="R14" s="2" t="s">
        <v>982</v>
      </c>
      <c r="S14" s="2" t="s">
        <v>982</v>
      </c>
      <c r="T14" s="2" t="s">
        <v>982</v>
      </c>
      <c r="U14" s="2" t="s">
        <v>982</v>
      </c>
      <c r="V14" s="2" t="s">
        <v>982</v>
      </c>
    </row>
    <row r="15" spans="1:22" x14ac:dyDescent="0.25">
      <c r="A15" s="2">
        <v>4</v>
      </c>
      <c r="B15" s="2" t="s">
        <v>182</v>
      </c>
      <c r="C15" s="2" t="s">
        <v>893</v>
      </c>
      <c r="D15" s="2" t="s">
        <v>825</v>
      </c>
      <c r="E15" s="2" t="s">
        <v>885</v>
      </c>
      <c r="F15" s="2" t="s">
        <v>4</v>
      </c>
      <c r="G15" s="2" t="s">
        <v>6</v>
      </c>
      <c r="H15" s="2" t="s">
        <v>888</v>
      </c>
      <c r="I15" s="2">
        <v>1003</v>
      </c>
      <c r="J15" s="2" t="s">
        <v>713</v>
      </c>
      <c r="K15" s="2" t="s">
        <v>5</v>
      </c>
      <c r="L15" s="53">
        <v>120</v>
      </c>
      <c r="M15" s="55" t="s">
        <v>979</v>
      </c>
      <c r="N15" s="1" t="s">
        <v>814</v>
      </c>
      <c r="O15" s="2">
        <v>320</v>
      </c>
      <c r="P15" s="2" t="s">
        <v>982</v>
      </c>
      <c r="Q15" s="2" t="s">
        <v>982</v>
      </c>
      <c r="R15" s="2" t="s">
        <v>982</v>
      </c>
      <c r="S15" s="2" t="s">
        <v>982</v>
      </c>
      <c r="T15" s="2" t="s">
        <v>982</v>
      </c>
      <c r="U15" s="2" t="s">
        <v>982</v>
      </c>
      <c r="V15" s="2" t="s">
        <v>982</v>
      </c>
    </row>
    <row r="16" spans="1:22" x14ac:dyDescent="0.25">
      <c r="A16" s="2">
        <v>4</v>
      </c>
      <c r="B16" s="2" t="s">
        <v>182</v>
      </c>
      <c r="C16" s="2" t="s">
        <v>893</v>
      </c>
      <c r="D16" s="2" t="s">
        <v>825</v>
      </c>
      <c r="E16" s="2" t="s">
        <v>885</v>
      </c>
      <c r="F16" s="2" t="s">
        <v>4</v>
      </c>
      <c r="G16" s="2" t="s">
        <v>6</v>
      </c>
      <c r="H16" s="2" t="s">
        <v>888</v>
      </c>
      <c r="I16" s="2">
        <v>1003</v>
      </c>
      <c r="J16" s="2" t="s">
        <v>713</v>
      </c>
      <c r="K16" s="2" t="s">
        <v>5</v>
      </c>
      <c r="L16" s="53">
        <v>120</v>
      </c>
      <c r="M16" s="55" t="s">
        <v>979</v>
      </c>
      <c r="N16" s="1" t="s">
        <v>814</v>
      </c>
      <c r="O16" s="2">
        <v>320</v>
      </c>
      <c r="P16" s="2" t="s">
        <v>982</v>
      </c>
      <c r="Q16" s="2" t="s">
        <v>982</v>
      </c>
      <c r="R16" s="2" t="s">
        <v>982</v>
      </c>
      <c r="S16" s="2" t="s">
        <v>982</v>
      </c>
      <c r="T16" s="2" t="s">
        <v>982</v>
      </c>
      <c r="U16" s="2" t="s">
        <v>982</v>
      </c>
      <c r="V16" s="2" t="s">
        <v>982</v>
      </c>
    </row>
    <row r="17" spans="1:22" x14ac:dyDescent="0.25">
      <c r="A17" s="2">
        <v>4</v>
      </c>
      <c r="B17" s="2" t="s">
        <v>182</v>
      </c>
      <c r="C17" s="2" t="s">
        <v>893</v>
      </c>
      <c r="D17" s="2" t="s">
        <v>825</v>
      </c>
      <c r="E17" s="2" t="s">
        <v>885</v>
      </c>
      <c r="F17" s="2" t="s">
        <v>4</v>
      </c>
      <c r="G17" s="2" t="s">
        <v>6</v>
      </c>
      <c r="H17" s="2" t="s">
        <v>888</v>
      </c>
      <c r="I17" s="2">
        <v>1003</v>
      </c>
      <c r="J17" s="2" t="s">
        <v>713</v>
      </c>
      <c r="K17" s="2" t="s">
        <v>5</v>
      </c>
      <c r="L17" s="53">
        <v>120</v>
      </c>
      <c r="M17" s="55" t="s">
        <v>979</v>
      </c>
      <c r="N17" s="1" t="s">
        <v>814</v>
      </c>
      <c r="O17" s="2">
        <v>320</v>
      </c>
      <c r="P17" s="2" t="s">
        <v>982</v>
      </c>
      <c r="Q17" s="2" t="s">
        <v>982</v>
      </c>
      <c r="R17" s="2" t="s">
        <v>982</v>
      </c>
      <c r="S17" s="2" t="s">
        <v>982</v>
      </c>
      <c r="T17" s="2" t="s">
        <v>982</v>
      </c>
      <c r="U17" s="2" t="s">
        <v>982</v>
      </c>
      <c r="V17" s="2" t="s">
        <v>982</v>
      </c>
    </row>
    <row r="18" spans="1:22" x14ac:dyDescent="0.25">
      <c r="A18" s="2">
        <v>4</v>
      </c>
      <c r="B18" s="2" t="s">
        <v>182</v>
      </c>
      <c r="C18" s="2" t="s">
        <v>893</v>
      </c>
      <c r="D18" s="2" t="s">
        <v>825</v>
      </c>
      <c r="E18" s="2" t="s">
        <v>885</v>
      </c>
      <c r="F18" s="2" t="s">
        <v>4</v>
      </c>
      <c r="G18" s="2" t="s">
        <v>6</v>
      </c>
      <c r="H18" s="2" t="s">
        <v>888</v>
      </c>
      <c r="I18" s="2">
        <v>1003</v>
      </c>
      <c r="J18" s="2" t="s">
        <v>713</v>
      </c>
      <c r="K18" s="2" t="s">
        <v>5</v>
      </c>
      <c r="L18" s="53">
        <v>120</v>
      </c>
      <c r="M18" s="55" t="s">
        <v>979</v>
      </c>
      <c r="N18" s="1" t="s">
        <v>814</v>
      </c>
      <c r="O18" s="2">
        <v>320</v>
      </c>
      <c r="P18" s="2" t="s">
        <v>982</v>
      </c>
      <c r="Q18" s="2" t="s">
        <v>982</v>
      </c>
      <c r="R18" s="2" t="s">
        <v>982</v>
      </c>
      <c r="S18" s="2" t="s">
        <v>982</v>
      </c>
      <c r="T18" s="2" t="s">
        <v>982</v>
      </c>
      <c r="U18" s="2" t="s">
        <v>982</v>
      </c>
      <c r="V18" s="2" t="s">
        <v>982</v>
      </c>
    </row>
    <row r="19" spans="1:22" x14ac:dyDescent="0.25">
      <c r="A19" s="2">
        <v>4</v>
      </c>
      <c r="B19" s="2" t="s">
        <v>182</v>
      </c>
      <c r="C19" s="2" t="s">
        <v>893</v>
      </c>
      <c r="D19" s="2" t="s">
        <v>825</v>
      </c>
      <c r="E19" s="2" t="s">
        <v>885</v>
      </c>
      <c r="F19" s="2" t="s">
        <v>4</v>
      </c>
      <c r="G19" s="2" t="s">
        <v>6</v>
      </c>
      <c r="H19" s="2" t="s">
        <v>888</v>
      </c>
      <c r="I19" s="2">
        <v>1003</v>
      </c>
      <c r="J19" s="2" t="s">
        <v>713</v>
      </c>
      <c r="K19" s="2" t="s">
        <v>5</v>
      </c>
      <c r="L19" s="53">
        <v>120</v>
      </c>
      <c r="M19" s="55" t="s">
        <v>979</v>
      </c>
      <c r="N19" s="1" t="s">
        <v>814</v>
      </c>
      <c r="O19" s="2">
        <v>320</v>
      </c>
      <c r="P19" s="2" t="s">
        <v>982</v>
      </c>
      <c r="Q19" s="2" t="s">
        <v>982</v>
      </c>
      <c r="R19" s="2" t="s">
        <v>982</v>
      </c>
      <c r="S19" s="2" t="s">
        <v>982</v>
      </c>
      <c r="T19" s="2" t="s">
        <v>982</v>
      </c>
      <c r="U19" s="2" t="s">
        <v>982</v>
      </c>
      <c r="V19" s="2" t="s">
        <v>982</v>
      </c>
    </row>
    <row r="20" spans="1:22" x14ac:dyDescent="0.25">
      <c r="A20" s="2">
        <v>4</v>
      </c>
      <c r="B20" s="2" t="s">
        <v>182</v>
      </c>
      <c r="C20" s="2" t="s">
        <v>893</v>
      </c>
      <c r="D20" s="2" t="s">
        <v>825</v>
      </c>
      <c r="E20" s="2" t="s">
        <v>885</v>
      </c>
      <c r="F20" s="2" t="s">
        <v>4</v>
      </c>
      <c r="G20" s="2" t="s">
        <v>6</v>
      </c>
      <c r="H20" s="2" t="s">
        <v>888</v>
      </c>
      <c r="I20" s="2">
        <v>1003</v>
      </c>
      <c r="J20" s="2" t="s">
        <v>713</v>
      </c>
      <c r="K20" s="2" t="s">
        <v>5</v>
      </c>
      <c r="L20" s="53">
        <v>120</v>
      </c>
      <c r="M20" s="55" t="s">
        <v>979</v>
      </c>
      <c r="N20" s="1" t="s">
        <v>814</v>
      </c>
      <c r="O20" s="2">
        <v>320</v>
      </c>
      <c r="P20" s="2" t="s">
        <v>982</v>
      </c>
      <c r="Q20" s="2" t="s">
        <v>982</v>
      </c>
      <c r="R20" s="2" t="s">
        <v>982</v>
      </c>
      <c r="S20" s="2" t="s">
        <v>982</v>
      </c>
      <c r="T20" s="2" t="s">
        <v>982</v>
      </c>
      <c r="U20" s="2" t="s">
        <v>982</v>
      </c>
      <c r="V20" s="2" t="s">
        <v>982</v>
      </c>
    </row>
    <row r="21" spans="1:22" x14ac:dyDescent="0.25">
      <c r="A21" s="2">
        <v>4</v>
      </c>
      <c r="B21" s="2" t="s">
        <v>182</v>
      </c>
      <c r="C21" s="2" t="s">
        <v>893</v>
      </c>
      <c r="D21" s="2" t="s">
        <v>825</v>
      </c>
      <c r="E21" s="2" t="s">
        <v>885</v>
      </c>
      <c r="F21" s="2" t="s">
        <v>4</v>
      </c>
      <c r="G21" s="2" t="s">
        <v>6</v>
      </c>
      <c r="H21" s="2" t="s">
        <v>888</v>
      </c>
      <c r="I21" s="2">
        <v>1003</v>
      </c>
      <c r="J21" s="2" t="s">
        <v>713</v>
      </c>
      <c r="K21" s="2" t="s">
        <v>5</v>
      </c>
      <c r="L21" s="53">
        <v>120</v>
      </c>
      <c r="M21" s="55" t="s">
        <v>979</v>
      </c>
      <c r="N21" s="1" t="s">
        <v>814</v>
      </c>
      <c r="O21" s="2">
        <v>320</v>
      </c>
      <c r="P21" s="2" t="s">
        <v>982</v>
      </c>
      <c r="Q21" s="2" t="s">
        <v>982</v>
      </c>
      <c r="R21" s="2" t="s">
        <v>982</v>
      </c>
      <c r="S21" s="2" t="s">
        <v>982</v>
      </c>
      <c r="T21" s="2" t="s">
        <v>982</v>
      </c>
      <c r="U21" s="2" t="s">
        <v>982</v>
      </c>
      <c r="V21" s="2" t="s">
        <v>982</v>
      </c>
    </row>
    <row r="22" spans="1:22" x14ac:dyDescent="0.25">
      <c r="A22" s="2">
        <v>4</v>
      </c>
      <c r="B22" s="2" t="s">
        <v>182</v>
      </c>
      <c r="C22" s="2" t="s">
        <v>893</v>
      </c>
      <c r="D22" s="2" t="s">
        <v>825</v>
      </c>
      <c r="E22" s="2" t="s">
        <v>885</v>
      </c>
      <c r="F22" s="2" t="s">
        <v>4</v>
      </c>
      <c r="G22" s="2" t="s">
        <v>6</v>
      </c>
      <c r="H22" s="2" t="s">
        <v>888</v>
      </c>
      <c r="I22" s="2">
        <v>1003</v>
      </c>
      <c r="J22" s="2" t="s">
        <v>713</v>
      </c>
      <c r="K22" s="2" t="s">
        <v>5</v>
      </c>
      <c r="L22" s="53">
        <v>120</v>
      </c>
      <c r="M22" s="55" t="s">
        <v>979</v>
      </c>
      <c r="N22" s="1" t="s">
        <v>814</v>
      </c>
      <c r="O22" s="2">
        <v>320</v>
      </c>
      <c r="P22" s="2" t="s">
        <v>982</v>
      </c>
      <c r="Q22" s="2" t="s">
        <v>982</v>
      </c>
      <c r="R22" s="2" t="s">
        <v>982</v>
      </c>
      <c r="S22" s="2" t="s">
        <v>982</v>
      </c>
      <c r="T22" s="2" t="s">
        <v>982</v>
      </c>
      <c r="U22" s="2" t="s">
        <v>982</v>
      </c>
      <c r="V22" s="2" t="s">
        <v>982</v>
      </c>
    </row>
    <row r="23" spans="1:22" x14ac:dyDescent="0.25">
      <c r="A23" s="2" t="s">
        <v>982</v>
      </c>
      <c r="B23" s="2" t="s">
        <v>982</v>
      </c>
      <c r="C23" s="2" t="s">
        <v>982</v>
      </c>
      <c r="D23" s="2" t="s">
        <v>982</v>
      </c>
      <c r="E23" s="2" t="s">
        <v>982</v>
      </c>
      <c r="F23" s="2" t="s">
        <v>982</v>
      </c>
      <c r="G23" s="2" t="s">
        <v>982</v>
      </c>
      <c r="H23" s="2" t="s">
        <v>982</v>
      </c>
      <c r="I23" s="2" t="s">
        <v>982</v>
      </c>
      <c r="J23" s="2" t="s">
        <v>982</v>
      </c>
      <c r="K23" s="2" t="s">
        <v>982</v>
      </c>
      <c r="L23" s="2" t="s">
        <v>982</v>
      </c>
      <c r="M23" s="2" t="s">
        <v>982</v>
      </c>
      <c r="N23" s="2" t="s">
        <v>982</v>
      </c>
      <c r="O23" s="2" t="s">
        <v>982</v>
      </c>
      <c r="P23" s="2" t="s">
        <v>982</v>
      </c>
      <c r="Q23" s="2" t="s">
        <v>982</v>
      </c>
      <c r="R23" s="2" t="s">
        <v>982</v>
      </c>
      <c r="S23" s="2" t="s">
        <v>982</v>
      </c>
      <c r="T23" s="2" t="s">
        <v>982</v>
      </c>
      <c r="U23" s="2" t="s">
        <v>982</v>
      </c>
      <c r="V23" s="2" t="s">
        <v>982</v>
      </c>
    </row>
    <row r="24" spans="1:22" x14ac:dyDescent="0.25">
      <c r="A24" s="2">
        <v>5</v>
      </c>
      <c r="B24" s="2" t="s">
        <v>182</v>
      </c>
      <c r="C24" s="2" t="s">
        <v>894</v>
      </c>
      <c r="D24" s="2" t="s">
        <v>825</v>
      </c>
      <c r="E24" s="2" t="s">
        <v>885</v>
      </c>
      <c r="F24" s="2" t="s">
        <v>4</v>
      </c>
      <c r="G24" s="2" t="s">
        <v>6</v>
      </c>
      <c r="H24" s="2" t="s">
        <v>888</v>
      </c>
      <c r="I24" s="2">
        <v>1004</v>
      </c>
      <c r="J24" s="2" t="s">
        <v>714</v>
      </c>
      <c r="K24" s="2" t="s">
        <v>7</v>
      </c>
      <c r="L24" s="53">
        <v>100</v>
      </c>
      <c r="M24" s="55" t="s">
        <v>979</v>
      </c>
      <c r="N24" s="1" t="s">
        <v>814</v>
      </c>
      <c r="O24" s="2">
        <v>600</v>
      </c>
      <c r="P24" s="2" t="s">
        <v>982</v>
      </c>
      <c r="Q24" s="2" t="s">
        <v>982</v>
      </c>
      <c r="R24" s="2" t="s">
        <v>982</v>
      </c>
      <c r="S24" s="2" t="s">
        <v>288</v>
      </c>
      <c r="T24" s="2" t="s">
        <v>984</v>
      </c>
      <c r="U24" s="2">
        <v>9900</v>
      </c>
      <c r="V24" s="2" t="s">
        <v>982</v>
      </c>
    </row>
    <row r="25" spans="1:22" x14ac:dyDescent="0.25">
      <c r="A25" s="2">
        <v>5</v>
      </c>
      <c r="B25" s="2" t="s">
        <v>182</v>
      </c>
      <c r="C25" s="2" t="s">
        <v>894</v>
      </c>
      <c r="D25" s="2" t="s">
        <v>825</v>
      </c>
      <c r="E25" s="2" t="s">
        <v>885</v>
      </c>
      <c r="F25" s="2" t="s">
        <v>4</v>
      </c>
      <c r="G25" s="2" t="s">
        <v>6</v>
      </c>
      <c r="H25" s="2" t="s">
        <v>888</v>
      </c>
      <c r="I25" s="2">
        <v>1004</v>
      </c>
      <c r="J25" s="2" t="s">
        <v>714</v>
      </c>
      <c r="K25" s="2" t="s">
        <v>7</v>
      </c>
      <c r="L25" s="53">
        <v>100</v>
      </c>
      <c r="M25" s="55" t="s">
        <v>979</v>
      </c>
      <c r="N25" s="1" t="s">
        <v>814</v>
      </c>
      <c r="O25" s="2">
        <v>600</v>
      </c>
      <c r="P25" s="2" t="s">
        <v>982</v>
      </c>
      <c r="Q25" s="2" t="s">
        <v>982</v>
      </c>
      <c r="R25" s="2" t="s">
        <v>982</v>
      </c>
      <c r="S25" s="2" t="s">
        <v>270</v>
      </c>
      <c r="T25" s="2" t="s">
        <v>984</v>
      </c>
      <c r="U25" s="2">
        <v>9900</v>
      </c>
      <c r="V25" s="2" t="s">
        <v>982</v>
      </c>
    </row>
    <row r="26" spans="1:22" x14ac:dyDescent="0.25">
      <c r="A26" s="2">
        <v>5</v>
      </c>
      <c r="B26" s="2" t="s">
        <v>182</v>
      </c>
      <c r="C26" s="2" t="s">
        <v>894</v>
      </c>
      <c r="D26" s="2" t="s">
        <v>825</v>
      </c>
      <c r="E26" s="2" t="s">
        <v>885</v>
      </c>
      <c r="F26" s="2" t="s">
        <v>4</v>
      </c>
      <c r="G26" s="2" t="s">
        <v>6</v>
      </c>
      <c r="H26" s="2" t="s">
        <v>888</v>
      </c>
      <c r="I26" s="2">
        <v>1004</v>
      </c>
      <c r="J26" s="2" t="s">
        <v>714</v>
      </c>
      <c r="K26" s="2" t="s">
        <v>7</v>
      </c>
      <c r="L26" s="53">
        <v>100</v>
      </c>
      <c r="M26" s="55" t="s">
        <v>979</v>
      </c>
      <c r="N26" s="1" t="s">
        <v>814</v>
      </c>
      <c r="O26" s="2">
        <v>600</v>
      </c>
      <c r="P26" s="2" t="s">
        <v>982</v>
      </c>
      <c r="Q26" s="2" t="s">
        <v>982</v>
      </c>
      <c r="R26" s="2" t="s">
        <v>982</v>
      </c>
      <c r="S26" s="2" t="s">
        <v>282</v>
      </c>
      <c r="T26" s="2" t="s">
        <v>984</v>
      </c>
      <c r="U26" s="2">
        <v>9900</v>
      </c>
      <c r="V26" s="2" t="s">
        <v>982</v>
      </c>
    </row>
    <row r="27" spans="1:22" x14ac:dyDescent="0.25">
      <c r="A27" s="2">
        <v>5</v>
      </c>
      <c r="B27" s="2" t="s">
        <v>182</v>
      </c>
      <c r="C27" s="2" t="s">
        <v>894</v>
      </c>
      <c r="D27" s="2" t="s">
        <v>825</v>
      </c>
      <c r="E27" s="2" t="s">
        <v>885</v>
      </c>
      <c r="F27" s="2" t="s">
        <v>4</v>
      </c>
      <c r="G27" s="2" t="s">
        <v>6</v>
      </c>
      <c r="H27" s="2" t="s">
        <v>888</v>
      </c>
      <c r="I27" s="2">
        <v>1004</v>
      </c>
      <c r="J27" s="2" t="s">
        <v>714</v>
      </c>
      <c r="K27" s="2" t="s">
        <v>7</v>
      </c>
      <c r="L27" s="53">
        <v>100</v>
      </c>
      <c r="M27" s="55" t="s">
        <v>979</v>
      </c>
      <c r="N27" s="1" t="s">
        <v>814</v>
      </c>
      <c r="O27" s="2">
        <v>600</v>
      </c>
      <c r="P27" s="2" t="s">
        <v>982</v>
      </c>
      <c r="Q27" s="2" t="s">
        <v>982</v>
      </c>
      <c r="R27" s="2" t="s">
        <v>982</v>
      </c>
      <c r="S27" s="2" t="s">
        <v>289</v>
      </c>
      <c r="T27" s="2" t="s">
        <v>984</v>
      </c>
      <c r="U27" s="2">
        <v>4950</v>
      </c>
      <c r="V27" s="2" t="s">
        <v>982</v>
      </c>
    </row>
    <row r="28" spans="1:22" x14ac:dyDescent="0.25">
      <c r="A28" s="2">
        <v>5</v>
      </c>
      <c r="B28" s="2" t="s">
        <v>182</v>
      </c>
      <c r="C28" s="2" t="s">
        <v>894</v>
      </c>
      <c r="D28" s="2" t="s">
        <v>825</v>
      </c>
      <c r="E28" s="2" t="s">
        <v>885</v>
      </c>
      <c r="F28" s="2" t="s">
        <v>4</v>
      </c>
      <c r="G28" s="2" t="s">
        <v>6</v>
      </c>
      <c r="H28" s="2" t="s">
        <v>888</v>
      </c>
      <c r="I28" s="2">
        <v>1004</v>
      </c>
      <c r="J28" s="2" t="s">
        <v>714</v>
      </c>
      <c r="K28" s="2" t="s">
        <v>7</v>
      </c>
      <c r="L28" s="53">
        <v>100</v>
      </c>
      <c r="M28" s="55" t="s">
        <v>979</v>
      </c>
      <c r="N28" s="1" t="s">
        <v>814</v>
      </c>
      <c r="O28" s="2">
        <v>600</v>
      </c>
      <c r="P28" s="2" t="s">
        <v>982</v>
      </c>
      <c r="Q28" s="2" t="s">
        <v>982</v>
      </c>
      <c r="R28" s="2" t="s">
        <v>982</v>
      </c>
      <c r="S28" s="2" t="s">
        <v>290</v>
      </c>
      <c r="T28" s="2" t="s">
        <v>984</v>
      </c>
      <c r="U28" s="2">
        <v>3960</v>
      </c>
      <c r="V28" s="2" t="s">
        <v>982</v>
      </c>
    </row>
    <row r="29" spans="1:22" x14ac:dyDescent="0.25">
      <c r="A29" s="2">
        <v>5</v>
      </c>
      <c r="B29" s="2" t="s">
        <v>182</v>
      </c>
      <c r="C29" s="2" t="s">
        <v>894</v>
      </c>
      <c r="D29" s="2" t="s">
        <v>825</v>
      </c>
      <c r="E29" s="2" t="s">
        <v>885</v>
      </c>
      <c r="F29" s="2" t="s">
        <v>4</v>
      </c>
      <c r="G29" s="2" t="s">
        <v>6</v>
      </c>
      <c r="H29" s="2" t="s">
        <v>888</v>
      </c>
      <c r="I29" s="2">
        <v>1004</v>
      </c>
      <c r="J29" s="2" t="s">
        <v>714</v>
      </c>
      <c r="K29" s="2" t="s">
        <v>7</v>
      </c>
      <c r="L29" s="53">
        <v>100</v>
      </c>
      <c r="M29" s="55" t="s">
        <v>979</v>
      </c>
      <c r="N29" s="1" t="s">
        <v>814</v>
      </c>
      <c r="O29" s="2">
        <v>600</v>
      </c>
      <c r="P29" s="2" t="s">
        <v>982</v>
      </c>
      <c r="Q29" s="2" t="s">
        <v>982</v>
      </c>
      <c r="R29" s="2" t="s">
        <v>982</v>
      </c>
      <c r="S29" s="2" t="s">
        <v>272</v>
      </c>
      <c r="T29" s="2" t="s">
        <v>984</v>
      </c>
      <c r="U29" s="2">
        <v>1485</v>
      </c>
      <c r="V29" s="2" t="s">
        <v>982</v>
      </c>
    </row>
    <row r="30" spans="1:22" x14ac:dyDescent="0.25">
      <c r="A30" s="2">
        <v>5</v>
      </c>
      <c r="B30" s="2" t="s">
        <v>182</v>
      </c>
      <c r="C30" s="2" t="s">
        <v>894</v>
      </c>
      <c r="D30" s="2" t="s">
        <v>825</v>
      </c>
      <c r="E30" s="2" t="s">
        <v>885</v>
      </c>
      <c r="F30" s="2" t="s">
        <v>4</v>
      </c>
      <c r="G30" s="2" t="s">
        <v>6</v>
      </c>
      <c r="H30" s="2" t="s">
        <v>888</v>
      </c>
      <c r="I30" s="2">
        <v>1004</v>
      </c>
      <c r="J30" s="2" t="s">
        <v>714</v>
      </c>
      <c r="K30" s="2" t="s">
        <v>7</v>
      </c>
      <c r="L30" s="53">
        <v>100</v>
      </c>
      <c r="M30" s="55" t="s">
        <v>979</v>
      </c>
      <c r="N30" s="1" t="s">
        <v>814</v>
      </c>
      <c r="O30" s="2">
        <v>600</v>
      </c>
      <c r="P30" s="2" t="s">
        <v>982</v>
      </c>
      <c r="Q30" s="2" t="s">
        <v>982</v>
      </c>
      <c r="R30" s="2" t="s">
        <v>982</v>
      </c>
      <c r="S30" s="2" t="s">
        <v>276</v>
      </c>
      <c r="T30" s="2" t="s">
        <v>983</v>
      </c>
      <c r="U30" s="2">
        <v>240</v>
      </c>
      <c r="V30" s="2" t="s">
        <v>982</v>
      </c>
    </row>
    <row r="31" spans="1:22" x14ac:dyDescent="0.25">
      <c r="A31" s="2">
        <v>5</v>
      </c>
      <c r="B31" s="2" t="s">
        <v>182</v>
      </c>
      <c r="C31" s="2" t="s">
        <v>894</v>
      </c>
      <c r="D31" s="2" t="s">
        <v>825</v>
      </c>
      <c r="E31" s="2" t="s">
        <v>885</v>
      </c>
      <c r="F31" s="2" t="s">
        <v>4</v>
      </c>
      <c r="G31" s="2" t="s">
        <v>6</v>
      </c>
      <c r="H31" s="2" t="s">
        <v>888</v>
      </c>
      <c r="I31" s="2">
        <v>1004</v>
      </c>
      <c r="J31" s="2" t="s">
        <v>714</v>
      </c>
      <c r="K31" s="2" t="s">
        <v>7</v>
      </c>
      <c r="L31" s="53">
        <v>100</v>
      </c>
      <c r="M31" s="55" t="s">
        <v>979</v>
      </c>
      <c r="N31" s="1" t="s">
        <v>814</v>
      </c>
      <c r="O31" s="2">
        <v>600</v>
      </c>
      <c r="P31" s="2" t="s">
        <v>982</v>
      </c>
      <c r="Q31" s="2" t="s">
        <v>982</v>
      </c>
      <c r="R31" s="2" t="s">
        <v>982</v>
      </c>
      <c r="S31" s="2" t="s">
        <v>291</v>
      </c>
      <c r="T31" s="2" t="s">
        <v>983</v>
      </c>
      <c r="U31" s="2">
        <v>100</v>
      </c>
      <c r="V31" s="2" t="s">
        <v>982</v>
      </c>
    </row>
    <row r="32" spans="1:22" x14ac:dyDescent="0.25">
      <c r="A32" s="2">
        <v>5</v>
      </c>
      <c r="B32" s="2" t="s">
        <v>182</v>
      </c>
      <c r="C32" s="2" t="s">
        <v>894</v>
      </c>
      <c r="D32" s="2" t="s">
        <v>825</v>
      </c>
      <c r="E32" s="2" t="s">
        <v>885</v>
      </c>
      <c r="F32" s="2" t="s">
        <v>4</v>
      </c>
      <c r="G32" s="2" t="s">
        <v>6</v>
      </c>
      <c r="H32" s="2" t="s">
        <v>888</v>
      </c>
      <c r="I32" s="2">
        <v>1004</v>
      </c>
      <c r="J32" s="2" t="s">
        <v>714</v>
      </c>
      <c r="K32" s="2" t="s">
        <v>7</v>
      </c>
      <c r="L32" s="53">
        <v>100</v>
      </c>
      <c r="M32" s="55" t="s">
        <v>979</v>
      </c>
      <c r="N32" s="1" t="s">
        <v>814</v>
      </c>
      <c r="O32" s="2">
        <v>600</v>
      </c>
      <c r="P32" s="2" t="s">
        <v>982</v>
      </c>
      <c r="Q32" s="2" t="s">
        <v>982</v>
      </c>
      <c r="R32" s="2" t="s">
        <v>982</v>
      </c>
      <c r="S32" s="2" t="s">
        <v>278</v>
      </c>
      <c r="T32" s="2" t="s">
        <v>983</v>
      </c>
      <c r="U32" s="2">
        <v>75</v>
      </c>
      <c r="V32" s="2" t="s">
        <v>982</v>
      </c>
    </row>
    <row r="33" spans="1:22" x14ac:dyDescent="0.25">
      <c r="A33" s="2">
        <v>5</v>
      </c>
      <c r="B33" s="2" t="s">
        <v>182</v>
      </c>
      <c r="C33" s="2" t="s">
        <v>894</v>
      </c>
      <c r="D33" s="2" t="s">
        <v>825</v>
      </c>
      <c r="E33" s="2" t="s">
        <v>885</v>
      </c>
      <c r="F33" s="2" t="s">
        <v>4</v>
      </c>
      <c r="G33" s="2" t="s">
        <v>6</v>
      </c>
      <c r="H33" s="2" t="s">
        <v>888</v>
      </c>
      <c r="I33" s="2">
        <v>1004</v>
      </c>
      <c r="J33" s="2" t="s">
        <v>714</v>
      </c>
      <c r="K33" s="2" t="s">
        <v>7</v>
      </c>
      <c r="L33" s="53">
        <v>100</v>
      </c>
      <c r="M33" s="55" t="s">
        <v>979</v>
      </c>
      <c r="N33" s="1" t="s">
        <v>814</v>
      </c>
      <c r="O33" s="2">
        <v>600</v>
      </c>
      <c r="P33" s="2" t="s">
        <v>982</v>
      </c>
      <c r="Q33" s="2" t="s">
        <v>982</v>
      </c>
      <c r="R33" s="2" t="s">
        <v>982</v>
      </c>
      <c r="S33" s="2" t="s">
        <v>292</v>
      </c>
      <c r="T33" s="2" t="s">
        <v>983</v>
      </c>
      <c r="U33" s="2">
        <v>2180</v>
      </c>
      <c r="V33" s="2" t="s">
        <v>982</v>
      </c>
    </row>
    <row r="34" spans="1:22" x14ac:dyDescent="0.25">
      <c r="A34" s="2">
        <v>5</v>
      </c>
      <c r="B34" s="2" t="s">
        <v>182</v>
      </c>
      <c r="C34" s="2" t="s">
        <v>894</v>
      </c>
      <c r="D34" s="2" t="s">
        <v>825</v>
      </c>
      <c r="E34" s="2" t="s">
        <v>885</v>
      </c>
      <c r="F34" s="2" t="s">
        <v>4</v>
      </c>
      <c r="G34" s="2" t="s">
        <v>6</v>
      </c>
      <c r="H34" s="2" t="s">
        <v>888</v>
      </c>
      <c r="I34" s="2">
        <v>1004</v>
      </c>
      <c r="J34" s="2" t="s">
        <v>714</v>
      </c>
      <c r="K34" s="2" t="s">
        <v>7</v>
      </c>
      <c r="L34" s="53">
        <v>100</v>
      </c>
      <c r="M34" s="55" t="s">
        <v>979</v>
      </c>
      <c r="N34" s="1" t="s">
        <v>814</v>
      </c>
      <c r="O34" s="2">
        <v>600</v>
      </c>
      <c r="P34" s="2" t="s">
        <v>982</v>
      </c>
      <c r="Q34" s="2" t="s">
        <v>982</v>
      </c>
      <c r="R34" s="2" t="s">
        <v>982</v>
      </c>
      <c r="S34" s="2" t="s">
        <v>982</v>
      </c>
      <c r="T34" s="2" t="s">
        <v>982</v>
      </c>
      <c r="U34" s="2" t="s">
        <v>982</v>
      </c>
      <c r="V34" s="2" t="s">
        <v>982</v>
      </c>
    </row>
    <row r="35" spans="1:22" x14ac:dyDescent="0.25">
      <c r="A35" s="2">
        <v>5</v>
      </c>
      <c r="B35" s="2" t="s">
        <v>182</v>
      </c>
      <c r="C35" s="2" t="s">
        <v>894</v>
      </c>
      <c r="D35" s="2" t="s">
        <v>825</v>
      </c>
      <c r="E35" s="2" t="s">
        <v>885</v>
      </c>
      <c r="F35" s="2" t="s">
        <v>4</v>
      </c>
      <c r="G35" s="2" t="s">
        <v>6</v>
      </c>
      <c r="H35" s="2" t="s">
        <v>888</v>
      </c>
      <c r="I35" s="2">
        <v>1004</v>
      </c>
      <c r="J35" s="2" t="s">
        <v>714</v>
      </c>
      <c r="K35" s="2" t="s">
        <v>7</v>
      </c>
      <c r="L35" s="53">
        <v>100</v>
      </c>
      <c r="M35" s="55" t="s">
        <v>979</v>
      </c>
      <c r="N35" s="1" t="s">
        <v>814</v>
      </c>
      <c r="O35" s="2">
        <v>600</v>
      </c>
      <c r="P35" s="2" t="s">
        <v>982</v>
      </c>
      <c r="Q35" s="2" t="s">
        <v>982</v>
      </c>
      <c r="R35" s="2" t="s">
        <v>982</v>
      </c>
      <c r="S35" s="2" t="s">
        <v>982</v>
      </c>
      <c r="T35" s="2" t="s">
        <v>982</v>
      </c>
      <c r="U35" s="2" t="s">
        <v>982</v>
      </c>
      <c r="V35" s="2" t="s">
        <v>982</v>
      </c>
    </row>
    <row r="36" spans="1:22" x14ac:dyDescent="0.25">
      <c r="A36" s="2">
        <v>5</v>
      </c>
      <c r="B36" s="2" t="s">
        <v>182</v>
      </c>
      <c r="C36" s="2" t="s">
        <v>894</v>
      </c>
      <c r="D36" s="2" t="s">
        <v>825</v>
      </c>
      <c r="E36" s="2" t="s">
        <v>885</v>
      </c>
      <c r="F36" s="2" t="s">
        <v>4</v>
      </c>
      <c r="G36" s="2" t="s">
        <v>6</v>
      </c>
      <c r="H36" s="2" t="s">
        <v>888</v>
      </c>
      <c r="I36" s="2">
        <v>1004</v>
      </c>
      <c r="J36" s="2" t="s">
        <v>714</v>
      </c>
      <c r="K36" s="2" t="s">
        <v>7</v>
      </c>
      <c r="L36" s="53">
        <v>100</v>
      </c>
      <c r="M36" s="55" t="s">
        <v>979</v>
      </c>
      <c r="N36" s="1" t="s">
        <v>814</v>
      </c>
      <c r="O36" s="2">
        <v>600</v>
      </c>
      <c r="P36" s="2" t="s">
        <v>982</v>
      </c>
      <c r="Q36" s="2" t="s">
        <v>982</v>
      </c>
      <c r="R36" s="2" t="s">
        <v>982</v>
      </c>
      <c r="S36" s="2" t="s">
        <v>982</v>
      </c>
      <c r="T36" s="2" t="s">
        <v>982</v>
      </c>
      <c r="U36" s="2" t="s">
        <v>982</v>
      </c>
      <c r="V36" s="2" t="s">
        <v>982</v>
      </c>
    </row>
    <row r="37" spans="1:22" x14ac:dyDescent="0.25">
      <c r="A37" s="2">
        <v>5</v>
      </c>
      <c r="B37" s="2" t="s">
        <v>182</v>
      </c>
      <c r="C37" s="2" t="s">
        <v>894</v>
      </c>
      <c r="D37" s="2" t="s">
        <v>825</v>
      </c>
      <c r="E37" s="2" t="s">
        <v>885</v>
      </c>
      <c r="F37" s="2" t="s">
        <v>4</v>
      </c>
      <c r="G37" s="2" t="s">
        <v>6</v>
      </c>
      <c r="H37" s="2" t="s">
        <v>888</v>
      </c>
      <c r="I37" s="2">
        <v>1004</v>
      </c>
      <c r="J37" s="2" t="s">
        <v>714</v>
      </c>
      <c r="K37" s="2" t="s">
        <v>7</v>
      </c>
      <c r="L37" s="53">
        <v>100</v>
      </c>
      <c r="M37" s="55" t="s">
        <v>979</v>
      </c>
      <c r="N37" s="1" t="s">
        <v>814</v>
      </c>
      <c r="O37" s="2">
        <v>600</v>
      </c>
      <c r="P37" s="2" t="s">
        <v>982</v>
      </c>
      <c r="Q37" s="2" t="s">
        <v>982</v>
      </c>
      <c r="R37" s="2" t="s">
        <v>982</v>
      </c>
      <c r="S37" s="2" t="s">
        <v>982</v>
      </c>
      <c r="T37" s="2" t="s">
        <v>982</v>
      </c>
      <c r="U37" s="2" t="s">
        <v>982</v>
      </c>
      <c r="V37" s="2" t="s">
        <v>982</v>
      </c>
    </row>
    <row r="38" spans="1:22" x14ac:dyDescent="0.25">
      <c r="A38" s="2">
        <v>5</v>
      </c>
      <c r="B38" s="2" t="s">
        <v>182</v>
      </c>
      <c r="C38" s="2" t="s">
        <v>894</v>
      </c>
      <c r="D38" s="2" t="s">
        <v>825</v>
      </c>
      <c r="E38" s="2" t="s">
        <v>885</v>
      </c>
      <c r="F38" s="2" t="s">
        <v>4</v>
      </c>
      <c r="G38" s="2" t="s">
        <v>6</v>
      </c>
      <c r="H38" s="2" t="s">
        <v>888</v>
      </c>
      <c r="I38" s="2">
        <v>1004</v>
      </c>
      <c r="J38" s="2" t="s">
        <v>714</v>
      </c>
      <c r="K38" s="2" t="s">
        <v>7</v>
      </c>
      <c r="L38" s="53">
        <v>100</v>
      </c>
      <c r="M38" s="55" t="s">
        <v>979</v>
      </c>
      <c r="N38" s="1" t="s">
        <v>814</v>
      </c>
      <c r="O38" s="2">
        <v>600</v>
      </c>
      <c r="P38" s="2" t="s">
        <v>982</v>
      </c>
      <c r="Q38" s="2" t="s">
        <v>982</v>
      </c>
      <c r="R38" s="2" t="s">
        <v>982</v>
      </c>
      <c r="S38" s="2" t="s">
        <v>982</v>
      </c>
      <c r="T38" s="2" t="s">
        <v>982</v>
      </c>
      <c r="U38" s="2" t="s">
        <v>982</v>
      </c>
      <c r="V38" s="2" t="s">
        <v>982</v>
      </c>
    </row>
    <row r="39" spans="1:22" x14ac:dyDescent="0.25">
      <c r="A39" s="2">
        <v>5</v>
      </c>
      <c r="B39" s="2" t="s">
        <v>182</v>
      </c>
      <c r="C39" s="2" t="s">
        <v>894</v>
      </c>
      <c r="D39" s="2" t="s">
        <v>825</v>
      </c>
      <c r="E39" s="2" t="s">
        <v>885</v>
      </c>
      <c r="F39" s="2" t="s">
        <v>4</v>
      </c>
      <c r="G39" s="2" t="s">
        <v>6</v>
      </c>
      <c r="H39" s="2" t="s">
        <v>888</v>
      </c>
      <c r="I39" s="2">
        <v>1004</v>
      </c>
      <c r="J39" s="2" t="s">
        <v>714</v>
      </c>
      <c r="K39" s="2" t="s">
        <v>7</v>
      </c>
      <c r="L39" s="53">
        <v>100</v>
      </c>
      <c r="M39" s="55" t="s">
        <v>979</v>
      </c>
      <c r="N39" s="1" t="s">
        <v>814</v>
      </c>
      <c r="O39" s="2">
        <v>600</v>
      </c>
      <c r="P39" s="2" t="s">
        <v>982</v>
      </c>
      <c r="Q39" s="2" t="s">
        <v>982</v>
      </c>
      <c r="R39" s="2" t="s">
        <v>982</v>
      </c>
      <c r="S39" s="2" t="s">
        <v>982</v>
      </c>
      <c r="T39" s="2" t="s">
        <v>982</v>
      </c>
      <c r="U39" s="2" t="s">
        <v>982</v>
      </c>
      <c r="V39" s="2" t="s">
        <v>982</v>
      </c>
    </row>
    <row r="40" spans="1:22" x14ac:dyDescent="0.25">
      <c r="A40" s="2">
        <v>5</v>
      </c>
      <c r="B40" s="2" t="s">
        <v>182</v>
      </c>
      <c r="C40" s="2" t="s">
        <v>894</v>
      </c>
      <c r="D40" s="2" t="s">
        <v>825</v>
      </c>
      <c r="E40" s="2" t="s">
        <v>885</v>
      </c>
      <c r="F40" s="2" t="s">
        <v>4</v>
      </c>
      <c r="G40" s="2" t="s">
        <v>6</v>
      </c>
      <c r="H40" s="2" t="s">
        <v>888</v>
      </c>
      <c r="I40" s="2">
        <v>1004</v>
      </c>
      <c r="J40" s="2" t="s">
        <v>714</v>
      </c>
      <c r="K40" s="2" t="s">
        <v>7</v>
      </c>
      <c r="L40" s="53">
        <v>100</v>
      </c>
      <c r="M40" s="55" t="s">
        <v>979</v>
      </c>
      <c r="N40" s="1" t="s">
        <v>814</v>
      </c>
      <c r="O40" s="2">
        <v>600</v>
      </c>
      <c r="P40" s="2" t="s">
        <v>982</v>
      </c>
      <c r="Q40" s="2" t="s">
        <v>982</v>
      </c>
      <c r="R40" s="2" t="s">
        <v>982</v>
      </c>
      <c r="S40" s="2" t="s">
        <v>982</v>
      </c>
      <c r="T40" s="2" t="s">
        <v>982</v>
      </c>
      <c r="U40" s="2" t="s">
        <v>982</v>
      </c>
      <c r="V40" s="2" t="s">
        <v>982</v>
      </c>
    </row>
    <row r="41" spans="1:22" x14ac:dyDescent="0.25">
      <c r="A41" s="2">
        <v>5</v>
      </c>
      <c r="B41" s="2" t="s">
        <v>182</v>
      </c>
      <c r="C41" s="2" t="s">
        <v>894</v>
      </c>
      <c r="D41" s="2" t="s">
        <v>825</v>
      </c>
      <c r="E41" s="2" t="s">
        <v>885</v>
      </c>
      <c r="F41" s="2" t="s">
        <v>4</v>
      </c>
      <c r="G41" s="2" t="s">
        <v>6</v>
      </c>
      <c r="H41" s="2" t="s">
        <v>888</v>
      </c>
      <c r="I41" s="2">
        <v>1004</v>
      </c>
      <c r="J41" s="2" t="s">
        <v>714</v>
      </c>
      <c r="K41" s="2" t="s">
        <v>7</v>
      </c>
      <c r="L41" s="53">
        <v>100</v>
      </c>
      <c r="M41" s="55" t="s">
        <v>979</v>
      </c>
      <c r="N41" s="1" t="s">
        <v>814</v>
      </c>
      <c r="O41" s="2">
        <v>600</v>
      </c>
      <c r="P41" s="2" t="s">
        <v>982</v>
      </c>
      <c r="Q41" s="2" t="s">
        <v>982</v>
      </c>
      <c r="R41" s="2" t="s">
        <v>982</v>
      </c>
      <c r="S41" s="2" t="s">
        <v>982</v>
      </c>
      <c r="T41" s="2" t="s">
        <v>982</v>
      </c>
      <c r="U41" s="2" t="s">
        <v>982</v>
      </c>
      <c r="V41" s="2" t="s">
        <v>982</v>
      </c>
    </row>
    <row r="42" spans="1:22" x14ac:dyDescent="0.25">
      <c r="A42" s="2">
        <v>5</v>
      </c>
      <c r="B42" s="2" t="s">
        <v>182</v>
      </c>
      <c r="C42" s="2" t="s">
        <v>894</v>
      </c>
      <c r="D42" s="2" t="s">
        <v>825</v>
      </c>
      <c r="E42" s="2" t="s">
        <v>885</v>
      </c>
      <c r="F42" s="2" t="s">
        <v>4</v>
      </c>
      <c r="G42" s="2" t="s">
        <v>6</v>
      </c>
      <c r="H42" s="2" t="s">
        <v>888</v>
      </c>
      <c r="I42" s="2">
        <v>1004</v>
      </c>
      <c r="J42" s="2" t="s">
        <v>714</v>
      </c>
      <c r="K42" s="2" t="s">
        <v>7</v>
      </c>
      <c r="L42" s="53">
        <v>100</v>
      </c>
      <c r="M42" s="55" t="s">
        <v>979</v>
      </c>
      <c r="N42" s="1" t="s">
        <v>814</v>
      </c>
      <c r="O42" s="2">
        <v>600</v>
      </c>
      <c r="P42" s="2" t="s">
        <v>982</v>
      </c>
      <c r="Q42" s="2" t="s">
        <v>982</v>
      </c>
      <c r="R42" s="2" t="s">
        <v>982</v>
      </c>
      <c r="S42" s="2" t="s">
        <v>982</v>
      </c>
      <c r="T42" s="2" t="s">
        <v>982</v>
      </c>
      <c r="U42" s="2" t="s">
        <v>982</v>
      </c>
      <c r="V42" s="2" t="s">
        <v>982</v>
      </c>
    </row>
    <row r="43" spans="1:22" x14ac:dyDescent="0.25">
      <c r="A43" s="2">
        <v>5</v>
      </c>
      <c r="B43" s="2" t="s">
        <v>182</v>
      </c>
      <c r="C43" s="2" t="s">
        <v>894</v>
      </c>
      <c r="D43" s="2" t="s">
        <v>825</v>
      </c>
      <c r="E43" s="2" t="s">
        <v>885</v>
      </c>
      <c r="F43" s="2" t="s">
        <v>4</v>
      </c>
      <c r="G43" s="2" t="s">
        <v>6</v>
      </c>
      <c r="H43" s="2" t="s">
        <v>888</v>
      </c>
      <c r="I43" s="2">
        <v>1004</v>
      </c>
      <c r="J43" s="2" t="s">
        <v>714</v>
      </c>
      <c r="K43" s="2" t="s">
        <v>7</v>
      </c>
      <c r="L43" s="53">
        <v>100</v>
      </c>
      <c r="M43" s="55" t="s">
        <v>979</v>
      </c>
      <c r="N43" s="1" t="s">
        <v>814</v>
      </c>
      <c r="O43" s="2">
        <v>600</v>
      </c>
      <c r="P43" s="2" t="s">
        <v>982</v>
      </c>
      <c r="Q43" s="2" t="s">
        <v>982</v>
      </c>
      <c r="R43" s="2" t="s">
        <v>982</v>
      </c>
      <c r="S43" s="2" t="s">
        <v>982</v>
      </c>
      <c r="T43" s="2" t="s">
        <v>982</v>
      </c>
      <c r="U43" s="2" t="s">
        <v>982</v>
      </c>
      <c r="V43" s="2" t="s">
        <v>982</v>
      </c>
    </row>
    <row r="44" spans="1:22" x14ac:dyDescent="0.25">
      <c r="A44" s="2">
        <v>5</v>
      </c>
      <c r="B44" s="2" t="s">
        <v>182</v>
      </c>
      <c r="C44" s="2" t="s">
        <v>894</v>
      </c>
      <c r="D44" s="2" t="s">
        <v>825</v>
      </c>
      <c r="E44" s="2" t="s">
        <v>885</v>
      </c>
      <c r="F44" s="2" t="s">
        <v>4</v>
      </c>
      <c r="G44" s="2" t="s">
        <v>6</v>
      </c>
      <c r="H44" s="2" t="s">
        <v>888</v>
      </c>
      <c r="I44" s="2">
        <v>1004</v>
      </c>
      <c r="J44" s="2" t="s">
        <v>714</v>
      </c>
      <c r="K44" s="2" t="s">
        <v>7</v>
      </c>
      <c r="L44" s="53">
        <v>100</v>
      </c>
      <c r="M44" s="55" t="s">
        <v>979</v>
      </c>
      <c r="N44" s="1" t="s">
        <v>814</v>
      </c>
      <c r="O44" s="2">
        <v>600</v>
      </c>
      <c r="P44" s="2" t="s">
        <v>982</v>
      </c>
      <c r="Q44" s="2" t="s">
        <v>982</v>
      </c>
      <c r="R44" s="2" t="s">
        <v>982</v>
      </c>
      <c r="S44" s="2" t="s">
        <v>982</v>
      </c>
      <c r="T44" s="2" t="s">
        <v>982</v>
      </c>
      <c r="U44" s="2" t="s">
        <v>982</v>
      </c>
      <c r="V44" s="2" t="s">
        <v>982</v>
      </c>
    </row>
    <row r="45" spans="1:22" x14ac:dyDescent="0.25">
      <c r="A45" s="2" t="s">
        <v>982</v>
      </c>
      <c r="B45" s="2" t="s">
        <v>982</v>
      </c>
      <c r="C45" s="2" t="s">
        <v>982</v>
      </c>
      <c r="D45" s="2" t="s">
        <v>982</v>
      </c>
      <c r="E45" s="2" t="s">
        <v>982</v>
      </c>
      <c r="F45" s="2" t="s">
        <v>982</v>
      </c>
      <c r="G45" s="2" t="s">
        <v>982</v>
      </c>
      <c r="H45" s="2" t="s">
        <v>982</v>
      </c>
      <c r="I45" s="2" t="s">
        <v>982</v>
      </c>
      <c r="J45" s="2" t="s">
        <v>982</v>
      </c>
      <c r="K45" s="2" t="s">
        <v>982</v>
      </c>
      <c r="L45" s="2" t="s">
        <v>982</v>
      </c>
      <c r="M45" s="2" t="s">
        <v>982</v>
      </c>
      <c r="N45" s="2" t="s">
        <v>982</v>
      </c>
      <c r="O45" s="2" t="s">
        <v>982</v>
      </c>
      <c r="P45" s="2" t="s">
        <v>982</v>
      </c>
      <c r="Q45" s="2" t="s">
        <v>982</v>
      </c>
      <c r="R45" s="2" t="s">
        <v>982</v>
      </c>
      <c r="S45" s="2" t="s">
        <v>982</v>
      </c>
      <c r="T45" s="2" t="s">
        <v>982</v>
      </c>
      <c r="U45" s="2" t="s">
        <v>982</v>
      </c>
      <c r="V45" s="2" t="s">
        <v>982</v>
      </c>
    </row>
    <row r="46" spans="1:22" x14ac:dyDescent="0.25">
      <c r="A46" s="2">
        <v>6</v>
      </c>
      <c r="B46" s="2" t="s">
        <v>182</v>
      </c>
      <c r="C46" s="2" t="s">
        <v>894</v>
      </c>
      <c r="D46" s="2" t="s">
        <v>836</v>
      </c>
      <c r="E46" s="2" t="s">
        <v>885</v>
      </c>
      <c r="F46" s="2" t="s">
        <v>4</v>
      </c>
      <c r="G46" s="2" t="s">
        <v>6</v>
      </c>
      <c r="H46" s="2" t="s">
        <v>888</v>
      </c>
      <c r="I46" s="2">
        <v>1005</v>
      </c>
      <c r="J46" s="2" t="s">
        <v>715</v>
      </c>
      <c r="K46" s="2" t="s">
        <v>8</v>
      </c>
      <c r="L46" s="53">
        <v>100</v>
      </c>
      <c r="M46" s="55" t="s">
        <v>979</v>
      </c>
      <c r="N46" s="1" t="s">
        <v>814</v>
      </c>
      <c r="O46" s="2">
        <v>600</v>
      </c>
      <c r="P46" s="2" t="s">
        <v>982</v>
      </c>
      <c r="Q46" s="2" t="s">
        <v>982</v>
      </c>
      <c r="R46" s="2" t="s">
        <v>982</v>
      </c>
      <c r="S46" s="2" t="s">
        <v>288</v>
      </c>
      <c r="T46" s="2" t="s">
        <v>984</v>
      </c>
      <c r="U46" s="2">
        <v>9900</v>
      </c>
      <c r="V46" s="2" t="s">
        <v>982</v>
      </c>
    </row>
    <row r="47" spans="1:22" x14ac:dyDescent="0.25">
      <c r="A47" s="2">
        <v>6</v>
      </c>
      <c r="B47" s="2" t="s">
        <v>182</v>
      </c>
      <c r="C47" s="2" t="s">
        <v>894</v>
      </c>
      <c r="D47" s="2" t="s">
        <v>836</v>
      </c>
      <c r="E47" s="2" t="s">
        <v>885</v>
      </c>
      <c r="F47" s="2" t="s">
        <v>4</v>
      </c>
      <c r="G47" s="2" t="s">
        <v>6</v>
      </c>
      <c r="H47" s="2" t="s">
        <v>888</v>
      </c>
      <c r="I47" s="2">
        <v>1005</v>
      </c>
      <c r="J47" s="2" t="s">
        <v>715</v>
      </c>
      <c r="K47" s="2" t="s">
        <v>8</v>
      </c>
      <c r="L47" s="53">
        <v>100</v>
      </c>
      <c r="M47" s="55" t="s">
        <v>979</v>
      </c>
      <c r="N47" s="1" t="s">
        <v>814</v>
      </c>
      <c r="O47" s="2">
        <v>600</v>
      </c>
      <c r="P47" s="2" t="s">
        <v>982</v>
      </c>
      <c r="Q47" s="2" t="s">
        <v>982</v>
      </c>
      <c r="R47" s="2" t="s">
        <v>982</v>
      </c>
      <c r="S47" s="2" t="s">
        <v>270</v>
      </c>
      <c r="T47" s="2" t="s">
        <v>984</v>
      </c>
      <c r="U47" s="2">
        <v>9900</v>
      </c>
      <c r="V47" s="2" t="s">
        <v>982</v>
      </c>
    </row>
    <row r="48" spans="1:22" x14ac:dyDescent="0.25">
      <c r="A48" s="2">
        <v>6</v>
      </c>
      <c r="B48" s="2" t="s">
        <v>182</v>
      </c>
      <c r="C48" s="2" t="s">
        <v>894</v>
      </c>
      <c r="D48" s="2" t="s">
        <v>836</v>
      </c>
      <c r="E48" s="2" t="s">
        <v>885</v>
      </c>
      <c r="F48" s="2" t="s">
        <v>4</v>
      </c>
      <c r="G48" s="2" t="s">
        <v>6</v>
      </c>
      <c r="H48" s="2" t="s">
        <v>888</v>
      </c>
      <c r="I48" s="2">
        <v>1005</v>
      </c>
      <c r="J48" s="2" t="s">
        <v>715</v>
      </c>
      <c r="K48" s="2" t="s">
        <v>8</v>
      </c>
      <c r="L48" s="53">
        <v>100</v>
      </c>
      <c r="M48" s="55" t="s">
        <v>979</v>
      </c>
      <c r="N48" s="1" t="s">
        <v>814</v>
      </c>
      <c r="O48" s="2">
        <v>600</v>
      </c>
      <c r="P48" s="2" t="s">
        <v>982</v>
      </c>
      <c r="Q48" s="2" t="s">
        <v>982</v>
      </c>
      <c r="R48" s="2" t="s">
        <v>982</v>
      </c>
      <c r="S48" s="2" t="s">
        <v>282</v>
      </c>
      <c r="T48" s="2" t="s">
        <v>984</v>
      </c>
      <c r="U48" s="2">
        <v>9900</v>
      </c>
      <c r="V48" s="2" t="s">
        <v>982</v>
      </c>
    </row>
    <row r="49" spans="1:22" x14ac:dyDescent="0.25">
      <c r="A49" s="2">
        <v>6</v>
      </c>
      <c r="B49" s="2" t="s">
        <v>182</v>
      </c>
      <c r="C49" s="2" t="s">
        <v>894</v>
      </c>
      <c r="D49" s="2" t="s">
        <v>836</v>
      </c>
      <c r="E49" s="2" t="s">
        <v>885</v>
      </c>
      <c r="F49" s="2" t="s">
        <v>4</v>
      </c>
      <c r="G49" s="2" t="s">
        <v>6</v>
      </c>
      <c r="H49" s="2" t="s">
        <v>888</v>
      </c>
      <c r="I49" s="2">
        <v>1005</v>
      </c>
      <c r="J49" s="2" t="s">
        <v>715</v>
      </c>
      <c r="K49" s="2" t="s">
        <v>8</v>
      </c>
      <c r="L49" s="53">
        <v>100</v>
      </c>
      <c r="M49" s="55" t="s">
        <v>979</v>
      </c>
      <c r="N49" s="1" t="s">
        <v>814</v>
      </c>
      <c r="O49" s="2">
        <v>600</v>
      </c>
      <c r="P49" s="2" t="s">
        <v>982</v>
      </c>
      <c r="Q49" s="2" t="s">
        <v>982</v>
      </c>
      <c r="R49" s="2" t="s">
        <v>982</v>
      </c>
      <c r="S49" s="2" t="s">
        <v>289</v>
      </c>
      <c r="T49" s="2" t="s">
        <v>984</v>
      </c>
      <c r="U49" s="2">
        <v>4950</v>
      </c>
      <c r="V49" s="2" t="s">
        <v>982</v>
      </c>
    </row>
    <row r="50" spans="1:22" x14ac:dyDescent="0.25">
      <c r="A50" s="2">
        <v>6</v>
      </c>
      <c r="B50" s="2" t="s">
        <v>182</v>
      </c>
      <c r="C50" s="2" t="s">
        <v>894</v>
      </c>
      <c r="D50" s="2" t="s">
        <v>836</v>
      </c>
      <c r="E50" s="2" t="s">
        <v>885</v>
      </c>
      <c r="F50" s="2" t="s">
        <v>4</v>
      </c>
      <c r="G50" s="2" t="s">
        <v>6</v>
      </c>
      <c r="H50" s="2" t="s">
        <v>888</v>
      </c>
      <c r="I50" s="2">
        <v>1005</v>
      </c>
      <c r="J50" s="2" t="s">
        <v>715</v>
      </c>
      <c r="K50" s="2" t="s">
        <v>8</v>
      </c>
      <c r="L50" s="53">
        <v>100</v>
      </c>
      <c r="M50" s="55" t="s">
        <v>979</v>
      </c>
      <c r="N50" s="1" t="s">
        <v>814</v>
      </c>
      <c r="O50" s="2">
        <v>600</v>
      </c>
      <c r="P50" s="2" t="s">
        <v>982</v>
      </c>
      <c r="Q50" s="2" t="s">
        <v>982</v>
      </c>
      <c r="R50" s="2" t="s">
        <v>982</v>
      </c>
      <c r="S50" s="2" t="s">
        <v>290</v>
      </c>
      <c r="T50" s="2" t="s">
        <v>984</v>
      </c>
      <c r="U50" s="2">
        <v>3960</v>
      </c>
      <c r="V50" s="2" t="s">
        <v>982</v>
      </c>
    </row>
    <row r="51" spans="1:22" x14ac:dyDescent="0.25">
      <c r="A51" s="2">
        <v>6</v>
      </c>
      <c r="B51" s="2" t="s">
        <v>182</v>
      </c>
      <c r="C51" s="2" t="s">
        <v>894</v>
      </c>
      <c r="D51" s="2" t="s">
        <v>836</v>
      </c>
      <c r="E51" s="2" t="s">
        <v>885</v>
      </c>
      <c r="F51" s="2" t="s">
        <v>4</v>
      </c>
      <c r="G51" s="2" t="s">
        <v>6</v>
      </c>
      <c r="H51" s="2" t="s">
        <v>888</v>
      </c>
      <c r="I51" s="2">
        <v>1005</v>
      </c>
      <c r="J51" s="2" t="s">
        <v>715</v>
      </c>
      <c r="K51" s="2" t="s">
        <v>8</v>
      </c>
      <c r="L51" s="53">
        <v>100</v>
      </c>
      <c r="M51" s="55" t="s">
        <v>979</v>
      </c>
      <c r="N51" s="1" t="s">
        <v>814</v>
      </c>
      <c r="O51" s="2">
        <v>600</v>
      </c>
      <c r="P51" s="2" t="s">
        <v>982</v>
      </c>
      <c r="Q51" s="2" t="s">
        <v>982</v>
      </c>
      <c r="R51" s="2" t="s">
        <v>982</v>
      </c>
      <c r="S51" s="2" t="s">
        <v>272</v>
      </c>
      <c r="T51" s="2" t="s">
        <v>984</v>
      </c>
      <c r="U51" s="2">
        <v>1485</v>
      </c>
      <c r="V51" s="2" t="s">
        <v>982</v>
      </c>
    </row>
    <row r="52" spans="1:22" x14ac:dyDescent="0.25">
      <c r="A52" s="2">
        <v>6</v>
      </c>
      <c r="B52" s="2" t="s">
        <v>182</v>
      </c>
      <c r="C52" s="2" t="s">
        <v>894</v>
      </c>
      <c r="D52" s="2" t="s">
        <v>836</v>
      </c>
      <c r="E52" s="2" t="s">
        <v>885</v>
      </c>
      <c r="F52" s="2" t="s">
        <v>4</v>
      </c>
      <c r="G52" s="2" t="s">
        <v>6</v>
      </c>
      <c r="H52" s="2" t="s">
        <v>888</v>
      </c>
      <c r="I52" s="2">
        <v>1005</v>
      </c>
      <c r="J52" s="2" t="s">
        <v>715</v>
      </c>
      <c r="K52" s="2" t="s">
        <v>8</v>
      </c>
      <c r="L52" s="53">
        <v>100</v>
      </c>
      <c r="M52" s="55" t="s">
        <v>979</v>
      </c>
      <c r="N52" s="1" t="s">
        <v>814</v>
      </c>
      <c r="O52" s="2">
        <v>600</v>
      </c>
      <c r="P52" s="2" t="s">
        <v>982</v>
      </c>
      <c r="Q52" s="2" t="s">
        <v>982</v>
      </c>
      <c r="R52" s="2" t="s">
        <v>982</v>
      </c>
      <c r="S52" s="2" t="s">
        <v>276</v>
      </c>
      <c r="T52" s="2" t="s">
        <v>983</v>
      </c>
      <c r="U52" s="2">
        <v>240</v>
      </c>
      <c r="V52" s="2" t="s">
        <v>982</v>
      </c>
    </row>
    <row r="53" spans="1:22" x14ac:dyDescent="0.25">
      <c r="A53" s="2">
        <v>6</v>
      </c>
      <c r="B53" s="2" t="s">
        <v>182</v>
      </c>
      <c r="C53" s="2" t="s">
        <v>894</v>
      </c>
      <c r="D53" s="2" t="s">
        <v>836</v>
      </c>
      <c r="E53" s="2" t="s">
        <v>885</v>
      </c>
      <c r="F53" s="2" t="s">
        <v>4</v>
      </c>
      <c r="G53" s="2" t="s">
        <v>6</v>
      </c>
      <c r="H53" s="2" t="s">
        <v>888</v>
      </c>
      <c r="I53" s="2">
        <v>1005</v>
      </c>
      <c r="J53" s="2" t="s">
        <v>715</v>
      </c>
      <c r="K53" s="2" t="s">
        <v>8</v>
      </c>
      <c r="L53" s="53">
        <v>100</v>
      </c>
      <c r="M53" s="55" t="s">
        <v>979</v>
      </c>
      <c r="N53" s="1" t="s">
        <v>814</v>
      </c>
      <c r="O53" s="2">
        <v>600</v>
      </c>
      <c r="P53" s="2" t="s">
        <v>982</v>
      </c>
      <c r="Q53" s="2" t="s">
        <v>982</v>
      </c>
      <c r="R53" s="2" t="s">
        <v>982</v>
      </c>
      <c r="S53" s="2" t="s">
        <v>291</v>
      </c>
      <c r="T53" s="2" t="s">
        <v>983</v>
      </c>
      <c r="U53" s="2">
        <v>100</v>
      </c>
      <c r="V53" s="2" t="s">
        <v>982</v>
      </c>
    </row>
    <row r="54" spans="1:22" x14ac:dyDescent="0.25">
      <c r="A54" s="2">
        <v>6</v>
      </c>
      <c r="B54" s="2" t="s">
        <v>182</v>
      </c>
      <c r="C54" s="2" t="s">
        <v>894</v>
      </c>
      <c r="D54" s="2" t="s">
        <v>836</v>
      </c>
      <c r="E54" s="2" t="s">
        <v>885</v>
      </c>
      <c r="F54" s="2" t="s">
        <v>4</v>
      </c>
      <c r="G54" s="2" t="s">
        <v>6</v>
      </c>
      <c r="H54" s="2" t="s">
        <v>888</v>
      </c>
      <c r="I54" s="2">
        <v>1005</v>
      </c>
      <c r="J54" s="2" t="s">
        <v>715</v>
      </c>
      <c r="K54" s="2" t="s">
        <v>8</v>
      </c>
      <c r="L54" s="53">
        <v>100</v>
      </c>
      <c r="M54" s="55" t="s">
        <v>979</v>
      </c>
      <c r="N54" s="1" t="s">
        <v>814</v>
      </c>
      <c r="O54" s="2">
        <v>600</v>
      </c>
      <c r="P54" s="2" t="s">
        <v>982</v>
      </c>
      <c r="Q54" s="2" t="s">
        <v>982</v>
      </c>
      <c r="R54" s="2" t="s">
        <v>982</v>
      </c>
      <c r="S54" s="2" t="s">
        <v>278</v>
      </c>
      <c r="T54" s="2" t="s">
        <v>983</v>
      </c>
      <c r="U54" s="2">
        <v>75</v>
      </c>
      <c r="V54" s="2" t="s">
        <v>982</v>
      </c>
    </row>
    <row r="55" spans="1:22" x14ac:dyDescent="0.25">
      <c r="A55" s="2">
        <v>6</v>
      </c>
      <c r="B55" s="2" t="s">
        <v>182</v>
      </c>
      <c r="C55" s="2" t="s">
        <v>894</v>
      </c>
      <c r="D55" s="2" t="s">
        <v>836</v>
      </c>
      <c r="E55" s="2" t="s">
        <v>885</v>
      </c>
      <c r="F55" s="2" t="s">
        <v>4</v>
      </c>
      <c r="G55" s="2" t="s">
        <v>6</v>
      </c>
      <c r="H55" s="2" t="s">
        <v>888</v>
      </c>
      <c r="I55" s="2">
        <v>1005</v>
      </c>
      <c r="J55" s="2" t="s">
        <v>715</v>
      </c>
      <c r="K55" s="2" t="s">
        <v>8</v>
      </c>
      <c r="L55" s="53">
        <v>100</v>
      </c>
      <c r="M55" s="55" t="s">
        <v>979</v>
      </c>
      <c r="N55" s="1" t="s">
        <v>814</v>
      </c>
      <c r="O55" s="2">
        <v>600</v>
      </c>
      <c r="P55" s="2" t="s">
        <v>982</v>
      </c>
      <c r="Q55" s="2" t="s">
        <v>982</v>
      </c>
      <c r="R55" s="2" t="s">
        <v>982</v>
      </c>
      <c r="S55" s="2" t="s">
        <v>292</v>
      </c>
      <c r="T55" s="2" t="s">
        <v>983</v>
      </c>
      <c r="U55" s="2">
        <v>2180</v>
      </c>
      <c r="V55" s="2" t="s">
        <v>982</v>
      </c>
    </row>
    <row r="56" spans="1:22" x14ac:dyDescent="0.25">
      <c r="A56" s="2">
        <v>6</v>
      </c>
      <c r="B56" s="2" t="s">
        <v>182</v>
      </c>
      <c r="C56" s="2" t="s">
        <v>894</v>
      </c>
      <c r="D56" s="2" t="s">
        <v>836</v>
      </c>
      <c r="E56" s="2" t="s">
        <v>885</v>
      </c>
      <c r="F56" s="2" t="s">
        <v>4</v>
      </c>
      <c r="G56" s="2" t="s">
        <v>6</v>
      </c>
      <c r="H56" s="2" t="s">
        <v>888</v>
      </c>
      <c r="I56" s="2">
        <v>1005</v>
      </c>
      <c r="J56" s="2" t="s">
        <v>715</v>
      </c>
      <c r="K56" s="2" t="s">
        <v>8</v>
      </c>
      <c r="L56" s="53">
        <v>100</v>
      </c>
      <c r="M56" s="55" t="s">
        <v>979</v>
      </c>
      <c r="N56" s="1" t="s">
        <v>814</v>
      </c>
      <c r="O56" s="2">
        <v>600</v>
      </c>
      <c r="P56" s="2" t="s">
        <v>982</v>
      </c>
      <c r="Q56" s="2" t="s">
        <v>982</v>
      </c>
      <c r="R56" s="2" t="s">
        <v>982</v>
      </c>
      <c r="S56" s="2" t="s">
        <v>982</v>
      </c>
      <c r="T56" s="2" t="s">
        <v>982</v>
      </c>
      <c r="U56" s="2" t="s">
        <v>982</v>
      </c>
      <c r="V56" s="2" t="s">
        <v>982</v>
      </c>
    </row>
    <row r="57" spans="1:22" x14ac:dyDescent="0.25">
      <c r="A57" s="2">
        <v>6</v>
      </c>
      <c r="B57" s="2" t="s">
        <v>182</v>
      </c>
      <c r="C57" s="2" t="s">
        <v>894</v>
      </c>
      <c r="D57" s="2" t="s">
        <v>836</v>
      </c>
      <c r="E57" s="2" t="s">
        <v>885</v>
      </c>
      <c r="F57" s="2" t="s">
        <v>4</v>
      </c>
      <c r="G57" s="2" t="s">
        <v>6</v>
      </c>
      <c r="H57" s="2" t="s">
        <v>888</v>
      </c>
      <c r="I57" s="2">
        <v>1005</v>
      </c>
      <c r="J57" s="2" t="s">
        <v>715</v>
      </c>
      <c r="K57" s="2" t="s">
        <v>8</v>
      </c>
      <c r="L57" s="53">
        <v>100</v>
      </c>
      <c r="M57" s="55" t="s">
        <v>979</v>
      </c>
      <c r="N57" s="1" t="s">
        <v>814</v>
      </c>
      <c r="O57" s="2">
        <v>600</v>
      </c>
      <c r="P57" s="2" t="s">
        <v>982</v>
      </c>
      <c r="Q57" s="2" t="s">
        <v>982</v>
      </c>
      <c r="R57" s="2" t="s">
        <v>982</v>
      </c>
      <c r="S57" s="2" t="s">
        <v>982</v>
      </c>
      <c r="T57" s="2" t="s">
        <v>982</v>
      </c>
      <c r="U57" s="2" t="s">
        <v>982</v>
      </c>
      <c r="V57" s="2" t="s">
        <v>982</v>
      </c>
    </row>
    <row r="58" spans="1:22" x14ac:dyDescent="0.25">
      <c r="A58" s="2">
        <v>6</v>
      </c>
      <c r="B58" s="2" t="s">
        <v>182</v>
      </c>
      <c r="C58" s="2" t="s">
        <v>894</v>
      </c>
      <c r="D58" s="2" t="s">
        <v>836</v>
      </c>
      <c r="E58" s="2" t="s">
        <v>885</v>
      </c>
      <c r="F58" s="2" t="s">
        <v>4</v>
      </c>
      <c r="G58" s="2" t="s">
        <v>6</v>
      </c>
      <c r="H58" s="2" t="s">
        <v>888</v>
      </c>
      <c r="I58" s="2">
        <v>1005</v>
      </c>
      <c r="J58" s="2" t="s">
        <v>715</v>
      </c>
      <c r="K58" s="2" t="s">
        <v>8</v>
      </c>
      <c r="L58" s="53">
        <v>100</v>
      </c>
      <c r="M58" s="55" t="s">
        <v>979</v>
      </c>
      <c r="N58" s="1" t="s">
        <v>814</v>
      </c>
      <c r="O58" s="2">
        <v>600</v>
      </c>
      <c r="P58" s="2" t="s">
        <v>982</v>
      </c>
      <c r="Q58" s="2" t="s">
        <v>982</v>
      </c>
      <c r="R58" s="2" t="s">
        <v>982</v>
      </c>
      <c r="S58" s="2" t="s">
        <v>982</v>
      </c>
      <c r="T58" s="2" t="s">
        <v>982</v>
      </c>
      <c r="U58" s="2" t="s">
        <v>982</v>
      </c>
      <c r="V58" s="2" t="s">
        <v>982</v>
      </c>
    </row>
    <row r="59" spans="1:22" x14ac:dyDescent="0.25">
      <c r="A59" s="2">
        <v>6</v>
      </c>
      <c r="B59" s="2" t="s">
        <v>182</v>
      </c>
      <c r="C59" s="2" t="s">
        <v>894</v>
      </c>
      <c r="D59" s="2" t="s">
        <v>836</v>
      </c>
      <c r="E59" s="2" t="s">
        <v>885</v>
      </c>
      <c r="F59" s="2" t="s">
        <v>4</v>
      </c>
      <c r="G59" s="2" t="s">
        <v>6</v>
      </c>
      <c r="H59" s="2" t="s">
        <v>888</v>
      </c>
      <c r="I59" s="2">
        <v>1005</v>
      </c>
      <c r="J59" s="2" t="s">
        <v>715</v>
      </c>
      <c r="K59" s="2" t="s">
        <v>8</v>
      </c>
      <c r="L59" s="53">
        <v>100</v>
      </c>
      <c r="M59" s="55" t="s">
        <v>979</v>
      </c>
      <c r="N59" s="1" t="s">
        <v>814</v>
      </c>
      <c r="O59" s="2">
        <v>600</v>
      </c>
      <c r="P59" s="2" t="s">
        <v>982</v>
      </c>
      <c r="Q59" s="2" t="s">
        <v>982</v>
      </c>
      <c r="R59" s="2" t="s">
        <v>982</v>
      </c>
      <c r="S59" s="2" t="s">
        <v>982</v>
      </c>
      <c r="T59" s="2" t="s">
        <v>982</v>
      </c>
      <c r="U59" s="2" t="s">
        <v>982</v>
      </c>
      <c r="V59" s="2" t="s">
        <v>982</v>
      </c>
    </row>
    <row r="60" spans="1:22" x14ac:dyDescent="0.25">
      <c r="A60" s="2">
        <v>6</v>
      </c>
      <c r="B60" s="2" t="s">
        <v>182</v>
      </c>
      <c r="C60" s="2" t="s">
        <v>894</v>
      </c>
      <c r="D60" s="2" t="s">
        <v>836</v>
      </c>
      <c r="E60" s="2" t="s">
        <v>885</v>
      </c>
      <c r="F60" s="2" t="s">
        <v>4</v>
      </c>
      <c r="G60" s="2" t="s">
        <v>6</v>
      </c>
      <c r="H60" s="2" t="s">
        <v>888</v>
      </c>
      <c r="I60" s="2">
        <v>1005</v>
      </c>
      <c r="J60" s="2" t="s">
        <v>715</v>
      </c>
      <c r="K60" s="2" t="s">
        <v>8</v>
      </c>
      <c r="L60" s="53">
        <v>100</v>
      </c>
      <c r="M60" s="55" t="s">
        <v>979</v>
      </c>
      <c r="N60" s="1" t="s">
        <v>814</v>
      </c>
      <c r="O60" s="2">
        <v>600</v>
      </c>
      <c r="P60" s="2" t="s">
        <v>982</v>
      </c>
      <c r="Q60" s="2" t="s">
        <v>982</v>
      </c>
      <c r="R60" s="2" t="s">
        <v>982</v>
      </c>
      <c r="S60" s="2" t="s">
        <v>982</v>
      </c>
      <c r="T60" s="2" t="s">
        <v>982</v>
      </c>
      <c r="U60" s="2" t="s">
        <v>982</v>
      </c>
      <c r="V60" s="2" t="s">
        <v>982</v>
      </c>
    </row>
    <row r="61" spans="1:22" x14ac:dyDescent="0.25">
      <c r="A61" s="2">
        <v>6</v>
      </c>
      <c r="B61" s="2" t="s">
        <v>182</v>
      </c>
      <c r="C61" s="2" t="s">
        <v>894</v>
      </c>
      <c r="D61" s="2" t="s">
        <v>836</v>
      </c>
      <c r="E61" s="2" t="s">
        <v>885</v>
      </c>
      <c r="F61" s="2" t="s">
        <v>4</v>
      </c>
      <c r="G61" s="2" t="s">
        <v>6</v>
      </c>
      <c r="H61" s="2" t="s">
        <v>888</v>
      </c>
      <c r="I61" s="2">
        <v>1005</v>
      </c>
      <c r="J61" s="2" t="s">
        <v>715</v>
      </c>
      <c r="K61" s="2" t="s">
        <v>8</v>
      </c>
      <c r="L61" s="53">
        <v>100</v>
      </c>
      <c r="M61" s="55" t="s">
        <v>979</v>
      </c>
      <c r="N61" s="1" t="s">
        <v>814</v>
      </c>
      <c r="O61" s="2">
        <v>600</v>
      </c>
      <c r="P61" s="2" t="s">
        <v>982</v>
      </c>
      <c r="Q61" s="2" t="s">
        <v>982</v>
      </c>
      <c r="R61" s="2" t="s">
        <v>982</v>
      </c>
      <c r="S61" s="2" t="s">
        <v>982</v>
      </c>
      <c r="T61" s="2" t="s">
        <v>982</v>
      </c>
      <c r="U61" s="2" t="s">
        <v>982</v>
      </c>
      <c r="V61" s="2" t="s">
        <v>982</v>
      </c>
    </row>
    <row r="62" spans="1:22" x14ac:dyDescent="0.25">
      <c r="A62" s="2">
        <v>6</v>
      </c>
      <c r="B62" s="2" t="s">
        <v>182</v>
      </c>
      <c r="C62" s="2" t="s">
        <v>894</v>
      </c>
      <c r="D62" s="2" t="s">
        <v>836</v>
      </c>
      <c r="E62" s="2" t="s">
        <v>885</v>
      </c>
      <c r="F62" s="2" t="s">
        <v>4</v>
      </c>
      <c r="G62" s="2" t="s">
        <v>6</v>
      </c>
      <c r="H62" s="2" t="s">
        <v>888</v>
      </c>
      <c r="I62" s="2">
        <v>1005</v>
      </c>
      <c r="J62" s="2" t="s">
        <v>715</v>
      </c>
      <c r="K62" s="2" t="s">
        <v>8</v>
      </c>
      <c r="L62" s="53">
        <v>100</v>
      </c>
      <c r="M62" s="55" t="s">
        <v>979</v>
      </c>
      <c r="N62" s="1" t="s">
        <v>814</v>
      </c>
      <c r="O62" s="2">
        <v>600</v>
      </c>
      <c r="P62" s="2" t="s">
        <v>982</v>
      </c>
      <c r="Q62" s="2" t="s">
        <v>982</v>
      </c>
      <c r="R62" s="2" t="s">
        <v>982</v>
      </c>
      <c r="S62" s="2" t="s">
        <v>982</v>
      </c>
      <c r="T62" s="2" t="s">
        <v>982</v>
      </c>
      <c r="U62" s="2" t="s">
        <v>982</v>
      </c>
      <c r="V62" s="2" t="s">
        <v>982</v>
      </c>
    </row>
    <row r="63" spans="1:22" x14ac:dyDescent="0.25">
      <c r="A63" s="2">
        <v>6</v>
      </c>
      <c r="B63" s="2" t="s">
        <v>182</v>
      </c>
      <c r="C63" s="2" t="s">
        <v>894</v>
      </c>
      <c r="D63" s="2" t="s">
        <v>836</v>
      </c>
      <c r="E63" s="2" t="s">
        <v>885</v>
      </c>
      <c r="F63" s="2" t="s">
        <v>4</v>
      </c>
      <c r="G63" s="2" t="s">
        <v>6</v>
      </c>
      <c r="H63" s="2" t="s">
        <v>888</v>
      </c>
      <c r="I63" s="2">
        <v>1005</v>
      </c>
      <c r="J63" s="2" t="s">
        <v>715</v>
      </c>
      <c r="K63" s="2" t="s">
        <v>8</v>
      </c>
      <c r="L63" s="53">
        <v>100</v>
      </c>
      <c r="M63" s="55" t="s">
        <v>979</v>
      </c>
      <c r="N63" s="1" t="s">
        <v>814</v>
      </c>
      <c r="O63" s="2">
        <v>600</v>
      </c>
      <c r="P63" s="2" t="s">
        <v>982</v>
      </c>
      <c r="Q63" s="2" t="s">
        <v>982</v>
      </c>
      <c r="R63" s="2" t="s">
        <v>982</v>
      </c>
      <c r="S63" s="2" t="s">
        <v>982</v>
      </c>
      <c r="T63" s="2" t="s">
        <v>982</v>
      </c>
      <c r="U63" s="2" t="s">
        <v>982</v>
      </c>
      <c r="V63" s="2" t="s">
        <v>982</v>
      </c>
    </row>
    <row r="64" spans="1:22" x14ac:dyDescent="0.25">
      <c r="A64" s="2">
        <v>6</v>
      </c>
      <c r="B64" s="2" t="s">
        <v>182</v>
      </c>
      <c r="C64" s="2" t="s">
        <v>894</v>
      </c>
      <c r="D64" s="2" t="s">
        <v>836</v>
      </c>
      <c r="E64" s="2" t="s">
        <v>885</v>
      </c>
      <c r="F64" s="2" t="s">
        <v>4</v>
      </c>
      <c r="G64" s="2" t="s">
        <v>6</v>
      </c>
      <c r="H64" s="2" t="s">
        <v>888</v>
      </c>
      <c r="I64" s="2">
        <v>1005</v>
      </c>
      <c r="J64" s="2" t="s">
        <v>715</v>
      </c>
      <c r="K64" s="2" t="s">
        <v>8</v>
      </c>
      <c r="L64" s="53">
        <v>100</v>
      </c>
      <c r="M64" s="55" t="s">
        <v>979</v>
      </c>
      <c r="N64" s="1" t="s">
        <v>814</v>
      </c>
      <c r="O64" s="2">
        <v>600</v>
      </c>
      <c r="P64" s="2" t="s">
        <v>982</v>
      </c>
      <c r="Q64" s="2" t="s">
        <v>982</v>
      </c>
      <c r="R64" s="2" t="s">
        <v>982</v>
      </c>
      <c r="S64" s="2" t="s">
        <v>982</v>
      </c>
      <c r="T64" s="2" t="s">
        <v>982</v>
      </c>
      <c r="U64" s="2" t="s">
        <v>982</v>
      </c>
      <c r="V64" s="2" t="s">
        <v>982</v>
      </c>
    </row>
    <row r="65" spans="1:22" x14ac:dyDescent="0.25">
      <c r="A65" s="2">
        <v>6</v>
      </c>
      <c r="B65" s="2" t="s">
        <v>182</v>
      </c>
      <c r="C65" s="2" t="s">
        <v>894</v>
      </c>
      <c r="D65" s="2" t="s">
        <v>836</v>
      </c>
      <c r="E65" s="2" t="s">
        <v>885</v>
      </c>
      <c r="F65" s="2" t="s">
        <v>4</v>
      </c>
      <c r="G65" s="2" t="s">
        <v>6</v>
      </c>
      <c r="H65" s="2" t="s">
        <v>888</v>
      </c>
      <c r="I65" s="2">
        <v>1005</v>
      </c>
      <c r="J65" s="2" t="s">
        <v>715</v>
      </c>
      <c r="K65" s="2" t="s">
        <v>8</v>
      </c>
      <c r="L65" s="53">
        <v>100</v>
      </c>
      <c r="M65" s="55" t="s">
        <v>979</v>
      </c>
      <c r="N65" s="1" t="s">
        <v>814</v>
      </c>
      <c r="O65" s="2">
        <v>600</v>
      </c>
      <c r="P65" s="2" t="s">
        <v>982</v>
      </c>
      <c r="Q65" s="2" t="s">
        <v>982</v>
      </c>
      <c r="R65" s="2" t="s">
        <v>982</v>
      </c>
      <c r="S65" s="2" t="s">
        <v>982</v>
      </c>
      <c r="T65" s="2" t="s">
        <v>982</v>
      </c>
      <c r="U65" s="2" t="s">
        <v>982</v>
      </c>
      <c r="V65" s="2" t="s">
        <v>982</v>
      </c>
    </row>
    <row r="66" spans="1:22" x14ac:dyDescent="0.25">
      <c r="A66" s="2">
        <v>6</v>
      </c>
      <c r="B66" s="2" t="s">
        <v>182</v>
      </c>
      <c r="C66" s="2" t="s">
        <v>894</v>
      </c>
      <c r="D66" s="2" t="s">
        <v>836</v>
      </c>
      <c r="E66" s="2" t="s">
        <v>885</v>
      </c>
      <c r="F66" s="2" t="s">
        <v>4</v>
      </c>
      <c r="G66" s="2" t="s">
        <v>6</v>
      </c>
      <c r="H66" s="2" t="s">
        <v>888</v>
      </c>
      <c r="I66" s="2">
        <v>1005</v>
      </c>
      <c r="J66" s="2" t="s">
        <v>715</v>
      </c>
      <c r="K66" s="2" t="s">
        <v>8</v>
      </c>
      <c r="L66" s="53">
        <v>100</v>
      </c>
      <c r="M66" s="55" t="s">
        <v>979</v>
      </c>
      <c r="N66" s="1" t="s">
        <v>814</v>
      </c>
      <c r="O66" s="2">
        <v>600</v>
      </c>
      <c r="P66" s="2" t="s">
        <v>982</v>
      </c>
      <c r="Q66" s="2" t="s">
        <v>982</v>
      </c>
      <c r="R66" s="2" t="s">
        <v>982</v>
      </c>
      <c r="S66" s="2" t="s">
        <v>982</v>
      </c>
      <c r="T66" s="2" t="s">
        <v>982</v>
      </c>
      <c r="U66" s="2" t="s">
        <v>982</v>
      </c>
      <c r="V66" s="2" t="s">
        <v>982</v>
      </c>
    </row>
    <row r="67" spans="1:22" x14ac:dyDescent="0.25">
      <c r="A67" s="2" t="s">
        <v>982</v>
      </c>
      <c r="B67" s="2" t="s">
        <v>982</v>
      </c>
      <c r="C67" s="2" t="s">
        <v>982</v>
      </c>
      <c r="D67" s="2" t="s">
        <v>982</v>
      </c>
      <c r="E67" s="2" t="s">
        <v>982</v>
      </c>
      <c r="F67" s="2" t="s">
        <v>982</v>
      </c>
      <c r="G67" s="2" t="s">
        <v>982</v>
      </c>
      <c r="H67" s="2" t="s">
        <v>982</v>
      </c>
      <c r="I67" s="2" t="s">
        <v>982</v>
      </c>
      <c r="J67" s="2" t="s">
        <v>982</v>
      </c>
      <c r="K67" s="2" t="s">
        <v>982</v>
      </c>
      <c r="L67" s="2" t="s">
        <v>982</v>
      </c>
      <c r="M67" s="2" t="s">
        <v>982</v>
      </c>
      <c r="N67" s="2" t="s">
        <v>982</v>
      </c>
      <c r="O67" s="2" t="s">
        <v>982</v>
      </c>
      <c r="P67" s="2" t="s">
        <v>982</v>
      </c>
      <c r="Q67" s="2" t="s">
        <v>982</v>
      </c>
      <c r="R67" s="2" t="s">
        <v>982</v>
      </c>
      <c r="S67" s="2" t="s">
        <v>982</v>
      </c>
      <c r="T67" s="2" t="s">
        <v>982</v>
      </c>
      <c r="U67" s="2" t="s">
        <v>982</v>
      </c>
      <c r="V67" s="2" t="s">
        <v>982</v>
      </c>
    </row>
    <row r="68" spans="1:22" x14ac:dyDescent="0.25">
      <c r="A68" s="2">
        <v>7</v>
      </c>
      <c r="B68" s="2" t="s">
        <v>182</v>
      </c>
      <c r="C68" s="2" t="s">
        <v>894</v>
      </c>
      <c r="D68" s="2" t="s">
        <v>836</v>
      </c>
      <c r="E68" s="2" t="s">
        <v>885</v>
      </c>
      <c r="F68" s="2" t="s">
        <v>4</v>
      </c>
      <c r="G68" s="2" t="s">
        <v>6</v>
      </c>
      <c r="H68" s="2" t="s">
        <v>888</v>
      </c>
      <c r="I68" s="2">
        <v>1006</v>
      </c>
      <c r="J68" s="2" t="s">
        <v>716</v>
      </c>
      <c r="K68" s="2" t="s">
        <v>9</v>
      </c>
      <c r="L68" s="53">
        <v>75</v>
      </c>
      <c r="M68" s="55" t="s">
        <v>979</v>
      </c>
      <c r="N68" s="1" t="s">
        <v>814</v>
      </c>
      <c r="O68" s="2">
        <v>920</v>
      </c>
      <c r="P68" s="2" t="s">
        <v>982</v>
      </c>
      <c r="Q68" s="2" t="s">
        <v>982</v>
      </c>
      <c r="R68" s="2" t="s">
        <v>982</v>
      </c>
      <c r="S68" s="2" t="s">
        <v>288</v>
      </c>
      <c r="T68" s="2" t="s">
        <v>984</v>
      </c>
      <c r="U68" s="2">
        <v>9900</v>
      </c>
      <c r="V68" s="2" t="s">
        <v>982</v>
      </c>
    </row>
    <row r="69" spans="1:22" x14ac:dyDescent="0.25">
      <c r="A69" s="2">
        <v>7</v>
      </c>
      <c r="B69" s="2" t="s">
        <v>182</v>
      </c>
      <c r="C69" s="2" t="s">
        <v>894</v>
      </c>
      <c r="D69" s="2" t="s">
        <v>836</v>
      </c>
      <c r="E69" s="2" t="s">
        <v>885</v>
      </c>
      <c r="F69" s="2" t="s">
        <v>4</v>
      </c>
      <c r="G69" s="2" t="s">
        <v>6</v>
      </c>
      <c r="H69" s="2" t="s">
        <v>888</v>
      </c>
      <c r="I69" s="2">
        <v>1006</v>
      </c>
      <c r="J69" s="2" t="s">
        <v>716</v>
      </c>
      <c r="K69" s="2" t="s">
        <v>9</v>
      </c>
      <c r="L69" s="53">
        <v>75</v>
      </c>
      <c r="M69" s="55" t="s">
        <v>979</v>
      </c>
      <c r="N69" s="1" t="s">
        <v>814</v>
      </c>
      <c r="O69" s="2">
        <v>920</v>
      </c>
      <c r="P69" s="2" t="s">
        <v>982</v>
      </c>
      <c r="Q69" s="2" t="s">
        <v>982</v>
      </c>
      <c r="R69" s="2" t="s">
        <v>982</v>
      </c>
      <c r="S69" s="2" t="s">
        <v>270</v>
      </c>
      <c r="T69" s="2" t="s">
        <v>984</v>
      </c>
      <c r="U69" s="2">
        <v>9900</v>
      </c>
      <c r="V69" s="2" t="s">
        <v>982</v>
      </c>
    </row>
    <row r="70" spans="1:22" x14ac:dyDescent="0.25">
      <c r="A70" s="2">
        <v>7</v>
      </c>
      <c r="B70" s="2" t="s">
        <v>182</v>
      </c>
      <c r="C70" s="2" t="s">
        <v>894</v>
      </c>
      <c r="D70" s="2" t="s">
        <v>836</v>
      </c>
      <c r="E70" s="2" t="s">
        <v>885</v>
      </c>
      <c r="F70" s="2" t="s">
        <v>4</v>
      </c>
      <c r="G70" s="2" t="s">
        <v>6</v>
      </c>
      <c r="H70" s="2" t="s">
        <v>888</v>
      </c>
      <c r="I70" s="2">
        <v>1006</v>
      </c>
      <c r="J70" s="2" t="s">
        <v>716</v>
      </c>
      <c r="K70" s="2" t="s">
        <v>9</v>
      </c>
      <c r="L70" s="53">
        <v>75</v>
      </c>
      <c r="M70" s="55" t="s">
        <v>979</v>
      </c>
      <c r="N70" s="1" t="s">
        <v>814</v>
      </c>
      <c r="O70" s="2">
        <v>920</v>
      </c>
      <c r="P70" s="2" t="s">
        <v>982</v>
      </c>
      <c r="Q70" s="2" t="s">
        <v>982</v>
      </c>
      <c r="R70" s="2" t="s">
        <v>982</v>
      </c>
      <c r="S70" s="2" t="s">
        <v>282</v>
      </c>
      <c r="T70" s="2" t="s">
        <v>984</v>
      </c>
      <c r="U70" s="2">
        <v>9900</v>
      </c>
      <c r="V70" s="2" t="s">
        <v>982</v>
      </c>
    </row>
    <row r="71" spans="1:22" x14ac:dyDescent="0.25">
      <c r="A71" s="2">
        <v>7</v>
      </c>
      <c r="B71" s="2" t="s">
        <v>182</v>
      </c>
      <c r="C71" s="2" t="s">
        <v>894</v>
      </c>
      <c r="D71" s="2" t="s">
        <v>836</v>
      </c>
      <c r="E71" s="2" t="s">
        <v>885</v>
      </c>
      <c r="F71" s="2" t="s">
        <v>4</v>
      </c>
      <c r="G71" s="2" t="s">
        <v>6</v>
      </c>
      <c r="H71" s="2" t="s">
        <v>888</v>
      </c>
      <c r="I71" s="2">
        <v>1006</v>
      </c>
      <c r="J71" s="2" t="s">
        <v>716</v>
      </c>
      <c r="K71" s="2" t="s">
        <v>9</v>
      </c>
      <c r="L71" s="53">
        <v>75</v>
      </c>
      <c r="M71" s="55" t="s">
        <v>979</v>
      </c>
      <c r="N71" s="1" t="s">
        <v>814</v>
      </c>
      <c r="O71" s="2">
        <v>920</v>
      </c>
      <c r="P71" s="2" t="s">
        <v>982</v>
      </c>
      <c r="Q71" s="2" t="s">
        <v>982</v>
      </c>
      <c r="R71" s="2" t="s">
        <v>982</v>
      </c>
      <c r="S71" s="2" t="s">
        <v>289</v>
      </c>
      <c r="T71" s="2" t="s">
        <v>984</v>
      </c>
      <c r="U71" s="2">
        <v>4950</v>
      </c>
      <c r="V71" s="2" t="s">
        <v>982</v>
      </c>
    </row>
    <row r="72" spans="1:22" x14ac:dyDescent="0.25">
      <c r="A72" s="2">
        <v>7</v>
      </c>
      <c r="B72" s="2" t="s">
        <v>182</v>
      </c>
      <c r="C72" s="2" t="s">
        <v>894</v>
      </c>
      <c r="D72" s="2" t="s">
        <v>836</v>
      </c>
      <c r="E72" s="2" t="s">
        <v>885</v>
      </c>
      <c r="F72" s="2" t="s">
        <v>4</v>
      </c>
      <c r="G72" s="2" t="s">
        <v>6</v>
      </c>
      <c r="H72" s="2" t="s">
        <v>888</v>
      </c>
      <c r="I72" s="2">
        <v>1006</v>
      </c>
      <c r="J72" s="2" t="s">
        <v>716</v>
      </c>
      <c r="K72" s="2" t="s">
        <v>9</v>
      </c>
      <c r="L72" s="53">
        <v>75</v>
      </c>
      <c r="M72" s="55" t="s">
        <v>979</v>
      </c>
      <c r="N72" s="1" t="s">
        <v>814</v>
      </c>
      <c r="O72" s="2">
        <v>920</v>
      </c>
      <c r="P72" s="2" t="s">
        <v>982</v>
      </c>
      <c r="Q72" s="2" t="s">
        <v>982</v>
      </c>
      <c r="R72" s="2" t="s">
        <v>982</v>
      </c>
      <c r="S72" s="2" t="s">
        <v>290</v>
      </c>
      <c r="T72" s="2" t="s">
        <v>984</v>
      </c>
      <c r="U72" s="2">
        <v>3960</v>
      </c>
      <c r="V72" s="2" t="s">
        <v>982</v>
      </c>
    </row>
    <row r="73" spans="1:22" x14ac:dyDescent="0.25">
      <c r="A73" s="2">
        <v>7</v>
      </c>
      <c r="B73" s="2" t="s">
        <v>182</v>
      </c>
      <c r="C73" s="2" t="s">
        <v>894</v>
      </c>
      <c r="D73" s="2" t="s">
        <v>836</v>
      </c>
      <c r="E73" s="2" t="s">
        <v>885</v>
      </c>
      <c r="F73" s="2" t="s">
        <v>4</v>
      </c>
      <c r="G73" s="2" t="s">
        <v>6</v>
      </c>
      <c r="H73" s="2" t="s">
        <v>888</v>
      </c>
      <c r="I73" s="2">
        <v>1006</v>
      </c>
      <c r="J73" s="2" t="s">
        <v>716</v>
      </c>
      <c r="K73" s="2" t="s">
        <v>9</v>
      </c>
      <c r="L73" s="53">
        <v>75</v>
      </c>
      <c r="M73" s="55" t="s">
        <v>979</v>
      </c>
      <c r="N73" s="1" t="s">
        <v>814</v>
      </c>
      <c r="O73" s="2">
        <v>920</v>
      </c>
      <c r="P73" s="2" t="s">
        <v>982</v>
      </c>
      <c r="Q73" s="2" t="s">
        <v>982</v>
      </c>
      <c r="R73" s="2" t="s">
        <v>982</v>
      </c>
      <c r="S73" s="2" t="s">
        <v>272</v>
      </c>
      <c r="T73" s="2" t="s">
        <v>984</v>
      </c>
      <c r="U73" s="2">
        <v>1485</v>
      </c>
      <c r="V73" s="2" t="s">
        <v>982</v>
      </c>
    </row>
    <row r="74" spans="1:22" x14ac:dyDescent="0.25">
      <c r="A74" s="2">
        <v>7</v>
      </c>
      <c r="B74" s="2" t="s">
        <v>182</v>
      </c>
      <c r="C74" s="2" t="s">
        <v>894</v>
      </c>
      <c r="D74" s="2" t="s">
        <v>836</v>
      </c>
      <c r="E74" s="2" t="s">
        <v>885</v>
      </c>
      <c r="F74" s="2" t="s">
        <v>4</v>
      </c>
      <c r="G74" s="2" t="s">
        <v>6</v>
      </c>
      <c r="H74" s="2" t="s">
        <v>888</v>
      </c>
      <c r="I74" s="2">
        <v>1006</v>
      </c>
      <c r="J74" s="2" t="s">
        <v>716</v>
      </c>
      <c r="K74" s="2" t="s">
        <v>9</v>
      </c>
      <c r="L74" s="53">
        <v>75</v>
      </c>
      <c r="M74" s="55" t="s">
        <v>979</v>
      </c>
      <c r="N74" s="1" t="s">
        <v>814</v>
      </c>
      <c r="O74" s="2">
        <v>920</v>
      </c>
      <c r="P74" s="2" t="s">
        <v>982</v>
      </c>
      <c r="Q74" s="2" t="s">
        <v>982</v>
      </c>
      <c r="R74" s="2" t="s">
        <v>982</v>
      </c>
      <c r="S74" s="2" t="s">
        <v>276</v>
      </c>
      <c r="T74" s="2" t="s">
        <v>983</v>
      </c>
      <c r="U74" s="2">
        <v>240</v>
      </c>
      <c r="V74" s="2" t="s">
        <v>982</v>
      </c>
    </row>
    <row r="75" spans="1:22" x14ac:dyDescent="0.25">
      <c r="A75" s="2">
        <v>7</v>
      </c>
      <c r="B75" s="2" t="s">
        <v>182</v>
      </c>
      <c r="C75" s="2" t="s">
        <v>894</v>
      </c>
      <c r="D75" s="2" t="s">
        <v>836</v>
      </c>
      <c r="E75" s="2" t="s">
        <v>885</v>
      </c>
      <c r="F75" s="2" t="s">
        <v>4</v>
      </c>
      <c r="G75" s="2" t="s">
        <v>6</v>
      </c>
      <c r="H75" s="2" t="s">
        <v>888</v>
      </c>
      <c r="I75" s="2">
        <v>1006</v>
      </c>
      <c r="J75" s="2" t="s">
        <v>716</v>
      </c>
      <c r="K75" s="2" t="s">
        <v>9</v>
      </c>
      <c r="L75" s="53">
        <v>75</v>
      </c>
      <c r="M75" s="55" t="s">
        <v>979</v>
      </c>
      <c r="N75" s="1" t="s">
        <v>814</v>
      </c>
      <c r="O75" s="2">
        <v>920</v>
      </c>
      <c r="P75" s="2" t="s">
        <v>982</v>
      </c>
      <c r="Q75" s="2" t="s">
        <v>982</v>
      </c>
      <c r="R75" s="2" t="s">
        <v>982</v>
      </c>
      <c r="S75" s="2" t="s">
        <v>291</v>
      </c>
      <c r="T75" s="2" t="s">
        <v>983</v>
      </c>
      <c r="U75" s="2">
        <v>100</v>
      </c>
      <c r="V75" s="2" t="s">
        <v>982</v>
      </c>
    </row>
    <row r="76" spans="1:22" x14ac:dyDescent="0.25">
      <c r="A76" s="2">
        <v>7</v>
      </c>
      <c r="B76" s="2" t="s">
        <v>182</v>
      </c>
      <c r="C76" s="2" t="s">
        <v>894</v>
      </c>
      <c r="D76" s="2" t="s">
        <v>836</v>
      </c>
      <c r="E76" s="2" t="s">
        <v>885</v>
      </c>
      <c r="F76" s="2" t="s">
        <v>4</v>
      </c>
      <c r="G76" s="2" t="s">
        <v>6</v>
      </c>
      <c r="H76" s="2" t="s">
        <v>888</v>
      </c>
      <c r="I76" s="2">
        <v>1006</v>
      </c>
      <c r="J76" s="2" t="s">
        <v>716</v>
      </c>
      <c r="K76" s="2" t="s">
        <v>9</v>
      </c>
      <c r="L76" s="53">
        <v>75</v>
      </c>
      <c r="M76" s="55" t="s">
        <v>979</v>
      </c>
      <c r="N76" s="1" t="s">
        <v>814</v>
      </c>
      <c r="O76" s="2">
        <v>920</v>
      </c>
      <c r="P76" s="2" t="s">
        <v>982</v>
      </c>
      <c r="Q76" s="2" t="s">
        <v>982</v>
      </c>
      <c r="R76" s="2" t="s">
        <v>982</v>
      </c>
      <c r="S76" s="2" t="s">
        <v>278</v>
      </c>
      <c r="T76" s="2" t="s">
        <v>983</v>
      </c>
      <c r="U76" s="2">
        <v>75</v>
      </c>
      <c r="V76" s="2" t="s">
        <v>982</v>
      </c>
    </row>
    <row r="77" spans="1:22" x14ac:dyDescent="0.25">
      <c r="A77" s="2">
        <v>7</v>
      </c>
      <c r="B77" s="2" t="s">
        <v>182</v>
      </c>
      <c r="C77" s="2" t="s">
        <v>894</v>
      </c>
      <c r="D77" s="2" t="s">
        <v>836</v>
      </c>
      <c r="E77" s="2" t="s">
        <v>885</v>
      </c>
      <c r="F77" s="2" t="s">
        <v>4</v>
      </c>
      <c r="G77" s="2" t="s">
        <v>6</v>
      </c>
      <c r="H77" s="2" t="s">
        <v>888</v>
      </c>
      <c r="I77" s="2">
        <v>1006</v>
      </c>
      <c r="J77" s="2" t="s">
        <v>716</v>
      </c>
      <c r="K77" s="2" t="s">
        <v>9</v>
      </c>
      <c r="L77" s="53">
        <v>75</v>
      </c>
      <c r="M77" s="55" t="s">
        <v>979</v>
      </c>
      <c r="N77" s="1" t="s">
        <v>814</v>
      </c>
      <c r="O77" s="2">
        <v>920</v>
      </c>
      <c r="P77" s="2" t="s">
        <v>982</v>
      </c>
      <c r="Q77" s="2" t="s">
        <v>982</v>
      </c>
      <c r="R77" s="2" t="s">
        <v>982</v>
      </c>
      <c r="S77" s="2" t="s">
        <v>292</v>
      </c>
      <c r="T77" s="2" t="s">
        <v>983</v>
      </c>
      <c r="U77" s="2">
        <v>2180</v>
      </c>
      <c r="V77" s="2" t="s">
        <v>982</v>
      </c>
    </row>
    <row r="78" spans="1:22" x14ac:dyDescent="0.25">
      <c r="A78" s="2">
        <v>7</v>
      </c>
      <c r="B78" s="2" t="s">
        <v>182</v>
      </c>
      <c r="C78" s="2" t="s">
        <v>894</v>
      </c>
      <c r="D78" s="2" t="s">
        <v>836</v>
      </c>
      <c r="E78" s="2" t="s">
        <v>885</v>
      </c>
      <c r="F78" s="2" t="s">
        <v>4</v>
      </c>
      <c r="G78" s="2" t="s">
        <v>6</v>
      </c>
      <c r="H78" s="2" t="s">
        <v>888</v>
      </c>
      <c r="I78" s="2">
        <v>1006</v>
      </c>
      <c r="J78" s="2" t="s">
        <v>716</v>
      </c>
      <c r="K78" s="2" t="s">
        <v>9</v>
      </c>
      <c r="L78" s="53">
        <v>75</v>
      </c>
      <c r="M78" s="55" t="s">
        <v>979</v>
      </c>
      <c r="N78" s="1" t="s">
        <v>814</v>
      </c>
      <c r="O78" s="2">
        <v>920</v>
      </c>
      <c r="P78" s="2" t="s">
        <v>982</v>
      </c>
      <c r="Q78" s="2" t="s">
        <v>982</v>
      </c>
      <c r="R78" s="2" t="s">
        <v>982</v>
      </c>
      <c r="S78" s="2" t="s">
        <v>982</v>
      </c>
      <c r="T78" s="2" t="s">
        <v>982</v>
      </c>
      <c r="U78" s="2" t="s">
        <v>982</v>
      </c>
      <c r="V78" s="2" t="s">
        <v>982</v>
      </c>
    </row>
    <row r="79" spans="1:22" x14ac:dyDescent="0.25">
      <c r="A79" s="2">
        <v>7</v>
      </c>
      <c r="B79" s="2" t="s">
        <v>182</v>
      </c>
      <c r="C79" s="2" t="s">
        <v>894</v>
      </c>
      <c r="D79" s="2" t="s">
        <v>836</v>
      </c>
      <c r="E79" s="2" t="s">
        <v>885</v>
      </c>
      <c r="F79" s="2" t="s">
        <v>4</v>
      </c>
      <c r="G79" s="2" t="s">
        <v>6</v>
      </c>
      <c r="H79" s="2" t="s">
        <v>888</v>
      </c>
      <c r="I79" s="2">
        <v>1006</v>
      </c>
      <c r="J79" s="2" t="s">
        <v>716</v>
      </c>
      <c r="K79" s="2" t="s">
        <v>9</v>
      </c>
      <c r="L79" s="53">
        <v>75</v>
      </c>
      <c r="M79" s="55" t="s">
        <v>979</v>
      </c>
      <c r="N79" s="1" t="s">
        <v>814</v>
      </c>
      <c r="O79" s="2">
        <v>920</v>
      </c>
      <c r="P79" s="2" t="s">
        <v>982</v>
      </c>
      <c r="Q79" s="2" t="s">
        <v>982</v>
      </c>
      <c r="R79" s="2" t="s">
        <v>982</v>
      </c>
      <c r="S79" s="2" t="s">
        <v>982</v>
      </c>
      <c r="T79" s="2" t="s">
        <v>982</v>
      </c>
      <c r="U79" s="2" t="s">
        <v>982</v>
      </c>
      <c r="V79" s="2" t="s">
        <v>982</v>
      </c>
    </row>
    <row r="80" spans="1:22" x14ac:dyDescent="0.25">
      <c r="A80" s="2">
        <v>7</v>
      </c>
      <c r="B80" s="2" t="s">
        <v>182</v>
      </c>
      <c r="C80" s="2" t="s">
        <v>894</v>
      </c>
      <c r="D80" s="2" t="s">
        <v>836</v>
      </c>
      <c r="E80" s="2" t="s">
        <v>885</v>
      </c>
      <c r="F80" s="2" t="s">
        <v>4</v>
      </c>
      <c r="G80" s="2" t="s">
        <v>6</v>
      </c>
      <c r="H80" s="2" t="s">
        <v>888</v>
      </c>
      <c r="I80" s="2">
        <v>1006</v>
      </c>
      <c r="J80" s="2" t="s">
        <v>716</v>
      </c>
      <c r="K80" s="2" t="s">
        <v>9</v>
      </c>
      <c r="L80" s="53">
        <v>75</v>
      </c>
      <c r="M80" s="55" t="s">
        <v>979</v>
      </c>
      <c r="N80" s="1" t="s">
        <v>814</v>
      </c>
      <c r="O80" s="2">
        <v>920</v>
      </c>
      <c r="P80" s="2" t="s">
        <v>982</v>
      </c>
      <c r="Q80" s="2" t="s">
        <v>982</v>
      </c>
      <c r="R80" s="2" t="s">
        <v>982</v>
      </c>
      <c r="S80" s="2" t="s">
        <v>982</v>
      </c>
      <c r="T80" s="2" t="s">
        <v>982</v>
      </c>
      <c r="U80" s="2" t="s">
        <v>982</v>
      </c>
      <c r="V80" s="2" t="s">
        <v>982</v>
      </c>
    </row>
    <row r="81" spans="1:22" x14ac:dyDescent="0.25">
      <c r="A81" s="2">
        <v>7</v>
      </c>
      <c r="B81" s="2" t="s">
        <v>182</v>
      </c>
      <c r="C81" s="2" t="s">
        <v>894</v>
      </c>
      <c r="D81" s="2" t="s">
        <v>836</v>
      </c>
      <c r="E81" s="2" t="s">
        <v>885</v>
      </c>
      <c r="F81" s="2" t="s">
        <v>4</v>
      </c>
      <c r="G81" s="2" t="s">
        <v>6</v>
      </c>
      <c r="H81" s="2" t="s">
        <v>888</v>
      </c>
      <c r="I81" s="2">
        <v>1006</v>
      </c>
      <c r="J81" s="2" t="s">
        <v>716</v>
      </c>
      <c r="K81" s="2" t="s">
        <v>9</v>
      </c>
      <c r="L81" s="53">
        <v>75</v>
      </c>
      <c r="M81" s="55" t="s">
        <v>979</v>
      </c>
      <c r="N81" s="1" t="s">
        <v>814</v>
      </c>
      <c r="O81" s="2">
        <v>920</v>
      </c>
      <c r="P81" s="2" t="s">
        <v>982</v>
      </c>
      <c r="Q81" s="2" t="s">
        <v>982</v>
      </c>
      <c r="R81" s="2" t="s">
        <v>982</v>
      </c>
      <c r="S81" s="2" t="s">
        <v>982</v>
      </c>
      <c r="T81" s="2" t="s">
        <v>982</v>
      </c>
      <c r="U81" s="2" t="s">
        <v>982</v>
      </c>
      <c r="V81" s="2" t="s">
        <v>982</v>
      </c>
    </row>
    <row r="82" spans="1:22" x14ac:dyDescent="0.25">
      <c r="A82" s="2">
        <v>7</v>
      </c>
      <c r="B82" s="2" t="s">
        <v>182</v>
      </c>
      <c r="C82" s="2" t="s">
        <v>894</v>
      </c>
      <c r="D82" s="2" t="s">
        <v>836</v>
      </c>
      <c r="E82" s="2" t="s">
        <v>885</v>
      </c>
      <c r="F82" s="2" t="s">
        <v>4</v>
      </c>
      <c r="G82" s="2" t="s">
        <v>6</v>
      </c>
      <c r="H82" s="2" t="s">
        <v>888</v>
      </c>
      <c r="I82" s="2">
        <v>1006</v>
      </c>
      <c r="J82" s="2" t="s">
        <v>716</v>
      </c>
      <c r="K82" s="2" t="s">
        <v>9</v>
      </c>
      <c r="L82" s="53">
        <v>75</v>
      </c>
      <c r="M82" s="55" t="s">
        <v>979</v>
      </c>
      <c r="N82" s="1" t="s">
        <v>814</v>
      </c>
      <c r="O82" s="2">
        <v>920</v>
      </c>
      <c r="P82" s="2" t="s">
        <v>982</v>
      </c>
      <c r="Q82" s="2" t="s">
        <v>982</v>
      </c>
      <c r="R82" s="2" t="s">
        <v>982</v>
      </c>
      <c r="S82" s="2" t="s">
        <v>982</v>
      </c>
      <c r="T82" s="2" t="s">
        <v>982</v>
      </c>
      <c r="U82" s="2" t="s">
        <v>982</v>
      </c>
      <c r="V82" s="2" t="s">
        <v>982</v>
      </c>
    </row>
    <row r="83" spans="1:22" x14ac:dyDescent="0.25">
      <c r="A83" s="2">
        <v>7</v>
      </c>
      <c r="B83" s="2" t="s">
        <v>182</v>
      </c>
      <c r="C83" s="2" t="s">
        <v>894</v>
      </c>
      <c r="D83" s="2" t="s">
        <v>836</v>
      </c>
      <c r="E83" s="2" t="s">
        <v>885</v>
      </c>
      <c r="F83" s="2" t="s">
        <v>4</v>
      </c>
      <c r="G83" s="2" t="s">
        <v>6</v>
      </c>
      <c r="H83" s="2" t="s">
        <v>888</v>
      </c>
      <c r="I83" s="2">
        <v>1006</v>
      </c>
      <c r="J83" s="2" t="s">
        <v>716</v>
      </c>
      <c r="K83" s="2" t="s">
        <v>9</v>
      </c>
      <c r="L83" s="53">
        <v>75</v>
      </c>
      <c r="M83" s="55" t="s">
        <v>979</v>
      </c>
      <c r="N83" s="1" t="s">
        <v>814</v>
      </c>
      <c r="O83" s="2">
        <v>920</v>
      </c>
      <c r="P83" s="2" t="s">
        <v>982</v>
      </c>
      <c r="Q83" s="2" t="s">
        <v>982</v>
      </c>
      <c r="R83" s="2" t="s">
        <v>982</v>
      </c>
      <c r="S83" s="2" t="s">
        <v>982</v>
      </c>
      <c r="T83" s="2" t="s">
        <v>982</v>
      </c>
      <c r="U83" s="2" t="s">
        <v>982</v>
      </c>
      <c r="V83" s="2" t="s">
        <v>982</v>
      </c>
    </row>
    <row r="84" spans="1:22" x14ac:dyDescent="0.25">
      <c r="A84" s="2">
        <v>7</v>
      </c>
      <c r="B84" s="2" t="s">
        <v>182</v>
      </c>
      <c r="C84" s="2" t="s">
        <v>894</v>
      </c>
      <c r="D84" s="2" t="s">
        <v>836</v>
      </c>
      <c r="E84" s="2" t="s">
        <v>885</v>
      </c>
      <c r="F84" s="2" t="s">
        <v>4</v>
      </c>
      <c r="G84" s="2" t="s">
        <v>6</v>
      </c>
      <c r="H84" s="2" t="s">
        <v>888</v>
      </c>
      <c r="I84" s="2">
        <v>1006</v>
      </c>
      <c r="J84" s="2" t="s">
        <v>716</v>
      </c>
      <c r="K84" s="2" t="s">
        <v>9</v>
      </c>
      <c r="L84" s="53">
        <v>75</v>
      </c>
      <c r="M84" s="55" t="s">
        <v>979</v>
      </c>
      <c r="N84" s="1" t="s">
        <v>814</v>
      </c>
      <c r="O84" s="2">
        <v>920</v>
      </c>
      <c r="P84" s="2" t="s">
        <v>982</v>
      </c>
      <c r="Q84" s="2" t="s">
        <v>982</v>
      </c>
      <c r="R84" s="2" t="s">
        <v>982</v>
      </c>
      <c r="S84" s="2" t="s">
        <v>982</v>
      </c>
      <c r="T84" s="2" t="s">
        <v>982</v>
      </c>
      <c r="U84" s="2" t="s">
        <v>982</v>
      </c>
      <c r="V84" s="2" t="s">
        <v>982</v>
      </c>
    </row>
    <row r="85" spans="1:22" x14ac:dyDescent="0.25">
      <c r="A85" s="2">
        <v>7</v>
      </c>
      <c r="B85" s="2" t="s">
        <v>182</v>
      </c>
      <c r="C85" s="2" t="s">
        <v>894</v>
      </c>
      <c r="D85" s="2" t="s">
        <v>836</v>
      </c>
      <c r="E85" s="2" t="s">
        <v>885</v>
      </c>
      <c r="F85" s="2" t="s">
        <v>4</v>
      </c>
      <c r="G85" s="2" t="s">
        <v>6</v>
      </c>
      <c r="H85" s="2" t="s">
        <v>888</v>
      </c>
      <c r="I85" s="2">
        <v>1006</v>
      </c>
      <c r="J85" s="2" t="s">
        <v>716</v>
      </c>
      <c r="K85" s="2" t="s">
        <v>9</v>
      </c>
      <c r="L85" s="53">
        <v>75</v>
      </c>
      <c r="M85" s="55" t="s">
        <v>979</v>
      </c>
      <c r="N85" s="1" t="s">
        <v>814</v>
      </c>
      <c r="O85" s="2">
        <v>920</v>
      </c>
      <c r="P85" s="2" t="s">
        <v>982</v>
      </c>
      <c r="Q85" s="2" t="s">
        <v>982</v>
      </c>
      <c r="R85" s="2" t="s">
        <v>982</v>
      </c>
      <c r="S85" s="2" t="s">
        <v>982</v>
      </c>
      <c r="T85" s="2" t="s">
        <v>982</v>
      </c>
      <c r="U85" s="2" t="s">
        <v>982</v>
      </c>
      <c r="V85" s="2" t="s">
        <v>982</v>
      </c>
    </row>
    <row r="86" spans="1:22" x14ac:dyDescent="0.25">
      <c r="A86" s="2">
        <v>7</v>
      </c>
      <c r="B86" s="2" t="s">
        <v>182</v>
      </c>
      <c r="C86" s="2" t="s">
        <v>894</v>
      </c>
      <c r="D86" s="2" t="s">
        <v>836</v>
      </c>
      <c r="E86" s="2" t="s">
        <v>885</v>
      </c>
      <c r="F86" s="2" t="s">
        <v>4</v>
      </c>
      <c r="G86" s="2" t="s">
        <v>6</v>
      </c>
      <c r="H86" s="2" t="s">
        <v>888</v>
      </c>
      <c r="I86" s="2">
        <v>1006</v>
      </c>
      <c r="J86" s="2" t="s">
        <v>716</v>
      </c>
      <c r="K86" s="2" t="s">
        <v>9</v>
      </c>
      <c r="L86" s="53">
        <v>75</v>
      </c>
      <c r="M86" s="55" t="s">
        <v>979</v>
      </c>
      <c r="N86" s="1" t="s">
        <v>814</v>
      </c>
      <c r="O86" s="2">
        <v>920</v>
      </c>
      <c r="P86" s="2" t="s">
        <v>982</v>
      </c>
      <c r="Q86" s="2" t="s">
        <v>982</v>
      </c>
      <c r="R86" s="2" t="s">
        <v>982</v>
      </c>
      <c r="S86" s="2" t="s">
        <v>982</v>
      </c>
      <c r="T86" s="2" t="s">
        <v>982</v>
      </c>
      <c r="U86" s="2" t="s">
        <v>982</v>
      </c>
      <c r="V86" s="2" t="s">
        <v>982</v>
      </c>
    </row>
    <row r="87" spans="1:22" x14ac:dyDescent="0.25">
      <c r="A87" s="2">
        <v>7</v>
      </c>
      <c r="B87" s="2" t="s">
        <v>182</v>
      </c>
      <c r="C87" s="2" t="s">
        <v>894</v>
      </c>
      <c r="D87" s="2" t="s">
        <v>836</v>
      </c>
      <c r="E87" s="2" t="s">
        <v>885</v>
      </c>
      <c r="F87" s="2" t="s">
        <v>4</v>
      </c>
      <c r="G87" s="2" t="s">
        <v>6</v>
      </c>
      <c r="H87" s="2" t="s">
        <v>888</v>
      </c>
      <c r="I87" s="2">
        <v>1006</v>
      </c>
      <c r="J87" s="2" t="s">
        <v>716</v>
      </c>
      <c r="K87" s="2" t="s">
        <v>9</v>
      </c>
      <c r="L87" s="53">
        <v>75</v>
      </c>
      <c r="M87" s="55" t="s">
        <v>979</v>
      </c>
      <c r="N87" s="1" t="s">
        <v>814</v>
      </c>
      <c r="O87" s="2">
        <v>920</v>
      </c>
      <c r="P87" s="2" t="s">
        <v>982</v>
      </c>
      <c r="Q87" s="2" t="s">
        <v>982</v>
      </c>
      <c r="R87" s="2" t="s">
        <v>982</v>
      </c>
      <c r="S87" s="2" t="s">
        <v>982</v>
      </c>
      <c r="T87" s="2" t="s">
        <v>982</v>
      </c>
      <c r="U87" s="2" t="s">
        <v>982</v>
      </c>
      <c r="V87" s="2" t="s">
        <v>982</v>
      </c>
    </row>
    <row r="88" spans="1:22" x14ac:dyDescent="0.25">
      <c r="A88" s="2">
        <v>7</v>
      </c>
      <c r="B88" s="2" t="s">
        <v>182</v>
      </c>
      <c r="C88" s="2" t="s">
        <v>894</v>
      </c>
      <c r="D88" s="2" t="s">
        <v>836</v>
      </c>
      <c r="E88" s="2" t="s">
        <v>885</v>
      </c>
      <c r="F88" s="2" t="s">
        <v>4</v>
      </c>
      <c r="G88" s="2" t="s">
        <v>6</v>
      </c>
      <c r="H88" s="2" t="s">
        <v>888</v>
      </c>
      <c r="I88" s="2">
        <v>1006</v>
      </c>
      <c r="J88" s="2" t="s">
        <v>716</v>
      </c>
      <c r="K88" s="2" t="s">
        <v>9</v>
      </c>
      <c r="L88" s="53">
        <v>75</v>
      </c>
      <c r="M88" s="55" t="s">
        <v>979</v>
      </c>
      <c r="N88" s="1" t="s">
        <v>814</v>
      </c>
      <c r="O88" s="2">
        <v>920</v>
      </c>
      <c r="P88" s="2" t="s">
        <v>982</v>
      </c>
      <c r="Q88" s="2" t="s">
        <v>982</v>
      </c>
      <c r="R88" s="2" t="s">
        <v>982</v>
      </c>
      <c r="S88" s="2" t="s">
        <v>982</v>
      </c>
      <c r="T88" s="2" t="s">
        <v>982</v>
      </c>
      <c r="U88" s="2" t="s">
        <v>982</v>
      </c>
      <c r="V88" s="2" t="s">
        <v>982</v>
      </c>
    </row>
    <row r="89" spans="1:22" x14ac:dyDescent="0.25">
      <c r="A89" s="2" t="s">
        <v>982</v>
      </c>
      <c r="B89" s="2" t="s">
        <v>982</v>
      </c>
      <c r="C89" s="2" t="s">
        <v>982</v>
      </c>
      <c r="D89" s="2" t="s">
        <v>982</v>
      </c>
      <c r="E89" s="2" t="s">
        <v>982</v>
      </c>
      <c r="F89" s="2" t="s">
        <v>982</v>
      </c>
      <c r="G89" s="2" t="s">
        <v>982</v>
      </c>
      <c r="H89" s="2" t="s">
        <v>982</v>
      </c>
      <c r="I89" s="2" t="s">
        <v>982</v>
      </c>
      <c r="J89" s="2" t="s">
        <v>982</v>
      </c>
      <c r="K89" s="2" t="s">
        <v>982</v>
      </c>
      <c r="L89" s="2" t="s">
        <v>982</v>
      </c>
      <c r="M89" s="2" t="s">
        <v>982</v>
      </c>
      <c r="N89" s="2" t="s">
        <v>982</v>
      </c>
      <c r="O89" s="2" t="s">
        <v>982</v>
      </c>
      <c r="P89" s="2" t="s">
        <v>982</v>
      </c>
      <c r="Q89" s="2" t="s">
        <v>982</v>
      </c>
      <c r="R89" s="2" t="s">
        <v>982</v>
      </c>
      <c r="S89" s="2" t="s">
        <v>982</v>
      </c>
      <c r="T89" s="2" t="s">
        <v>982</v>
      </c>
      <c r="U89" s="2" t="s">
        <v>982</v>
      </c>
      <c r="V89" s="2" t="s">
        <v>982</v>
      </c>
    </row>
    <row r="90" spans="1:22" x14ac:dyDescent="0.25">
      <c r="A90" s="2">
        <v>8</v>
      </c>
      <c r="B90" s="2" t="s">
        <v>182</v>
      </c>
      <c r="C90" s="2" t="s">
        <v>894</v>
      </c>
      <c r="D90" s="2" t="s">
        <v>825</v>
      </c>
      <c r="E90" s="2" t="s">
        <v>885</v>
      </c>
      <c r="F90" s="2" t="s">
        <v>4</v>
      </c>
      <c r="G90" s="2" t="s">
        <v>6</v>
      </c>
      <c r="H90" s="2" t="s">
        <v>888</v>
      </c>
      <c r="I90" s="2">
        <v>1007</v>
      </c>
      <c r="J90" s="2" t="s">
        <v>717</v>
      </c>
      <c r="K90" s="2" t="s">
        <v>10</v>
      </c>
      <c r="L90" s="53">
        <v>40</v>
      </c>
      <c r="M90" s="55" t="s">
        <v>979</v>
      </c>
      <c r="N90" s="1" t="s">
        <v>814</v>
      </c>
      <c r="O90" s="2">
        <v>1800</v>
      </c>
      <c r="P90" s="2" t="s">
        <v>982</v>
      </c>
      <c r="Q90" s="2" t="s">
        <v>982</v>
      </c>
      <c r="R90" s="2" t="s">
        <v>982</v>
      </c>
      <c r="S90" s="2" t="s">
        <v>288</v>
      </c>
      <c r="T90" s="2" t="s">
        <v>984</v>
      </c>
      <c r="U90" s="2">
        <v>9900</v>
      </c>
      <c r="V90" s="2" t="s">
        <v>982</v>
      </c>
    </row>
    <row r="91" spans="1:22" x14ac:dyDescent="0.25">
      <c r="A91" s="2">
        <v>8</v>
      </c>
      <c r="B91" s="2" t="s">
        <v>182</v>
      </c>
      <c r="C91" s="2" t="s">
        <v>894</v>
      </c>
      <c r="D91" s="2" t="s">
        <v>825</v>
      </c>
      <c r="E91" s="2" t="s">
        <v>885</v>
      </c>
      <c r="F91" s="2" t="s">
        <v>4</v>
      </c>
      <c r="G91" s="2" t="s">
        <v>6</v>
      </c>
      <c r="H91" s="2" t="s">
        <v>888</v>
      </c>
      <c r="I91" s="2">
        <v>1007</v>
      </c>
      <c r="J91" s="2" t="s">
        <v>717</v>
      </c>
      <c r="K91" s="2" t="s">
        <v>10</v>
      </c>
      <c r="L91" s="53">
        <v>40</v>
      </c>
      <c r="M91" s="55" t="s">
        <v>979</v>
      </c>
      <c r="N91" s="1" t="s">
        <v>814</v>
      </c>
      <c r="O91" s="2">
        <v>1800</v>
      </c>
      <c r="P91" s="2" t="s">
        <v>982</v>
      </c>
      <c r="Q91" s="2" t="s">
        <v>982</v>
      </c>
      <c r="R91" s="2" t="s">
        <v>982</v>
      </c>
      <c r="S91" s="2" t="s">
        <v>270</v>
      </c>
      <c r="T91" s="2" t="s">
        <v>984</v>
      </c>
      <c r="U91" s="2">
        <v>9900</v>
      </c>
      <c r="V91" s="2" t="s">
        <v>982</v>
      </c>
    </row>
    <row r="92" spans="1:22" x14ac:dyDescent="0.25">
      <c r="A92" s="2">
        <v>8</v>
      </c>
      <c r="B92" s="2" t="s">
        <v>182</v>
      </c>
      <c r="C92" s="2" t="s">
        <v>894</v>
      </c>
      <c r="D92" s="2" t="s">
        <v>825</v>
      </c>
      <c r="E92" s="2" t="s">
        <v>885</v>
      </c>
      <c r="F92" s="2" t="s">
        <v>4</v>
      </c>
      <c r="G92" s="2" t="s">
        <v>6</v>
      </c>
      <c r="H92" s="2" t="s">
        <v>888</v>
      </c>
      <c r="I92" s="2">
        <v>1007</v>
      </c>
      <c r="J92" s="2" t="s">
        <v>717</v>
      </c>
      <c r="K92" s="2" t="s">
        <v>10</v>
      </c>
      <c r="L92" s="53">
        <v>40</v>
      </c>
      <c r="M92" s="55" t="s">
        <v>979</v>
      </c>
      <c r="N92" s="1" t="s">
        <v>814</v>
      </c>
      <c r="O92" s="2">
        <v>1800</v>
      </c>
      <c r="P92" s="2" t="s">
        <v>982</v>
      </c>
      <c r="Q92" s="2" t="s">
        <v>982</v>
      </c>
      <c r="R92" s="2" t="s">
        <v>982</v>
      </c>
      <c r="S92" s="2" t="s">
        <v>282</v>
      </c>
      <c r="T92" s="2" t="s">
        <v>984</v>
      </c>
      <c r="U92" s="2">
        <v>9900</v>
      </c>
      <c r="V92" s="2" t="s">
        <v>982</v>
      </c>
    </row>
    <row r="93" spans="1:22" x14ac:dyDescent="0.25">
      <c r="A93" s="2">
        <v>8</v>
      </c>
      <c r="B93" s="2" t="s">
        <v>182</v>
      </c>
      <c r="C93" s="2" t="s">
        <v>894</v>
      </c>
      <c r="D93" s="2" t="s">
        <v>825</v>
      </c>
      <c r="E93" s="2" t="s">
        <v>885</v>
      </c>
      <c r="F93" s="2" t="s">
        <v>4</v>
      </c>
      <c r="G93" s="2" t="s">
        <v>6</v>
      </c>
      <c r="H93" s="2" t="s">
        <v>888</v>
      </c>
      <c r="I93" s="2">
        <v>1007</v>
      </c>
      <c r="J93" s="2" t="s">
        <v>717</v>
      </c>
      <c r="K93" s="2" t="s">
        <v>10</v>
      </c>
      <c r="L93" s="53">
        <v>40</v>
      </c>
      <c r="M93" s="55" t="s">
        <v>979</v>
      </c>
      <c r="N93" s="1" t="s">
        <v>814</v>
      </c>
      <c r="O93" s="2">
        <v>1800</v>
      </c>
      <c r="P93" s="2" t="s">
        <v>982</v>
      </c>
      <c r="Q93" s="2" t="s">
        <v>982</v>
      </c>
      <c r="R93" s="2" t="s">
        <v>982</v>
      </c>
      <c r="S93" s="2" t="s">
        <v>289</v>
      </c>
      <c r="T93" s="2" t="s">
        <v>984</v>
      </c>
      <c r="U93" s="2">
        <v>4950</v>
      </c>
      <c r="V93" s="2" t="s">
        <v>982</v>
      </c>
    </row>
    <row r="94" spans="1:22" x14ac:dyDescent="0.25">
      <c r="A94" s="2">
        <v>8</v>
      </c>
      <c r="B94" s="2" t="s">
        <v>182</v>
      </c>
      <c r="C94" s="2" t="s">
        <v>894</v>
      </c>
      <c r="D94" s="2" t="s">
        <v>825</v>
      </c>
      <c r="E94" s="2" t="s">
        <v>885</v>
      </c>
      <c r="F94" s="2" t="s">
        <v>4</v>
      </c>
      <c r="G94" s="2" t="s">
        <v>6</v>
      </c>
      <c r="H94" s="2" t="s">
        <v>888</v>
      </c>
      <c r="I94" s="2">
        <v>1007</v>
      </c>
      <c r="J94" s="2" t="s">
        <v>717</v>
      </c>
      <c r="K94" s="2" t="s">
        <v>10</v>
      </c>
      <c r="L94" s="53">
        <v>40</v>
      </c>
      <c r="M94" s="55" t="s">
        <v>979</v>
      </c>
      <c r="N94" s="1" t="s">
        <v>814</v>
      </c>
      <c r="O94" s="2">
        <v>1800</v>
      </c>
      <c r="P94" s="2" t="s">
        <v>982</v>
      </c>
      <c r="Q94" s="2" t="s">
        <v>982</v>
      </c>
      <c r="R94" s="2" t="s">
        <v>982</v>
      </c>
      <c r="S94" s="2" t="s">
        <v>290</v>
      </c>
      <c r="T94" s="2" t="s">
        <v>984</v>
      </c>
      <c r="U94" s="2">
        <v>3960</v>
      </c>
      <c r="V94" s="2" t="s">
        <v>982</v>
      </c>
    </row>
    <row r="95" spans="1:22" x14ac:dyDescent="0.25">
      <c r="A95" s="2">
        <v>8</v>
      </c>
      <c r="B95" s="2" t="s">
        <v>182</v>
      </c>
      <c r="C95" s="2" t="s">
        <v>894</v>
      </c>
      <c r="D95" s="2" t="s">
        <v>825</v>
      </c>
      <c r="E95" s="2" t="s">
        <v>885</v>
      </c>
      <c r="F95" s="2" t="s">
        <v>4</v>
      </c>
      <c r="G95" s="2" t="s">
        <v>6</v>
      </c>
      <c r="H95" s="2" t="s">
        <v>888</v>
      </c>
      <c r="I95" s="2">
        <v>1007</v>
      </c>
      <c r="J95" s="2" t="s">
        <v>717</v>
      </c>
      <c r="K95" s="2" t="s">
        <v>10</v>
      </c>
      <c r="L95" s="53">
        <v>40</v>
      </c>
      <c r="M95" s="55" t="s">
        <v>979</v>
      </c>
      <c r="N95" s="1" t="s">
        <v>814</v>
      </c>
      <c r="O95" s="2">
        <v>1800</v>
      </c>
      <c r="P95" s="2" t="s">
        <v>982</v>
      </c>
      <c r="Q95" s="2" t="s">
        <v>982</v>
      </c>
      <c r="R95" s="2" t="s">
        <v>982</v>
      </c>
      <c r="S95" s="2" t="s">
        <v>272</v>
      </c>
      <c r="T95" s="2" t="s">
        <v>984</v>
      </c>
      <c r="U95" s="2">
        <v>1485</v>
      </c>
      <c r="V95" s="2" t="s">
        <v>982</v>
      </c>
    </row>
    <row r="96" spans="1:22" x14ac:dyDescent="0.25">
      <c r="A96" s="2">
        <v>8</v>
      </c>
      <c r="B96" s="2" t="s">
        <v>182</v>
      </c>
      <c r="C96" s="2" t="s">
        <v>894</v>
      </c>
      <c r="D96" s="2" t="s">
        <v>825</v>
      </c>
      <c r="E96" s="2" t="s">
        <v>885</v>
      </c>
      <c r="F96" s="2" t="s">
        <v>4</v>
      </c>
      <c r="G96" s="2" t="s">
        <v>6</v>
      </c>
      <c r="H96" s="2" t="s">
        <v>888</v>
      </c>
      <c r="I96" s="2">
        <v>1007</v>
      </c>
      <c r="J96" s="2" t="s">
        <v>717</v>
      </c>
      <c r="K96" s="2" t="s">
        <v>10</v>
      </c>
      <c r="L96" s="53">
        <v>40</v>
      </c>
      <c r="M96" s="55" t="s">
        <v>979</v>
      </c>
      <c r="N96" s="1" t="s">
        <v>814</v>
      </c>
      <c r="O96" s="2">
        <v>1800</v>
      </c>
      <c r="P96" s="2" t="s">
        <v>982</v>
      </c>
      <c r="Q96" s="2" t="s">
        <v>982</v>
      </c>
      <c r="R96" s="2" t="s">
        <v>982</v>
      </c>
      <c r="S96" s="2" t="s">
        <v>276</v>
      </c>
      <c r="T96" s="2" t="s">
        <v>983</v>
      </c>
      <c r="U96" s="2">
        <v>240</v>
      </c>
      <c r="V96" s="2" t="s">
        <v>982</v>
      </c>
    </row>
    <row r="97" spans="1:22" x14ac:dyDescent="0.25">
      <c r="A97" s="2">
        <v>8</v>
      </c>
      <c r="B97" s="2" t="s">
        <v>182</v>
      </c>
      <c r="C97" s="2" t="s">
        <v>894</v>
      </c>
      <c r="D97" s="2" t="s">
        <v>825</v>
      </c>
      <c r="E97" s="2" t="s">
        <v>885</v>
      </c>
      <c r="F97" s="2" t="s">
        <v>4</v>
      </c>
      <c r="G97" s="2" t="s">
        <v>6</v>
      </c>
      <c r="H97" s="2" t="s">
        <v>888</v>
      </c>
      <c r="I97" s="2">
        <v>1007</v>
      </c>
      <c r="J97" s="2" t="s">
        <v>717</v>
      </c>
      <c r="K97" s="2" t="s">
        <v>10</v>
      </c>
      <c r="L97" s="53">
        <v>40</v>
      </c>
      <c r="M97" s="55" t="s">
        <v>979</v>
      </c>
      <c r="N97" s="1" t="s">
        <v>814</v>
      </c>
      <c r="O97" s="2">
        <v>1800</v>
      </c>
      <c r="P97" s="2" t="s">
        <v>982</v>
      </c>
      <c r="Q97" s="2" t="s">
        <v>982</v>
      </c>
      <c r="R97" s="2" t="s">
        <v>982</v>
      </c>
      <c r="S97" s="2" t="s">
        <v>291</v>
      </c>
      <c r="T97" s="2" t="s">
        <v>983</v>
      </c>
      <c r="U97" s="2">
        <v>100</v>
      </c>
      <c r="V97" s="2" t="s">
        <v>982</v>
      </c>
    </row>
    <row r="98" spans="1:22" x14ac:dyDescent="0.25">
      <c r="A98" s="2">
        <v>8</v>
      </c>
      <c r="B98" s="2" t="s">
        <v>182</v>
      </c>
      <c r="C98" s="2" t="s">
        <v>894</v>
      </c>
      <c r="D98" s="2" t="s">
        <v>825</v>
      </c>
      <c r="E98" s="2" t="s">
        <v>885</v>
      </c>
      <c r="F98" s="2" t="s">
        <v>4</v>
      </c>
      <c r="G98" s="2" t="s">
        <v>6</v>
      </c>
      <c r="H98" s="2" t="s">
        <v>888</v>
      </c>
      <c r="I98" s="2">
        <v>1007</v>
      </c>
      <c r="J98" s="2" t="s">
        <v>717</v>
      </c>
      <c r="K98" s="2" t="s">
        <v>10</v>
      </c>
      <c r="L98" s="53">
        <v>40</v>
      </c>
      <c r="M98" s="55" t="s">
        <v>979</v>
      </c>
      <c r="N98" s="1" t="s">
        <v>814</v>
      </c>
      <c r="O98" s="2">
        <v>1800</v>
      </c>
      <c r="P98" s="2" t="s">
        <v>982</v>
      </c>
      <c r="Q98" s="2" t="s">
        <v>982</v>
      </c>
      <c r="R98" s="2" t="s">
        <v>982</v>
      </c>
      <c r="S98" s="2" t="s">
        <v>278</v>
      </c>
      <c r="T98" s="2" t="s">
        <v>983</v>
      </c>
      <c r="U98" s="2">
        <v>75</v>
      </c>
      <c r="V98" s="2" t="s">
        <v>982</v>
      </c>
    </row>
    <row r="99" spans="1:22" x14ac:dyDescent="0.25">
      <c r="A99" s="2">
        <v>8</v>
      </c>
      <c r="B99" s="2" t="s">
        <v>182</v>
      </c>
      <c r="C99" s="2" t="s">
        <v>894</v>
      </c>
      <c r="D99" s="2" t="s">
        <v>825</v>
      </c>
      <c r="E99" s="2" t="s">
        <v>885</v>
      </c>
      <c r="F99" s="2" t="s">
        <v>4</v>
      </c>
      <c r="G99" s="2" t="s">
        <v>6</v>
      </c>
      <c r="H99" s="2" t="s">
        <v>888</v>
      </c>
      <c r="I99" s="2">
        <v>1007</v>
      </c>
      <c r="J99" s="2" t="s">
        <v>717</v>
      </c>
      <c r="K99" s="2" t="s">
        <v>10</v>
      </c>
      <c r="L99" s="53">
        <v>40</v>
      </c>
      <c r="M99" s="55" t="s">
        <v>979</v>
      </c>
      <c r="N99" s="1" t="s">
        <v>814</v>
      </c>
      <c r="O99" s="2">
        <v>1800</v>
      </c>
      <c r="P99" s="2" t="s">
        <v>982</v>
      </c>
      <c r="Q99" s="2" t="s">
        <v>982</v>
      </c>
      <c r="R99" s="2" t="s">
        <v>982</v>
      </c>
      <c r="S99" s="2" t="s">
        <v>292</v>
      </c>
      <c r="T99" s="2" t="s">
        <v>983</v>
      </c>
      <c r="U99" s="2">
        <v>2180</v>
      </c>
      <c r="V99" s="2" t="s">
        <v>982</v>
      </c>
    </row>
    <row r="100" spans="1:22" x14ac:dyDescent="0.25">
      <c r="A100" s="2">
        <v>8</v>
      </c>
      <c r="B100" s="2" t="s">
        <v>182</v>
      </c>
      <c r="C100" s="2" t="s">
        <v>894</v>
      </c>
      <c r="D100" s="2" t="s">
        <v>825</v>
      </c>
      <c r="E100" s="2" t="s">
        <v>885</v>
      </c>
      <c r="F100" s="2" t="s">
        <v>4</v>
      </c>
      <c r="G100" s="2" t="s">
        <v>6</v>
      </c>
      <c r="H100" s="2" t="s">
        <v>888</v>
      </c>
      <c r="I100" s="2">
        <v>1007</v>
      </c>
      <c r="J100" s="2" t="s">
        <v>717</v>
      </c>
      <c r="K100" s="2" t="s">
        <v>10</v>
      </c>
      <c r="L100" s="53">
        <v>40</v>
      </c>
      <c r="M100" s="55" t="s">
        <v>979</v>
      </c>
      <c r="N100" s="1" t="s">
        <v>814</v>
      </c>
      <c r="O100" s="2">
        <v>1800</v>
      </c>
      <c r="P100" s="2" t="s">
        <v>982</v>
      </c>
      <c r="Q100" s="2" t="s">
        <v>982</v>
      </c>
      <c r="R100" s="2" t="s">
        <v>982</v>
      </c>
      <c r="S100" s="2" t="s">
        <v>982</v>
      </c>
      <c r="T100" s="2" t="s">
        <v>982</v>
      </c>
      <c r="U100" s="2" t="s">
        <v>982</v>
      </c>
      <c r="V100" s="2" t="s">
        <v>982</v>
      </c>
    </row>
    <row r="101" spans="1:22" x14ac:dyDescent="0.25">
      <c r="A101" s="2">
        <v>8</v>
      </c>
      <c r="B101" s="2" t="s">
        <v>182</v>
      </c>
      <c r="C101" s="2" t="s">
        <v>894</v>
      </c>
      <c r="D101" s="2" t="s">
        <v>825</v>
      </c>
      <c r="E101" s="2" t="s">
        <v>885</v>
      </c>
      <c r="F101" s="2" t="s">
        <v>4</v>
      </c>
      <c r="G101" s="2" t="s">
        <v>6</v>
      </c>
      <c r="H101" s="2" t="s">
        <v>888</v>
      </c>
      <c r="I101" s="2">
        <v>1007</v>
      </c>
      <c r="J101" s="2" t="s">
        <v>717</v>
      </c>
      <c r="K101" s="2" t="s">
        <v>10</v>
      </c>
      <c r="L101" s="53">
        <v>40</v>
      </c>
      <c r="M101" s="55" t="s">
        <v>979</v>
      </c>
      <c r="N101" s="1" t="s">
        <v>814</v>
      </c>
      <c r="O101" s="2">
        <v>1800</v>
      </c>
      <c r="P101" s="2" t="s">
        <v>982</v>
      </c>
      <c r="Q101" s="2" t="s">
        <v>982</v>
      </c>
      <c r="R101" s="2" t="s">
        <v>982</v>
      </c>
      <c r="S101" s="2" t="s">
        <v>982</v>
      </c>
      <c r="T101" s="2" t="s">
        <v>982</v>
      </c>
      <c r="U101" s="2" t="s">
        <v>982</v>
      </c>
      <c r="V101" s="2" t="s">
        <v>982</v>
      </c>
    </row>
    <row r="102" spans="1:22" x14ac:dyDescent="0.25">
      <c r="A102" s="2">
        <v>8</v>
      </c>
      <c r="B102" s="2" t="s">
        <v>182</v>
      </c>
      <c r="C102" s="2" t="s">
        <v>894</v>
      </c>
      <c r="D102" s="2" t="s">
        <v>825</v>
      </c>
      <c r="E102" s="2" t="s">
        <v>885</v>
      </c>
      <c r="F102" s="2" t="s">
        <v>4</v>
      </c>
      <c r="G102" s="2" t="s">
        <v>6</v>
      </c>
      <c r="H102" s="2" t="s">
        <v>888</v>
      </c>
      <c r="I102" s="2">
        <v>1007</v>
      </c>
      <c r="J102" s="2" t="s">
        <v>717</v>
      </c>
      <c r="K102" s="2" t="s">
        <v>10</v>
      </c>
      <c r="L102" s="53">
        <v>40</v>
      </c>
      <c r="M102" s="55" t="s">
        <v>979</v>
      </c>
      <c r="N102" s="1" t="s">
        <v>814</v>
      </c>
      <c r="O102" s="2">
        <v>1800</v>
      </c>
      <c r="P102" s="2" t="s">
        <v>982</v>
      </c>
      <c r="Q102" s="2" t="s">
        <v>982</v>
      </c>
      <c r="R102" s="2" t="s">
        <v>982</v>
      </c>
      <c r="S102" s="2" t="s">
        <v>982</v>
      </c>
      <c r="T102" s="2" t="s">
        <v>982</v>
      </c>
      <c r="U102" s="2" t="s">
        <v>982</v>
      </c>
      <c r="V102" s="2" t="s">
        <v>982</v>
      </c>
    </row>
    <row r="103" spans="1:22" x14ac:dyDescent="0.25">
      <c r="A103" s="2">
        <v>8</v>
      </c>
      <c r="B103" s="2" t="s">
        <v>182</v>
      </c>
      <c r="C103" s="2" t="s">
        <v>894</v>
      </c>
      <c r="D103" s="2" t="s">
        <v>825</v>
      </c>
      <c r="E103" s="2" t="s">
        <v>885</v>
      </c>
      <c r="F103" s="2" t="s">
        <v>4</v>
      </c>
      <c r="G103" s="2" t="s">
        <v>6</v>
      </c>
      <c r="H103" s="2" t="s">
        <v>888</v>
      </c>
      <c r="I103" s="2">
        <v>1007</v>
      </c>
      <c r="J103" s="2" t="s">
        <v>717</v>
      </c>
      <c r="K103" s="2" t="s">
        <v>10</v>
      </c>
      <c r="L103" s="53">
        <v>40</v>
      </c>
      <c r="M103" s="55" t="s">
        <v>979</v>
      </c>
      <c r="N103" s="1" t="s">
        <v>814</v>
      </c>
      <c r="O103" s="2">
        <v>1800</v>
      </c>
      <c r="P103" s="2" t="s">
        <v>982</v>
      </c>
      <c r="Q103" s="2" t="s">
        <v>982</v>
      </c>
      <c r="R103" s="2" t="s">
        <v>982</v>
      </c>
      <c r="S103" s="2" t="s">
        <v>982</v>
      </c>
      <c r="T103" s="2" t="s">
        <v>982</v>
      </c>
      <c r="U103" s="2" t="s">
        <v>982</v>
      </c>
      <c r="V103" s="2" t="s">
        <v>982</v>
      </c>
    </row>
    <row r="104" spans="1:22" x14ac:dyDescent="0.25">
      <c r="A104" s="2">
        <v>8</v>
      </c>
      <c r="B104" s="2" t="s">
        <v>182</v>
      </c>
      <c r="C104" s="2" t="s">
        <v>894</v>
      </c>
      <c r="D104" s="2" t="s">
        <v>825</v>
      </c>
      <c r="E104" s="2" t="s">
        <v>885</v>
      </c>
      <c r="F104" s="2" t="s">
        <v>4</v>
      </c>
      <c r="G104" s="2" t="s">
        <v>6</v>
      </c>
      <c r="H104" s="2" t="s">
        <v>888</v>
      </c>
      <c r="I104" s="2">
        <v>1007</v>
      </c>
      <c r="J104" s="2" t="s">
        <v>717</v>
      </c>
      <c r="K104" s="2" t="s">
        <v>10</v>
      </c>
      <c r="L104" s="53">
        <v>40</v>
      </c>
      <c r="M104" s="55" t="s">
        <v>979</v>
      </c>
      <c r="N104" s="1" t="s">
        <v>814</v>
      </c>
      <c r="O104" s="2">
        <v>1800</v>
      </c>
      <c r="P104" s="2" t="s">
        <v>982</v>
      </c>
      <c r="Q104" s="2" t="s">
        <v>982</v>
      </c>
      <c r="R104" s="2" t="s">
        <v>982</v>
      </c>
      <c r="S104" s="2" t="s">
        <v>982</v>
      </c>
      <c r="T104" s="2" t="s">
        <v>982</v>
      </c>
      <c r="U104" s="2" t="s">
        <v>982</v>
      </c>
      <c r="V104" s="2" t="s">
        <v>982</v>
      </c>
    </row>
    <row r="105" spans="1:22" x14ac:dyDescent="0.25">
      <c r="A105" s="2">
        <v>8</v>
      </c>
      <c r="B105" s="2" t="s">
        <v>182</v>
      </c>
      <c r="C105" s="2" t="s">
        <v>894</v>
      </c>
      <c r="D105" s="2" t="s">
        <v>825</v>
      </c>
      <c r="E105" s="2" t="s">
        <v>885</v>
      </c>
      <c r="F105" s="2" t="s">
        <v>4</v>
      </c>
      <c r="G105" s="2" t="s">
        <v>6</v>
      </c>
      <c r="H105" s="2" t="s">
        <v>888</v>
      </c>
      <c r="I105" s="2">
        <v>1007</v>
      </c>
      <c r="J105" s="2" t="s">
        <v>717</v>
      </c>
      <c r="K105" s="2" t="s">
        <v>10</v>
      </c>
      <c r="L105" s="53">
        <v>40</v>
      </c>
      <c r="M105" s="55" t="s">
        <v>979</v>
      </c>
      <c r="N105" s="1" t="s">
        <v>814</v>
      </c>
      <c r="O105" s="2">
        <v>1800</v>
      </c>
      <c r="P105" s="2" t="s">
        <v>982</v>
      </c>
      <c r="Q105" s="2" t="s">
        <v>982</v>
      </c>
      <c r="R105" s="2" t="s">
        <v>982</v>
      </c>
      <c r="S105" s="2" t="s">
        <v>982</v>
      </c>
      <c r="T105" s="2" t="s">
        <v>982</v>
      </c>
      <c r="U105" s="2" t="s">
        <v>982</v>
      </c>
      <c r="V105" s="2" t="s">
        <v>982</v>
      </c>
    </row>
    <row r="106" spans="1:22" x14ac:dyDescent="0.25">
      <c r="A106" s="2">
        <v>8</v>
      </c>
      <c r="B106" s="2" t="s">
        <v>182</v>
      </c>
      <c r="C106" s="2" t="s">
        <v>894</v>
      </c>
      <c r="D106" s="2" t="s">
        <v>825</v>
      </c>
      <c r="E106" s="2" t="s">
        <v>885</v>
      </c>
      <c r="F106" s="2" t="s">
        <v>4</v>
      </c>
      <c r="G106" s="2" t="s">
        <v>6</v>
      </c>
      <c r="H106" s="2" t="s">
        <v>888</v>
      </c>
      <c r="I106" s="2">
        <v>1007</v>
      </c>
      <c r="J106" s="2" t="s">
        <v>717</v>
      </c>
      <c r="K106" s="2" t="s">
        <v>10</v>
      </c>
      <c r="L106" s="53">
        <v>40</v>
      </c>
      <c r="M106" s="55" t="s">
        <v>979</v>
      </c>
      <c r="N106" s="1" t="s">
        <v>814</v>
      </c>
      <c r="O106" s="2">
        <v>1800</v>
      </c>
      <c r="P106" s="2" t="s">
        <v>982</v>
      </c>
      <c r="Q106" s="2" t="s">
        <v>982</v>
      </c>
      <c r="R106" s="2" t="s">
        <v>982</v>
      </c>
      <c r="S106" s="2" t="s">
        <v>982</v>
      </c>
      <c r="T106" s="2" t="s">
        <v>982</v>
      </c>
      <c r="U106" s="2" t="s">
        <v>982</v>
      </c>
      <c r="V106" s="2" t="s">
        <v>982</v>
      </c>
    </row>
    <row r="107" spans="1:22" x14ac:dyDescent="0.25">
      <c r="A107" s="2">
        <v>8</v>
      </c>
      <c r="B107" s="2" t="s">
        <v>182</v>
      </c>
      <c r="C107" s="2" t="s">
        <v>894</v>
      </c>
      <c r="D107" s="2" t="s">
        <v>825</v>
      </c>
      <c r="E107" s="2" t="s">
        <v>885</v>
      </c>
      <c r="F107" s="2" t="s">
        <v>4</v>
      </c>
      <c r="G107" s="2" t="s">
        <v>6</v>
      </c>
      <c r="H107" s="2" t="s">
        <v>888</v>
      </c>
      <c r="I107" s="2">
        <v>1007</v>
      </c>
      <c r="J107" s="2" t="s">
        <v>717</v>
      </c>
      <c r="K107" s="2" t="s">
        <v>10</v>
      </c>
      <c r="L107" s="53">
        <v>40</v>
      </c>
      <c r="M107" s="55" t="s">
        <v>979</v>
      </c>
      <c r="N107" s="1" t="s">
        <v>814</v>
      </c>
      <c r="O107" s="2">
        <v>1800</v>
      </c>
      <c r="P107" s="2" t="s">
        <v>982</v>
      </c>
      <c r="Q107" s="2" t="s">
        <v>982</v>
      </c>
      <c r="R107" s="2" t="s">
        <v>982</v>
      </c>
      <c r="S107" s="2" t="s">
        <v>982</v>
      </c>
      <c r="T107" s="2" t="s">
        <v>982</v>
      </c>
      <c r="U107" s="2" t="s">
        <v>982</v>
      </c>
      <c r="V107" s="2" t="s">
        <v>982</v>
      </c>
    </row>
    <row r="108" spans="1:22" x14ac:dyDescent="0.25">
      <c r="A108" s="2">
        <v>8</v>
      </c>
      <c r="B108" s="2" t="s">
        <v>182</v>
      </c>
      <c r="C108" s="2" t="s">
        <v>894</v>
      </c>
      <c r="D108" s="2" t="s">
        <v>825</v>
      </c>
      <c r="E108" s="2" t="s">
        <v>885</v>
      </c>
      <c r="F108" s="2" t="s">
        <v>4</v>
      </c>
      <c r="G108" s="2" t="s">
        <v>6</v>
      </c>
      <c r="H108" s="2" t="s">
        <v>888</v>
      </c>
      <c r="I108" s="2">
        <v>1007</v>
      </c>
      <c r="J108" s="2" t="s">
        <v>717</v>
      </c>
      <c r="K108" s="2" t="s">
        <v>10</v>
      </c>
      <c r="L108" s="53">
        <v>40</v>
      </c>
      <c r="M108" s="55" t="s">
        <v>979</v>
      </c>
      <c r="N108" s="1" t="s">
        <v>814</v>
      </c>
      <c r="O108" s="2">
        <v>1800</v>
      </c>
      <c r="P108" s="2" t="s">
        <v>982</v>
      </c>
      <c r="Q108" s="2" t="s">
        <v>982</v>
      </c>
      <c r="R108" s="2" t="s">
        <v>982</v>
      </c>
      <c r="S108" s="2" t="s">
        <v>982</v>
      </c>
      <c r="T108" s="2" t="s">
        <v>982</v>
      </c>
      <c r="U108" s="2" t="s">
        <v>982</v>
      </c>
      <c r="V108" s="2" t="s">
        <v>982</v>
      </c>
    </row>
    <row r="109" spans="1:22" x14ac:dyDescent="0.25">
      <c r="A109" s="2">
        <v>8</v>
      </c>
      <c r="B109" s="2" t="s">
        <v>182</v>
      </c>
      <c r="C109" s="2" t="s">
        <v>894</v>
      </c>
      <c r="D109" s="2" t="s">
        <v>825</v>
      </c>
      <c r="E109" s="2" t="s">
        <v>885</v>
      </c>
      <c r="F109" s="2" t="s">
        <v>4</v>
      </c>
      <c r="G109" s="2" t="s">
        <v>6</v>
      </c>
      <c r="H109" s="2" t="s">
        <v>888</v>
      </c>
      <c r="I109" s="2">
        <v>1007</v>
      </c>
      <c r="J109" s="2" t="s">
        <v>717</v>
      </c>
      <c r="K109" s="2" t="s">
        <v>10</v>
      </c>
      <c r="L109" s="53">
        <v>40</v>
      </c>
      <c r="M109" s="55" t="s">
        <v>979</v>
      </c>
      <c r="N109" s="1" t="s">
        <v>814</v>
      </c>
      <c r="O109" s="2">
        <v>1800</v>
      </c>
      <c r="P109" s="2" t="s">
        <v>982</v>
      </c>
      <c r="Q109" s="2" t="s">
        <v>982</v>
      </c>
      <c r="R109" s="2" t="s">
        <v>982</v>
      </c>
      <c r="S109" s="2" t="s">
        <v>982</v>
      </c>
      <c r="T109" s="2" t="s">
        <v>982</v>
      </c>
      <c r="U109" s="2" t="s">
        <v>982</v>
      </c>
      <c r="V109" s="2" t="s">
        <v>982</v>
      </c>
    </row>
    <row r="110" spans="1:22" x14ac:dyDescent="0.25">
      <c r="A110" s="2">
        <v>8</v>
      </c>
      <c r="B110" s="2" t="s">
        <v>182</v>
      </c>
      <c r="C110" s="2" t="s">
        <v>894</v>
      </c>
      <c r="D110" s="2" t="s">
        <v>825</v>
      </c>
      <c r="E110" s="2" t="s">
        <v>885</v>
      </c>
      <c r="F110" s="2" t="s">
        <v>4</v>
      </c>
      <c r="G110" s="2" t="s">
        <v>6</v>
      </c>
      <c r="H110" s="2" t="s">
        <v>888</v>
      </c>
      <c r="I110" s="2">
        <v>1007</v>
      </c>
      <c r="J110" s="2" t="s">
        <v>717</v>
      </c>
      <c r="K110" s="2" t="s">
        <v>10</v>
      </c>
      <c r="L110" s="53">
        <v>40</v>
      </c>
      <c r="M110" s="55" t="s">
        <v>979</v>
      </c>
      <c r="N110" s="1" t="s">
        <v>814</v>
      </c>
      <c r="O110" s="2">
        <v>1800</v>
      </c>
      <c r="P110" s="2" t="s">
        <v>982</v>
      </c>
      <c r="Q110" s="2" t="s">
        <v>982</v>
      </c>
      <c r="R110" s="2" t="s">
        <v>982</v>
      </c>
      <c r="S110" s="2" t="s">
        <v>982</v>
      </c>
      <c r="T110" s="2" t="s">
        <v>982</v>
      </c>
      <c r="U110" s="2" t="s">
        <v>982</v>
      </c>
      <c r="V110" s="2" t="s">
        <v>982</v>
      </c>
    </row>
    <row r="111" spans="1:22" x14ac:dyDescent="0.25">
      <c r="A111" s="2" t="s">
        <v>982</v>
      </c>
      <c r="B111" s="2" t="s">
        <v>982</v>
      </c>
      <c r="C111" s="2" t="s">
        <v>982</v>
      </c>
      <c r="D111" s="2" t="s">
        <v>982</v>
      </c>
      <c r="E111" s="2" t="s">
        <v>982</v>
      </c>
      <c r="F111" s="2" t="s">
        <v>982</v>
      </c>
      <c r="G111" s="2" t="s">
        <v>982</v>
      </c>
      <c r="H111" s="2" t="s">
        <v>982</v>
      </c>
      <c r="I111" s="2" t="s">
        <v>982</v>
      </c>
      <c r="J111" s="2" t="s">
        <v>982</v>
      </c>
      <c r="K111" s="2" t="s">
        <v>982</v>
      </c>
      <c r="L111" s="2" t="s">
        <v>982</v>
      </c>
      <c r="M111" s="2" t="s">
        <v>982</v>
      </c>
      <c r="N111" s="2" t="s">
        <v>982</v>
      </c>
      <c r="O111" s="2" t="s">
        <v>982</v>
      </c>
      <c r="P111" s="2" t="s">
        <v>982</v>
      </c>
      <c r="Q111" s="2" t="s">
        <v>982</v>
      </c>
      <c r="R111" s="2" t="s">
        <v>982</v>
      </c>
      <c r="S111" s="2" t="s">
        <v>982</v>
      </c>
      <c r="T111" s="2" t="s">
        <v>982</v>
      </c>
      <c r="U111" s="2" t="s">
        <v>982</v>
      </c>
      <c r="V111" s="2" t="s">
        <v>982</v>
      </c>
    </row>
    <row r="112" spans="1:22" x14ac:dyDescent="0.25">
      <c r="A112" s="2">
        <v>9</v>
      </c>
      <c r="B112" s="2" t="s">
        <v>182</v>
      </c>
      <c r="C112" s="2" t="s">
        <v>894</v>
      </c>
      <c r="D112" s="2" t="s">
        <v>825</v>
      </c>
      <c r="E112" s="2" t="s">
        <v>885</v>
      </c>
      <c r="F112" s="2" t="s">
        <v>4</v>
      </c>
      <c r="G112" s="2" t="s">
        <v>6</v>
      </c>
      <c r="H112" s="2" t="s">
        <v>888</v>
      </c>
      <c r="I112" s="2">
        <v>1008</v>
      </c>
      <c r="J112" s="2" t="s">
        <v>718</v>
      </c>
      <c r="K112" s="2" t="s">
        <v>11</v>
      </c>
      <c r="L112" s="53">
        <v>25</v>
      </c>
      <c r="M112" s="55" t="s">
        <v>979</v>
      </c>
      <c r="N112" s="1" t="s">
        <v>814</v>
      </c>
      <c r="O112" s="2">
        <v>3200</v>
      </c>
      <c r="P112" s="2" t="s">
        <v>982</v>
      </c>
      <c r="Q112" s="2" t="s">
        <v>982</v>
      </c>
      <c r="R112" s="2" t="s">
        <v>982</v>
      </c>
      <c r="S112" s="2" t="s">
        <v>288</v>
      </c>
      <c r="T112" s="2" t="s">
        <v>984</v>
      </c>
      <c r="U112" s="2">
        <v>9900</v>
      </c>
      <c r="V112" s="2" t="s">
        <v>982</v>
      </c>
    </row>
    <row r="113" spans="1:22" x14ac:dyDescent="0.25">
      <c r="A113" s="2">
        <v>9</v>
      </c>
      <c r="B113" s="2" t="s">
        <v>182</v>
      </c>
      <c r="C113" s="2" t="s">
        <v>894</v>
      </c>
      <c r="D113" s="2" t="s">
        <v>825</v>
      </c>
      <c r="E113" s="2" t="s">
        <v>885</v>
      </c>
      <c r="F113" s="2" t="s">
        <v>4</v>
      </c>
      <c r="G113" s="2" t="s">
        <v>6</v>
      </c>
      <c r="H113" s="2" t="s">
        <v>888</v>
      </c>
      <c r="I113" s="2">
        <v>1008</v>
      </c>
      <c r="J113" s="2" t="s">
        <v>718</v>
      </c>
      <c r="K113" s="2" t="s">
        <v>11</v>
      </c>
      <c r="L113" s="53">
        <v>25</v>
      </c>
      <c r="M113" s="55" t="s">
        <v>979</v>
      </c>
      <c r="N113" s="1" t="s">
        <v>814</v>
      </c>
      <c r="O113" s="2">
        <v>3200</v>
      </c>
      <c r="P113" s="2" t="s">
        <v>982</v>
      </c>
      <c r="Q113" s="2" t="s">
        <v>982</v>
      </c>
      <c r="R113" s="2" t="s">
        <v>982</v>
      </c>
      <c r="S113" s="2" t="s">
        <v>270</v>
      </c>
      <c r="T113" s="2" t="s">
        <v>984</v>
      </c>
      <c r="U113" s="2">
        <v>9900</v>
      </c>
      <c r="V113" s="2" t="s">
        <v>982</v>
      </c>
    </row>
    <row r="114" spans="1:22" x14ac:dyDescent="0.25">
      <c r="A114" s="2">
        <v>9</v>
      </c>
      <c r="B114" s="2" t="s">
        <v>182</v>
      </c>
      <c r="C114" s="2" t="s">
        <v>894</v>
      </c>
      <c r="D114" s="2" t="s">
        <v>825</v>
      </c>
      <c r="E114" s="2" t="s">
        <v>885</v>
      </c>
      <c r="F114" s="2" t="s">
        <v>4</v>
      </c>
      <c r="G114" s="2" t="s">
        <v>6</v>
      </c>
      <c r="H114" s="2" t="s">
        <v>888</v>
      </c>
      <c r="I114" s="2">
        <v>1008</v>
      </c>
      <c r="J114" s="2" t="s">
        <v>718</v>
      </c>
      <c r="K114" s="2" t="s">
        <v>11</v>
      </c>
      <c r="L114" s="53">
        <v>25</v>
      </c>
      <c r="M114" s="55" t="s">
        <v>979</v>
      </c>
      <c r="N114" s="1" t="s">
        <v>814</v>
      </c>
      <c r="O114" s="2">
        <v>3200</v>
      </c>
      <c r="P114" s="2" t="s">
        <v>982</v>
      </c>
      <c r="Q114" s="2" t="s">
        <v>982</v>
      </c>
      <c r="R114" s="2" t="s">
        <v>982</v>
      </c>
      <c r="S114" s="2" t="s">
        <v>282</v>
      </c>
      <c r="T114" s="2" t="s">
        <v>984</v>
      </c>
      <c r="U114" s="2">
        <v>9900</v>
      </c>
      <c r="V114" s="2" t="s">
        <v>982</v>
      </c>
    </row>
    <row r="115" spans="1:22" x14ac:dyDescent="0.25">
      <c r="A115" s="2">
        <v>9</v>
      </c>
      <c r="B115" s="2" t="s">
        <v>182</v>
      </c>
      <c r="C115" s="2" t="s">
        <v>894</v>
      </c>
      <c r="D115" s="2" t="s">
        <v>825</v>
      </c>
      <c r="E115" s="2" t="s">
        <v>885</v>
      </c>
      <c r="F115" s="2" t="s">
        <v>4</v>
      </c>
      <c r="G115" s="2" t="s">
        <v>6</v>
      </c>
      <c r="H115" s="2" t="s">
        <v>888</v>
      </c>
      <c r="I115" s="2">
        <v>1008</v>
      </c>
      <c r="J115" s="2" t="s">
        <v>718</v>
      </c>
      <c r="K115" s="2" t="s">
        <v>11</v>
      </c>
      <c r="L115" s="53">
        <v>25</v>
      </c>
      <c r="M115" s="55" t="s">
        <v>979</v>
      </c>
      <c r="N115" s="1" t="s">
        <v>814</v>
      </c>
      <c r="O115" s="2">
        <v>3200</v>
      </c>
      <c r="P115" s="2" t="s">
        <v>982</v>
      </c>
      <c r="Q115" s="2" t="s">
        <v>982</v>
      </c>
      <c r="R115" s="2" t="s">
        <v>982</v>
      </c>
      <c r="S115" s="2" t="s">
        <v>289</v>
      </c>
      <c r="T115" s="2" t="s">
        <v>984</v>
      </c>
      <c r="U115" s="2">
        <v>4950</v>
      </c>
      <c r="V115" s="2" t="s">
        <v>982</v>
      </c>
    </row>
    <row r="116" spans="1:22" x14ac:dyDescent="0.25">
      <c r="A116" s="2">
        <v>9</v>
      </c>
      <c r="B116" s="2" t="s">
        <v>182</v>
      </c>
      <c r="C116" s="2" t="s">
        <v>894</v>
      </c>
      <c r="D116" s="2" t="s">
        <v>825</v>
      </c>
      <c r="E116" s="2" t="s">
        <v>885</v>
      </c>
      <c r="F116" s="2" t="s">
        <v>4</v>
      </c>
      <c r="G116" s="2" t="s">
        <v>6</v>
      </c>
      <c r="H116" s="2" t="s">
        <v>888</v>
      </c>
      <c r="I116" s="2">
        <v>1008</v>
      </c>
      <c r="J116" s="2" t="s">
        <v>718</v>
      </c>
      <c r="K116" s="2" t="s">
        <v>11</v>
      </c>
      <c r="L116" s="53">
        <v>25</v>
      </c>
      <c r="M116" s="55" t="s">
        <v>979</v>
      </c>
      <c r="N116" s="1" t="s">
        <v>814</v>
      </c>
      <c r="O116" s="2">
        <v>3200</v>
      </c>
      <c r="P116" s="2" t="s">
        <v>982</v>
      </c>
      <c r="Q116" s="2" t="s">
        <v>982</v>
      </c>
      <c r="R116" s="2" t="s">
        <v>982</v>
      </c>
      <c r="S116" s="2" t="s">
        <v>290</v>
      </c>
      <c r="T116" s="2" t="s">
        <v>984</v>
      </c>
      <c r="U116" s="2">
        <v>3960</v>
      </c>
      <c r="V116" s="2" t="s">
        <v>982</v>
      </c>
    </row>
    <row r="117" spans="1:22" x14ac:dyDescent="0.25">
      <c r="A117" s="2">
        <v>9</v>
      </c>
      <c r="B117" s="2" t="s">
        <v>182</v>
      </c>
      <c r="C117" s="2" t="s">
        <v>894</v>
      </c>
      <c r="D117" s="2" t="s">
        <v>825</v>
      </c>
      <c r="E117" s="2" t="s">
        <v>885</v>
      </c>
      <c r="F117" s="2" t="s">
        <v>4</v>
      </c>
      <c r="G117" s="2" t="s">
        <v>6</v>
      </c>
      <c r="H117" s="2" t="s">
        <v>888</v>
      </c>
      <c r="I117" s="2">
        <v>1008</v>
      </c>
      <c r="J117" s="2" t="s">
        <v>718</v>
      </c>
      <c r="K117" s="2" t="s">
        <v>11</v>
      </c>
      <c r="L117" s="53">
        <v>25</v>
      </c>
      <c r="M117" s="55" t="s">
        <v>979</v>
      </c>
      <c r="N117" s="1" t="s">
        <v>814</v>
      </c>
      <c r="O117" s="2">
        <v>3200</v>
      </c>
      <c r="P117" s="2" t="s">
        <v>982</v>
      </c>
      <c r="Q117" s="2" t="s">
        <v>982</v>
      </c>
      <c r="R117" s="2" t="s">
        <v>982</v>
      </c>
      <c r="S117" s="2" t="s">
        <v>272</v>
      </c>
      <c r="T117" s="2" t="s">
        <v>984</v>
      </c>
      <c r="U117" s="2">
        <v>1485</v>
      </c>
      <c r="V117" s="2" t="s">
        <v>982</v>
      </c>
    </row>
    <row r="118" spans="1:22" x14ac:dyDescent="0.25">
      <c r="A118" s="2">
        <v>9</v>
      </c>
      <c r="B118" s="2" t="s">
        <v>182</v>
      </c>
      <c r="C118" s="2" t="s">
        <v>894</v>
      </c>
      <c r="D118" s="2" t="s">
        <v>825</v>
      </c>
      <c r="E118" s="2" t="s">
        <v>885</v>
      </c>
      <c r="F118" s="2" t="s">
        <v>4</v>
      </c>
      <c r="G118" s="2" t="s">
        <v>6</v>
      </c>
      <c r="H118" s="2" t="s">
        <v>888</v>
      </c>
      <c r="I118" s="2">
        <v>1008</v>
      </c>
      <c r="J118" s="2" t="s">
        <v>718</v>
      </c>
      <c r="K118" s="2" t="s">
        <v>11</v>
      </c>
      <c r="L118" s="53">
        <v>25</v>
      </c>
      <c r="M118" s="55" t="s">
        <v>979</v>
      </c>
      <c r="N118" s="1" t="s">
        <v>814</v>
      </c>
      <c r="O118" s="2">
        <v>3200</v>
      </c>
      <c r="P118" s="2" t="s">
        <v>982</v>
      </c>
      <c r="Q118" s="2" t="s">
        <v>982</v>
      </c>
      <c r="R118" s="2" t="s">
        <v>982</v>
      </c>
      <c r="S118" s="2" t="s">
        <v>276</v>
      </c>
      <c r="T118" s="2" t="s">
        <v>983</v>
      </c>
      <c r="U118" s="2">
        <v>240</v>
      </c>
      <c r="V118" s="2" t="s">
        <v>982</v>
      </c>
    </row>
    <row r="119" spans="1:22" x14ac:dyDescent="0.25">
      <c r="A119" s="2">
        <v>9</v>
      </c>
      <c r="B119" s="2" t="s">
        <v>182</v>
      </c>
      <c r="C119" s="2" t="s">
        <v>894</v>
      </c>
      <c r="D119" s="2" t="s">
        <v>825</v>
      </c>
      <c r="E119" s="2" t="s">
        <v>885</v>
      </c>
      <c r="F119" s="2" t="s">
        <v>4</v>
      </c>
      <c r="G119" s="2" t="s">
        <v>6</v>
      </c>
      <c r="H119" s="2" t="s">
        <v>888</v>
      </c>
      <c r="I119" s="2">
        <v>1008</v>
      </c>
      <c r="J119" s="2" t="s">
        <v>718</v>
      </c>
      <c r="K119" s="2" t="s">
        <v>11</v>
      </c>
      <c r="L119" s="53">
        <v>25</v>
      </c>
      <c r="M119" s="55" t="s">
        <v>979</v>
      </c>
      <c r="N119" s="1" t="s">
        <v>814</v>
      </c>
      <c r="O119" s="2">
        <v>3200</v>
      </c>
      <c r="P119" s="2" t="s">
        <v>982</v>
      </c>
      <c r="Q119" s="2" t="s">
        <v>982</v>
      </c>
      <c r="R119" s="2" t="s">
        <v>982</v>
      </c>
      <c r="S119" s="2" t="s">
        <v>291</v>
      </c>
      <c r="T119" s="2" t="s">
        <v>983</v>
      </c>
      <c r="U119" s="2">
        <v>100</v>
      </c>
      <c r="V119" s="2" t="s">
        <v>982</v>
      </c>
    </row>
    <row r="120" spans="1:22" x14ac:dyDescent="0.25">
      <c r="A120" s="2">
        <v>9</v>
      </c>
      <c r="B120" s="2" t="s">
        <v>182</v>
      </c>
      <c r="C120" s="2" t="s">
        <v>894</v>
      </c>
      <c r="D120" s="2" t="s">
        <v>825</v>
      </c>
      <c r="E120" s="2" t="s">
        <v>885</v>
      </c>
      <c r="F120" s="2" t="s">
        <v>4</v>
      </c>
      <c r="G120" s="2" t="s">
        <v>6</v>
      </c>
      <c r="H120" s="2" t="s">
        <v>888</v>
      </c>
      <c r="I120" s="2">
        <v>1008</v>
      </c>
      <c r="J120" s="2" t="s">
        <v>718</v>
      </c>
      <c r="K120" s="2" t="s">
        <v>11</v>
      </c>
      <c r="L120" s="53">
        <v>25</v>
      </c>
      <c r="M120" s="55" t="s">
        <v>979</v>
      </c>
      <c r="N120" s="1" t="s">
        <v>814</v>
      </c>
      <c r="O120" s="2">
        <v>3200</v>
      </c>
      <c r="P120" s="2" t="s">
        <v>982</v>
      </c>
      <c r="Q120" s="2" t="s">
        <v>982</v>
      </c>
      <c r="R120" s="2" t="s">
        <v>982</v>
      </c>
      <c r="S120" s="2" t="s">
        <v>278</v>
      </c>
      <c r="T120" s="2" t="s">
        <v>983</v>
      </c>
      <c r="U120" s="2">
        <v>75</v>
      </c>
      <c r="V120" s="2" t="s">
        <v>982</v>
      </c>
    </row>
    <row r="121" spans="1:22" x14ac:dyDescent="0.25">
      <c r="A121" s="2">
        <v>9</v>
      </c>
      <c r="B121" s="2" t="s">
        <v>182</v>
      </c>
      <c r="C121" s="2" t="s">
        <v>894</v>
      </c>
      <c r="D121" s="2" t="s">
        <v>825</v>
      </c>
      <c r="E121" s="2" t="s">
        <v>885</v>
      </c>
      <c r="F121" s="2" t="s">
        <v>4</v>
      </c>
      <c r="G121" s="2" t="s">
        <v>6</v>
      </c>
      <c r="H121" s="2" t="s">
        <v>888</v>
      </c>
      <c r="I121" s="2">
        <v>1008</v>
      </c>
      <c r="J121" s="2" t="s">
        <v>718</v>
      </c>
      <c r="K121" s="2" t="s">
        <v>11</v>
      </c>
      <c r="L121" s="53">
        <v>25</v>
      </c>
      <c r="M121" s="55" t="s">
        <v>979</v>
      </c>
      <c r="N121" s="1" t="s">
        <v>814</v>
      </c>
      <c r="O121" s="2">
        <v>3200</v>
      </c>
      <c r="P121" s="2" t="s">
        <v>982</v>
      </c>
      <c r="Q121" s="2" t="s">
        <v>982</v>
      </c>
      <c r="R121" s="2" t="s">
        <v>982</v>
      </c>
      <c r="S121" s="2" t="s">
        <v>292</v>
      </c>
      <c r="T121" s="2" t="s">
        <v>983</v>
      </c>
      <c r="U121" s="2">
        <v>2180</v>
      </c>
      <c r="V121" s="2" t="s">
        <v>982</v>
      </c>
    </row>
    <row r="122" spans="1:22" x14ac:dyDescent="0.25">
      <c r="A122" s="2">
        <v>9</v>
      </c>
      <c r="B122" s="2" t="s">
        <v>182</v>
      </c>
      <c r="C122" s="2" t="s">
        <v>894</v>
      </c>
      <c r="D122" s="2" t="s">
        <v>825</v>
      </c>
      <c r="E122" s="2" t="s">
        <v>885</v>
      </c>
      <c r="F122" s="2" t="s">
        <v>4</v>
      </c>
      <c r="G122" s="2" t="s">
        <v>6</v>
      </c>
      <c r="H122" s="2" t="s">
        <v>888</v>
      </c>
      <c r="I122" s="2">
        <v>1008</v>
      </c>
      <c r="J122" s="2" t="s">
        <v>718</v>
      </c>
      <c r="K122" s="2" t="s">
        <v>11</v>
      </c>
      <c r="L122" s="53">
        <v>25</v>
      </c>
      <c r="M122" s="55" t="s">
        <v>979</v>
      </c>
      <c r="N122" s="1" t="s">
        <v>814</v>
      </c>
      <c r="O122" s="2">
        <v>3200</v>
      </c>
      <c r="P122" s="2" t="s">
        <v>982</v>
      </c>
      <c r="Q122" s="2" t="s">
        <v>982</v>
      </c>
      <c r="R122" s="2" t="s">
        <v>982</v>
      </c>
      <c r="S122" s="2" t="s">
        <v>982</v>
      </c>
      <c r="T122" s="2" t="s">
        <v>982</v>
      </c>
      <c r="U122" s="2" t="s">
        <v>982</v>
      </c>
      <c r="V122" s="2" t="s">
        <v>982</v>
      </c>
    </row>
    <row r="123" spans="1:22" x14ac:dyDescent="0.25">
      <c r="A123" s="2">
        <v>9</v>
      </c>
      <c r="B123" s="2" t="s">
        <v>182</v>
      </c>
      <c r="C123" s="2" t="s">
        <v>894</v>
      </c>
      <c r="D123" s="2" t="s">
        <v>825</v>
      </c>
      <c r="E123" s="2" t="s">
        <v>885</v>
      </c>
      <c r="F123" s="2" t="s">
        <v>4</v>
      </c>
      <c r="G123" s="2" t="s">
        <v>6</v>
      </c>
      <c r="H123" s="2" t="s">
        <v>888</v>
      </c>
      <c r="I123" s="2">
        <v>1008</v>
      </c>
      <c r="J123" s="2" t="s">
        <v>718</v>
      </c>
      <c r="K123" s="2" t="s">
        <v>11</v>
      </c>
      <c r="L123" s="53">
        <v>25</v>
      </c>
      <c r="M123" s="55" t="s">
        <v>979</v>
      </c>
      <c r="N123" s="1" t="s">
        <v>814</v>
      </c>
      <c r="O123" s="2">
        <v>3200</v>
      </c>
      <c r="P123" s="2" t="s">
        <v>982</v>
      </c>
      <c r="Q123" s="2" t="s">
        <v>982</v>
      </c>
      <c r="R123" s="2" t="s">
        <v>982</v>
      </c>
      <c r="S123" s="2" t="s">
        <v>982</v>
      </c>
      <c r="T123" s="2" t="s">
        <v>982</v>
      </c>
      <c r="U123" s="2" t="s">
        <v>982</v>
      </c>
      <c r="V123" s="2" t="s">
        <v>982</v>
      </c>
    </row>
    <row r="124" spans="1:22" x14ac:dyDescent="0.25">
      <c r="A124" s="2">
        <v>9</v>
      </c>
      <c r="B124" s="2" t="s">
        <v>182</v>
      </c>
      <c r="C124" s="2" t="s">
        <v>894</v>
      </c>
      <c r="D124" s="2" t="s">
        <v>825</v>
      </c>
      <c r="E124" s="2" t="s">
        <v>885</v>
      </c>
      <c r="F124" s="2" t="s">
        <v>4</v>
      </c>
      <c r="G124" s="2" t="s">
        <v>6</v>
      </c>
      <c r="H124" s="2" t="s">
        <v>888</v>
      </c>
      <c r="I124" s="2">
        <v>1008</v>
      </c>
      <c r="J124" s="2" t="s">
        <v>718</v>
      </c>
      <c r="K124" s="2" t="s">
        <v>11</v>
      </c>
      <c r="L124" s="53">
        <v>25</v>
      </c>
      <c r="M124" s="55" t="s">
        <v>979</v>
      </c>
      <c r="N124" s="1" t="s">
        <v>814</v>
      </c>
      <c r="O124" s="2">
        <v>3200</v>
      </c>
      <c r="P124" s="2" t="s">
        <v>982</v>
      </c>
      <c r="Q124" s="2" t="s">
        <v>982</v>
      </c>
      <c r="R124" s="2" t="s">
        <v>982</v>
      </c>
      <c r="S124" s="2" t="s">
        <v>982</v>
      </c>
      <c r="T124" s="2" t="s">
        <v>982</v>
      </c>
      <c r="U124" s="2" t="s">
        <v>982</v>
      </c>
      <c r="V124" s="2" t="s">
        <v>982</v>
      </c>
    </row>
    <row r="125" spans="1:22" x14ac:dyDescent="0.25">
      <c r="A125" s="2">
        <v>9</v>
      </c>
      <c r="B125" s="2" t="s">
        <v>182</v>
      </c>
      <c r="C125" s="2" t="s">
        <v>894</v>
      </c>
      <c r="D125" s="2" t="s">
        <v>825</v>
      </c>
      <c r="E125" s="2" t="s">
        <v>885</v>
      </c>
      <c r="F125" s="2" t="s">
        <v>4</v>
      </c>
      <c r="G125" s="2" t="s">
        <v>6</v>
      </c>
      <c r="H125" s="2" t="s">
        <v>888</v>
      </c>
      <c r="I125" s="2">
        <v>1008</v>
      </c>
      <c r="J125" s="2" t="s">
        <v>718</v>
      </c>
      <c r="K125" s="2" t="s">
        <v>11</v>
      </c>
      <c r="L125" s="53">
        <v>25</v>
      </c>
      <c r="M125" s="55" t="s">
        <v>979</v>
      </c>
      <c r="N125" s="1" t="s">
        <v>814</v>
      </c>
      <c r="O125" s="2">
        <v>3200</v>
      </c>
      <c r="P125" s="2" t="s">
        <v>982</v>
      </c>
      <c r="Q125" s="2" t="s">
        <v>982</v>
      </c>
      <c r="R125" s="2" t="s">
        <v>982</v>
      </c>
      <c r="S125" s="2" t="s">
        <v>982</v>
      </c>
      <c r="T125" s="2" t="s">
        <v>982</v>
      </c>
      <c r="U125" s="2" t="s">
        <v>982</v>
      </c>
      <c r="V125" s="2" t="s">
        <v>982</v>
      </c>
    </row>
    <row r="126" spans="1:22" x14ac:dyDescent="0.25">
      <c r="A126" s="2">
        <v>9</v>
      </c>
      <c r="B126" s="2" t="s">
        <v>182</v>
      </c>
      <c r="C126" s="2" t="s">
        <v>894</v>
      </c>
      <c r="D126" s="2" t="s">
        <v>825</v>
      </c>
      <c r="E126" s="2" t="s">
        <v>885</v>
      </c>
      <c r="F126" s="2" t="s">
        <v>4</v>
      </c>
      <c r="G126" s="2" t="s">
        <v>6</v>
      </c>
      <c r="H126" s="2" t="s">
        <v>888</v>
      </c>
      <c r="I126" s="2">
        <v>1008</v>
      </c>
      <c r="J126" s="2" t="s">
        <v>718</v>
      </c>
      <c r="K126" s="2" t="s">
        <v>11</v>
      </c>
      <c r="L126" s="53">
        <v>25</v>
      </c>
      <c r="M126" s="55" t="s">
        <v>979</v>
      </c>
      <c r="N126" s="1" t="s">
        <v>814</v>
      </c>
      <c r="O126" s="2">
        <v>3200</v>
      </c>
      <c r="P126" s="2" t="s">
        <v>982</v>
      </c>
      <c r="Q126" s="2" t="s">
        <v>982</v>
      </c>
      <c r="R126" s="2" t="s">
        <v>982</v>
      </c>
      <c r="S126" s="2" t="s">
        <v>982</v>
      </c>
      <c r="T126" s="2" t="s">
        <v>982</v>
      </c>
      <c r="U126" s="2" t="s">
        <v>982</v>
      </c>
      <c r="V126" s="2" t="s">
        <v>982</v>
      </c>
    </row>
    <row r="127" spans="1:22" x14ac:dyDescent="0.25">
      <c r="A127" s="2">
        <v>9</v>
      </c>
      <c r="B127" s="2" t="s">
        <v>182</v>
      </c>
      <c r="C127" s="2" t="s">
        <v>894</v>
      </c>
      <c r="D127" s="2" t="s">
        <v>825</v>
      </c>
      <c r="E127" s="2" t="s">
        <v>885</v>
      </c>
      <c r="F127" s="2" t="s">
        <v>4</v>
      </c>
      <c r="G127" s="2" t="s">
        <v>6</v>
      </c>
      <c r="H127" s="2" t="s">
        <v>888</v>
      </c>
      <c r="I127" s="2">
        <v>1008</v>
      </c>
      <c r="J127" s="2" t="s">
        <v>718</v>
      </c>
      <c r="K127" s="2" t="s">
        <v>11</v>
      </c>
      <c r="L127" s="53">
        <v>25</v>
      </c>
      <c r="M127" s="55" t="s">
        <v>979</v>
      </c>
      <c r="N127" s="1" t="s">
        <v>814</v>
      </c>
      <c r="O127" s="2">
        <v>3200</v>
      </c>
      <c r="P127" s="2" t="s">
        <v>982</v>
      </c>
      <c r="Q127" s="2" t="s">
        <v>982</v>
      </c>
      <c r="R127" s="2" t="s">
        <v>982</v>
      </c>
      <c r="S127" s="2" t="s">
        <v>982</v>
      </c>
      <c r="T127" s="2" t="s">
        <v>982</v>
      </c>
      <c r="U127" s="2" t="s">
        <v>982</v>
      </c>
      <c r="V127" s="2" t="s">
        <v>982</v>
      </c>
    </row>
    <row r="128" spans="1:22" x14ac:dyDescent="0.25">
      <c r="A128" s="2">
        <v>9</v>
      </c>
      <c r="B128" s="2" t="s">
        <v>182</v>
      </c>
      <c r="C128" s="2" t="s">
        <v>894</v>
      </c>
      <c r="D128" s="2" t="s">
        <v>825</v>
      </c>
      <c r="E128" s="2" t="s">
        <v>885</v>
      </c>
      <c r="F128" s="2" t="s">
        <v>4</v>
      </c>
      <c r="G128" s="2" t="s">
        <v>6</v>
      </c>
      <c r="H128" s="2" t="s">
        <v>888</v>
      </c>
      <c r="I128" s="2">
        <v>1008</v>
      </c>
      <c r="J128" s="2" t="s">
        <v>718</v>
      </c>
      <c r="K128" s="2" t="s">
        <v>11</v>
      </c>
      <c r="L128" s="53">
        <v>25</v>
      </c>
      <c r="M128" s="55" t="s">
        <v>979</v>
      </c>
      <c r="N128" s="1" t="s">
        <v>814</v>
      </c>
      <c r="O128" s="2">
        <v>3200</v>
      </c>
      <c r="P128" s="2" t="s">
        <v>982</v>
      </c>
      <c r="Q128" s="2" t="s">
        <v>982</v>
      </c>
      <c r="R128" s="2" t="s">
        <v>982</v>
      </c>
      <c r="S128" s="2" t="s">
        <v>982</v>
      </c>
      <c r="T128" s="2" t="s">
        <v>982</v>
      </c>
      <c r="U128" s="2" t="s">
        <v>982</v>
      </c>
      <c r="V128" s="2" t="s">
        <v>982</v>
      </c>
    </row>
    <row r="129" spans="1:22" x14ac:dyDescent="0.25">
      <c r="A129" s="2">
        <v>9</v>
      </c>
      <c r="B129" s="2" t="s">
        <v>182</v>
      </c>
      <c r="C129" s="2" t="s">
        <v>894</v>
      </c>
      <c r="D129" s="2" t="s">
        <v>825</v>
      </c>
      <c r="E129" s="2" t="s">
        <v>885</v>
      </c>
      <c r="F129" s="2" t="s">
        <v>4</v>
      </c>
      <c r="G129" s="2" t="s">
        <v>6</v>
      </c>
      <c r="H129" s="2" t="s">
        <v>888</v>
      </c>
      <c r="I129" s="2">
        <v>1008</v>
      </c>
      <c r="J129" s="2" t="s">
        <v>718</v>
      </c>
      <c r="K129" s="2" t="s">
        <v>11</v>
      </c>
      <c r="L129" s="53">
        <v>25</v>
      </c>
      <c r="M129" s="55" t="s">
        <v>979</v>
      </c>
      <c r="N129" s="1" t="s">
        <v>814</v>
      </c>
      <c r="O129" s="2">
        <v>3200</v>
      </c>
      <c r="P129" s="2" t="s">
        <v>982</v>
      </c>
      <c r="Q129" s="2" t="s">
        <v>982</v>
      </c>
      <c r="R129" s="2" t="s">
        <v>982</v>
      </c>
      <c r="S129" s="2" t="s">
        <v>982</v>
      </c>
      <c r="T129" s="2" t="s">
        <v>982</v>
      </c>
      <c r="U129" s="2" t="s">
        <v>982</v>
      </c>
      <c r="V129" s="2" t="s">
        <v>982</v>
      </c>
    </row>
    <row r="130" spans="1:22" x14ac:dyDescent="0.25">
      <c r="A130" s="2">
        <v>9</v>
      </c>
      <c r="B130" s="2" t="s">
        <v>182</v>
      </c>
      <c r="C130" s="2" t="s">
        <v>894</v>
      </c>
      <c r="D130" s="2" t="s">
        <v>825</v>
      </c>
      <c r="E130" s="2" t="s">
        <v>885</v>
      </c>
      <c r="F130" s="2" t="s">
        <v>4</v>
      </c>
      <c r="G130" s="2" t="s">
        <v>6</v>
      </c>
      <c r="H130" s="2" t="s">
        <v>888</v>
      </c>
      <c r="I130" s="2">
        <v>1008</v>
      </c>
      <c r="J130" s="2" t="s">
        <v>718</v>
      </c>
      <c r="K130" s="2" t="s">
        <v>11</v>
      </c>
      <c r="L130" s="53">
        <v>25</v>
      </c>
      <c r="M130" s="55" t="s">
        <v>979</v>
      </c>
      <c r="N130" s="1" t="s">
        <v>814</v>
      </c>
      <c r="O130" s="2">
        <v>3200</v>
      </c>
      <c r="P130" s="2" t="s">
        <v>982</v>
      </c>
      <c r="Q130" s="2" t="s">
        <v>982</v>
      </c>
      <c r="R130" s="2" t="s">
        <v>982</v>
      </c>
      <c r="S130" s="2" t="s">
        <v>982</v>
      </c>
      <c r="T130" s="2" t="s">
        <v>982</v>
      </c>
      <c r="U130" s="2" t="s">
        <v>982</v>
      </c>
      <c r="V130" s="2" t="s">
        <v>982</v>
      </c>
    </row>
    <row r="131" spans="1:22" x14ac:dyDescent="0.25">
      <c r="A131" s="2">
        <v>9</v>
      </c>
      <c r="B131" s="2" t="s">
        <v>182</v>
      </c>
      <c r="C131" s="2" t="s">
        <v>894</v>
      </c>
      <c r="D131" s="2" t="s">
        <v>825</v>
      </c>
      <c r="E131" s="2" t="s">
        <v>885</v>
      </c>
      <c r="F131" s="2" t="s">
        <v>4</v>
      </c>
      <c r="G131" s="2" t="s">
        <v>6</v>
      </c>
      <c r="H131" s="2" t="s">
        <v>888</v>
      </c>
      <c r="I131" s="2">
        <v>1008</v>
      </c>
      <c r="J131" s="2" t="s">
        <v>718</v>
      </c>
      <c r="K131" s="2" t="s">
        <v>11</v>
      </c>
      <c r="L131" s="53">
        <v>25</v>
      </c>
      <c r="M131" s="55" t="s">
        <v>979</v>
      </c>
      <c r="N131" s="1" t="s">
        <v>814</v>
      </c>
      <c r="O131" s="2">
        <v>3200</v>
      </c>
      <c r="P131" s="2" t="s">
        <v>982</v>
      </c>
      <c r="Q131" s="2" t="s">
        <v>982</v>
      </c>
      <c r="R131" s="2" t="s">
        <v>982</v>
      </c>
      <c r="S131" s="2" t="s">
        <v>982</v>
      </c>
      <c r="T131" s="2" t="s">
        <v>982</v>
      </c>
      <c r="U131" s="2" t="s">
        <v>982</v>
      </c>
      <c r="V131" s="2" t="s">
        <v>982</v>
      </c>
    </row>
    <row r="132" spans="1:22" x14ac:dyDescent="0.25">
      <c r="A132" s="2" t="s">
        <v>982</v>
      </c>
      <c r="B132" s="2" t="s">
        <v>982</v>
      </c>
      <c r="C132" s="2" t="s">
        <v>982</v>
      </c>
      <c r="D132" s="2" t="s">
        <v>982</v>
      </c>
      <c r="E132" s="2" t="s">
        <v>982</v>
      </c>
      <c r="F132" s="2" t="s">
        <v>982</v>
      </c>
      <c r="G132" s="2" t="s">
        <v>982</v>
      </c>
      <c r="H132" s="2" t="s">
        <v>982</v>
      </c>
      <c r="I132" s="2" t="s">
        <v>982</v>
      </c>
      <c r="J132" s="2" t="s">
        <v>982</v>
      </c>
      <c r="K132" s="2" t="s">
        <v>982</v>
      </c>
      <c r="L132" s="2" t="s">
        <v>982</v>
      </c>
      <c r="M132" s="2" t="s">
        <v>982</v>
      </c>
      <c r="N132" s="2" t="s">
        <v>982</v>
      </c>
      <c r="O132" s="2" t="s">
        <v>982</v>
      </c>
      <c r="P132" s="2" t="s">
        <v>982</v>
      </c>
      <c r="Q132" s="2" t="s">
        <v>982</v>
      </c>
      <c r="R132" s="2" t="s">
        <v>982</v>
      </c>
      <c r="S132" s="2" t="s">
        <v>982</v>
      </c>
      <c r="T132" s="2" t="s">
        <v>982</v>
      </c>
      <c r="U132" s="2" t="s">
        <v>982</v>
      </c>
      <c r="V132" s="2" t="s">
        <v>982</v>
      </c>
    </row>
    <row r="133" spans="1:22" x14ac:dyDescent="0.25">
      <c r="A133" s="2">
        <v>10</v>
      </c>
      <c r="B133" s="2" t="s">
        <v>182</v>
      </c>
      <c r="C133" s="2" t="s">
        <v>981</v>
      </c>
      <c r="D133" s="2" t="s">
        <v>826</v>
      </c>
      <c r="E133" s="2" t="s">
        <v>885</v>
      </c>
      <c r="F133" s="2" t="s">
        <v>4</v>
      </c>
      <c r="G133" s="2" t="s">
        <v>6</v>
      </c>
      <c r="H133" s="2" t="s">
        <v>888</v>
      </c>
      <c r="I133" s="2">
        <v>1009</v>
      </c>
      <c r="J133" s="2" t="s">
        <v>719</v>
      </c>
      <c r="K133" s="2" t="s">
        <v>12</v>
      </c>
      <c r="L133" s="53">
        <v>120</v>
      </c>
      <c r="M133" s="55" t="s">
        <v>979</v>
      </c>
      <c r="N133" s="1" t="s">
        <v>814</v>
      </c>
      <c r="O133" s="2">
        <v>225</v>
      </c>
      <c r="P133" s="2" t="s">
        <v>982</v>
      </c>
      <c r="Q133" s="2" t="s">
        <v>982</v>
      </c>
      <c r="R133" s="2" t="s">
        <v>982</v>
      </c>
      <c r="S133" s="2" t="s">
        <v>436</v>
      </c>
      <c r="T133" s="2" t="s">
        <v>984</v>
      </c>
      <c r="U133" s="2">
        <v>6250</v>
      </c>
      <c r="V133" s="2" t="s">
        <v>982</v>
      </c>
    </row>
    <row r="134" spans="1:22" x14ac:dyDescent="0.25">
      <c r="A134" s="2">
        <v>10</v>
      </c>
      <c r="B134" s="2" t="s">
        <v>182</v>
      </c>
      <c r="C134" s="2" t="s">
        <v>981</v>
      </c>
      <c r="D134" s="2" t="s">
        <v>826</v>
      </c>
      <c r="E134" s="2" t="s">
        <v>885</v>
      </c>
      <c r="F134" s="2" t="s">
        <v>4</v>
      </c>
      <c r="G134" s="2" t="s">
        <v>6</v>
      </c>
      <c r="H134" s="2" t="s">
        <v>888</v>
      </c>
      <c r="I134" s="2">
        <v>1009</v>
      </c>
      <c r="J134" s="2" t="s">
        <v>719</v>
      </c>
      <c r="K134" s="2" t="s">
        <v>12</v>
      </c>
      <c r="L134" s="53">
        <v>120</v>
      </c>
      <c r="M134" s="55" t="s">
        <v>979</v>
      </c>
      <c r="N134" s="1" t="s">
        <v>814</v>
      </c>
      <c r="O134" s="2">
        <v>225</v>
      </c>
      <c r="P134" s="2" t="s">
        <v>982</v>
      </c>
      <c r="Q134" s="2" t="s">
        <v>982</v>
      </c>
      <c r="R134" s="2" t="s">
        <v>982</v>
      </c>
      <c r="S134" s="2" t="s">
        <v>270</v>
      </c>
      <c r="T134" s="2" t="s">
        <v>984</v>
      </c>
      <c r="U134" s="2">
        <v>6190</v>
      </c>
      <c r="V134" s="2" t="s">
        <v>982</v>
      </c>
    </row>
    <row r="135" spans="1:22" x14ac:dyDescent="0.25">
      <c r="A135" s="2">
        <v>10</v>
      </c>
      <c r="B135" s="2" t="s">
        <v>182</v>
      </c>
      <c r="C135" s="2" t="s">
        <v>981</v>
      </c>
      <c r="D135" s="2" t="s">
        <v>826</v>
      </c>
      <c r="E135" s="2" t="s">
        <v>885</v>
      </c>
      <c r="F135" s="2" t="s">
        <v>4</v>
      </c>
      <c r="G135" s="2" t="s">
        <v>6</v>
      </c>
      <c r="H135" s="2" t="s">
        <v>888</v>
      </c>
      <c r="I135" s="2">
        <v>1009</v>
      </c>
      <c r="J135" s="2" t="s">
        <v>719</v>
      </c>
      <c r="K135" s="2" t="s">
        <v>12</v>
      </c>
      <c r="L135" s="53">
        <v>120</v>
      </c>
      <c r="M135" s="55" t="s">
        <v>979</v>
      </c>
      <c r="N135" s="1" t="s">
        <v>814</v>
      </c>
      <c r="O135" s="2">
        <v>225</v>
      </c>
      <c r="P135" s="2" t="s">
        <v>982</v>
      </c>
      <c r="Q135" s="2" t="s">
        <v>982</v>
      </c>
      <c r="R135" s="2" t="s">
        <v>982</v>
      </c>
      <c r="S135" s="2" t="s">
        <v>267</v>
      </c>
      <c r="T135" s="2" t="s">
        <v>984</v>
      </c>
      <c r="U135" s="2">
        <v>2500</v>
      </c>
      <c r="V135" s="2" t="s">
        <v>982</v>
      </c>
    </row>
    <row r="136" spans="1:22" x14ac:dyDescent="0.25">
      <c r="A136" s="2">
        <v>10</v>
      </c>
      <c r="B136" s="2" t="s">
        <v>182</v>
      </c>
      <c r="C136" s="2" t="s">
        <v>981</v>
      </c>
      <c r="D136" s="2" t="s">
        <v>826</v>
      </c>
      <c r="E136" s="2" t="s">
        <v>885</v>
      </c>
      <c r="F136" s="2" t="s">
        <v>4</v>
      </c>
      <c r="G136" s="2" t="s">
        <v>6</v>
      </c>
      <c r="H136" s="2" t="s">
        <v>888</v>
      </c>
      <c r="I136" s="2">
        <v>1009</v>
      </c>
      <c r="J136" s="2" t="s">
        <v>719</v>
      </c>
      <c r="K136" s="2" t="s">
        <v>12</v>
      </c>
      <c r="L136" s="53">
        <v>120</v>
      </c>
      <c r="M136" s="55" t="s">
        <v>979</v>
      </c>
      <c r="N136" s="1" t="s">
        <v>814</v>
      </c>
      <c r="O136" s="2">
        <v>225</v>
      </c>
      <c r="P136" s="2" t="s">
        <v>982</v>
      </c>
      <c r="Q136" s="2" t="s">
        <v>982</v>
      </c>
      <c r="R136" s="2" t="s">
        <v>982</v>
      </c>
      <c r="S136" s="2" t="s">
        <v>437</v>
      </c>
      <c r="T136" s="2" t="s">
        <v>984</v>
      </c>
      <c r="U136" s="2">
        <v>2500</v>
      </c>
      <c r="V136" s="2" t="s">
        <v>982</v>
      </c>
    </row>
    <row r="137" spans="1:22" x14ac:dyDescent="0.25">
      <c r="A137" s="2">
        <v>10</v>
      </c>
      <c r="B137" s="2" t="s">
        <v>182</v>
      </c>
      <c r="C137" s="2" t="s">
        <v>981</v>
      </c>
      <c r="D137" s="2" t="s">
        <v>826</v>
      </c>
      <c r="E137" s="2" t="s">
        <v>885</v>
      </c>
      <c r="F137" s="2" t="s">
        <v>4</v>
      </c>
      <c r="G137" s="2" t="s">
        <v>6</v>
      </c>
      <c r="H137" s="2" t="s">
        <v>888</v>
      </c>
      <c r="I137" s="2">
        <v>1009</v>
      </c>
      <c r="J137" s="2" t="s">
        <v>719</v>
      </c>
      <c r="K137" s="2" t="s">
        <v>12</v>
      </c>
      <c r="L137" s="53">
        <v>120</v>
      </c>
      <c r="M137" s="55" t="s">
        <v>979</v>
      </c>
      <c r="N137" s="1" t="s">
        <v>814</v>
      </c>
      <c r="O137" s="2">
        <v>225</v>
      </c>
      <c r="P137" s="2" t="s">
        <v>982</v>
      </c>
      <c r="Q137" s="2" t="s">
        <v>982</v>
      </c>
      <c r="R137" s="2" t="s">
        <v>982</v>
      </c>
      <c r="S137" s="2" t="s">
        <v>269</v>
      </c>
      <c r="T137" s="2" t="s">
        <v>984</v>
      </c>
      <c r="U137" s="2">
        <v>2500</v>
      </c>
      <c r="V137" s="2" t="s">
        <v>982</v>
      </c>
    </row>
    <row r="138" spans="1:22" x14ac:dyDescent="0.25">
      <c r="A138" s="2">
        <v>10</v>
      </c>
      <c r="B138" s="2" t="s">
        <v>182</v>
      </c>
      <c r="C138" s="2" t="s">
        <v>981</v>
      </c>
      <c r="D138" s="2" t="s">
        <v>826</v>
      </c>
      <c r="E138" s="2" t="s">
        <v>885</v>
      </c>
      <c r="F138" s="2" t="s">
        <v>4</v>
      </c>
      <c r="G138" s="2" t="s">
        <v>6</v>
      </c>
      <c r="H138" s="2" t="s">
        <v>888</v>
      </c>
      <c r="I138" s="2">
        <v>1009</v>
      </c>
      <c r="J138" s="2" t="s">
        <v>719</v>
      </c>
      <c r="K138" s="2" t="s">
        <v>12</v>
      </c>
      <c r="L138" s="53">
        <v>120</v>
      </c>
      <c r="M138" s="55" t="s">
        <v>979</v>
      </c>
      <c r="N138" s="1" t="s">
        <v>814</v>
      </c>
      <c r="O138" s="2">
        <v>225</v>
      </c>
      <c r="P138" s="2" t="s">
        <v>982</v>
      </c>
      <c r="Q138" s="2" t="s">
        <v>982</v>
      </c>
      <c r="R138" s="2" t="s">
        <v>982</v>
      </c>
      <c r="S138" s="2" t="s">
        <v>295</v>
      </c>
      <c r="T138" s="2" t="s">
        <v>984</v>
      </c>
      <c r="U138" s="2">
        <v>1250</v>
      </c>
      <c r="V138" s="2" t="s">
        <v>982</v>
      </c>
    </row>
    <row r="139" spans="1:22" x14ac:dyDescent="0.25">
      <c r="A139" s="2">
        <v>10</v>
      </c>
      <c r="B139" s="2" t="s">
        <v>182</v>
      </c>
      <c r="C139" s="2" t="s">
        <v>981</v>
      </c>
      <c r="D139" s="2" t="s">
        <v>826</v>
      </c>
      <c r="E139" s="2" t="s">
        <v>885</v>
      </c>
      <c r="F139" s="2" t="s">
        <v>4</v>
      </c>
      <c r="G139" s="2" t="s">
        <v>6</v>
      </c>
      <c r="H139" s="2" t="s">
        <v>888</v>
      </c>
      <c r="I139" s="2">
        <v>1009</v>
      </c>
      <c r="J139" s="2" t="s">
        <v>719</v>
      </c>
      <c r="K139" s="2" t="s">
        <v>12</v>
      </c>
      <c r="L139" s="53">
        <v>120</v>
      </c>
      <c r="M139" s="55" t="s">
        <v>979</v>
      </c>
      <c r="N139" s="1" t="s">
        <v>814</v>
      </c>
      <c r="O139" s="2">
        <v>225</v>
      </c>
      <c r="P139" s="2" t="s">
        <v>982</v>
      </c>
      <c r="Q139" s="2" t="s">
        <v>982</v>
      </c>
      <c r="R139" s="2" t="s">
        <v>982</v>
      </c>
      <c r="S139" s="2" t="s">
        <v>430</v>
      </c>
      <c r="T139" s="2" t="s">
        <v>984</v>
      </c>
      <c r="U139" s="2">
        <v>1250</v>
      </c>
      <c r="V139" s="2" t="s">
        <v>982</v>
      </c>
    </row>
    <row r="140" spans="1:22" x14ac:dyDescent="0.25">
      <c r="A140" s="2">
        <v>10</v>
      </c>
      <c r="B140" s="2" t="s">
        <v>182</v>
      </c>
      <c r="C140" s="2" t="s">
        <v>981</v>
      </c>
      <c r="D140" s="2" t="s">
        <v>826</v>
      </c>
      <c r="E140" s="2" t="s">
        <v>885</v>
      </c>
      <c r="F140" s="2" t="s">
        <v>4</v>
      </c>
      <c r="G140" s="2" t="s">
        <v>6</v>
      </c>
      <c r="H140" s="2" t="s">
        <v>888</v>
      </c>
      <c r="I140" s="2">
        <v>1009</v>
      </c>
      <c r="J140" s="2" t="s">
        <v>719</v>
      </c>
      <c r="K140" s="2" t="s">
        <v>12</v>
      </c>
      <c r="L140" s="53">
        <v>120</v>
      </c>
      <c r="M140" s="55" t="s">
        <v>979</v>
      </c>
      <c r="N140" s="1" t="s">
        <v>814</v>
      </c>
      <c r="O140" s="2">
        <v>225</v>
      </c>
      <c r="P140" s="2" t="s">
        <v>982</v>
      </c>
      <c r="Q140" s="2" t="s">
        <v>982</v>
      </c>
      <c r="R140" s="2" t="s">
        <v>982</v>
      </c>
      <c r="S140" s="2" t="s">
        <v>272</v>
      </c>
      <c r="T140" s="2" t="s">
        <v>984</v>
      </c>
      <c r="U140" s="2">
        <v>310</v>
      </c>
      <c r="V140" s="2" t="s">
        <v>982</v>
      </c>
    </row>
    <row r="141" spans="1:22" x14ac:dyDescent="0.25">
      <c r="A141" s="2">
        <v>10</v>
      </c>
      <c r="B141" s="2" t="s">
        <v>182</v>
      </c>
      <c r="C141" s="2" t="s">
        <v>981</v>
      </c>
      <c r="D141" s="2" t="s">
        <v>826</v>
      </c>
      <c r="E141" s="2" t="s">
        <v>885</v>
      </c>
      <c r="F141" s="2" t="s">
        <v>4</v>
      </c>
      <c r="G141" s="2" t="s">
        <v>6</v>
      </c>
      <c r="H141" s="2" t="s">
        <v>888</v>
      </c>
      <c r="I141" s="2">
        <v>1009</v>
      </c>
      <c r="J141" s="2" t="s">
        <v>719</v>
      </c>
      <c r="K141" s="2" t="s">
        <v>12</v>
      </c>
      <c r="L141" s="53">
        <v>120</v>
      </c>
      <c r="M141" s="55" t="s">
        <v>979</v>
      </c>
      <c r="N141" s="1" t="s">
        <v>814</v>
      </c>
      <c r="O141" s="2">
        <v>225</v>
      </c>
      <c r="P141" s="2" t="s">
        <v>982</v>
      </c>
      <c r="Q141" s="2" t="s">
        <v>982</v>
      </c>
      <c r="R141" s="2" t="s">
        <v>982</v>
      </c>
      <c r="S141" s="2" t="s">
        <v>438</v>
      </c>
      <c r="T141" s="2" t="s">
        <v>984</v>
      </c>
      <c r="U141" s="2">
        <v>190</v>
      </c>
      <c r="V141" s="2" t="s">
        <v>982</v>
      </c>
    </row>
    <row r="142" spans="1:22" x14ac:dyDescent="0.25">
      <c r="A142" s="2">
        <v>10</v>
      </c>
      <c r="B142" s="2" t="s">
        <v>182</v>
      </c>
      <c r="C142" s="2" t="s">
        <v>981</v>
      </c>
      <c r="D142" s="2" t="s">
        <v>826</v>
      </c>
      <c r="E142" s="2" t="s">
        <v>885</v>
      </c>
      <c r="F142" s="2" t="s">
        <v>4</v>
      </c>
      <c r="G142" s="2" t="s">
        <v>6</v>
      </c>
      <c r="H142" s="2" t="s">
        <v>888</v>
      </c>
      <c r="I142" s="2">
        <v>1009</v>
      </c>
      <c r="J142" s="2" t="s">
        <v>719</v>
      </c>
      <c r="K142" s="2" t="s">
        <v>12</v>
      </c>
      <c r="L142" s="53">
        <v>120</v>
      </c>
      <c r="M142" s="55" t="s">
        <v>979</v>
      </c>
      <c r="N142" s="1" t="s">
        <v>814</v>
      </c>
      <c r="O142" s="2">
        <v>225</v>
      </c>
      <c r="P142" s="2" t="s">
        <v>982</v>
      </c>
      <c r="Q142" s="2" t="s">
        <v>982</v>
      </c>
      <c r="R142" s="2" t="s">
        <v>982</v>
      </c>
      <c r="S142" s="2" t="s">
        <v>439</v>
      </c>
      <c r="T142" s="2" t="s">
        <v>983</v>
      </c>
      <c r="U142" s="2">
        <v>125</v>
      </c>
      <c r="V142" s="2" t="s">
        <v>982</v>
      </c>
    </row>
    <row r="143" spans="1:22" x14ac:dyDescent="0.25">
      <c r="A143" s="2">
        <v>10</v>
      </c>
      <c r="B143" s="2" t="s">
        <v>182</v>
      </c>
      <c r="C143" s="2" t="s">
        <v>981</v>
      </c>
      <c r="D143" s="2" t="s">
        <v>826</v>
      </c>
      <c r="E143" s="2" t="s">
        <v>885</v>
      </c>
      <c r="F143" s="2" t="s">
        <v>4</v>
      </c>
      <c r="G143" s="2" t="s">
        <v>6</v>
      </c>
      <c r="H143" s="2" t="s">
        <v>888</v>
      </c>
      <c r="I143" s="2">
        <v>1009</v>
      </c>
      <c r="J143" s="2" t="s">
        <v>719</v>
      </c>
      <c r="K143" s="2" t="s">
        <v>12</v>
      </c>
      <c r="L143" s="53">
        <v>120</v>
      </c>
      <c r="M143" s="55" t="s">
        <v>979</v>
      </c>
      <c r="N143" s="1" t="s">
        <v>814</v>
      </c>
      <c r="O143" s="2">
        <v>225</v>
      </c>
      <c r="P143" s="2" t="s">
        <v>982</v>
      </c>
      <c r="Q143" s="2" t="s">
        <v>982</v>
      </c>
      <c r="R143" s="2" t="s">
        <v>982</v>
      </c>
      <c r="S143" s="2" t="s">
        <v>440</v>
      </c>
      <c r="T143" s="2" t="s">
        <v>983</v>
      </c>
      <c r="U143" s="2">
        <v>1250</v>
      </c>
      <c r="V143" s="2" t="s">
        <v>982</v>
      </c>
    </row>
    <row r="144" spans="1:22" x14ac:dyDescent="0.25">
      <c r="A144" s="2">
        <v>10</v>
      </c>
      <c r="B144" s="2" t="s">
        <v>182</v>
      </c>
      <c r="C144" s="2" t="s">
        <v>981</v>
      </c>
      <c r="D144" s="2" t="s">
        <v>826</v>
      </c>
      <c r="E144" s="2" t="s">
        <v>885</v>
      </c>
      <c r="F144" s="2" t="s">
        <v>4</v>
      </c>
      <c r="G144" s="2" t="s">
        <v>6</v>
      </c>
      <c r="H144" s="2" t="s">
        <v>888</v>
      </c>
      <c r="I144" s="2">
        <v>1009</v>
      </c>
      <c r="J144" s="2" t="s">
        <v>719</v>
      </c>
      <c r="K144" s="2" t="s">
        <v>12</v>
      </c>
      <c r="L144" s="53">
        <v>120</v>
      </c>
      <c r="M144" s="55" t="s">
        <v>979</v>
      </c>
      <c r="N144" s="1" t="s">
        <v>814</v>
      </c>
      <c r="O144" s="2">
        <v>225</v>
      </c>
      <c r="P144" s="2" t="s">
        <v>982</v>
      </c>
      <c r="Q144" s="2" t="s">
        <v>982</v>
      </c>
      <c r="R144" s="2" t="s">
        <v>982</v>
      </c>
      <c r="S144" s="2" t="s">
        <v>275</v>
      </c>
      <c r="T144" s="2" t="s">
        <v>983</v>
      </c>
      <c r="U144" s="2">
        <v>185</v>
      </c>
      <c r="V144" s="2" t="s">
        <v>982</v>
      </c>
    </row>
    <row r="145" spans="1:22" x14ac:dyDescent="0.25">
      <c r="A145" s="2">
        <v>10</v>
      </c>
      <c r="B145" s="2" t="s">
        <v>182</v>
      </c>
      <c r="C145" s="2" t="s">
        <v>981</v>
      </c>
      <c r="D145" s="2" t="s">
        <v>826</v>
      </c>
      <c r="E145" s="2" t="s">
        <v>885</v>
      </c>
      <c r="F145" s="2" t="s">
        <v>4</v>
      </c>
      <c r="G145" s="2" t="s">
        <v>6</v>
      </c>
      <c r="H145" s="2" t="s">
        <v>888</v>
      </c>
      <c r="I145" s="2">
        <v>1009</v>
      </c>
      <c r="J145" s="2" t="s">
        <v>719</v>
      </c>
      <c r="K145" s="2" t="s">
        <v>12</v>
      </c>
      <c r="L145" s="53">
        <v>120</v>
      </c>
      <c r="M145" s="55" t="s">
        <v>979</v>
      </c>
      <c r="N145" s="1" t="s">
        <v>814</v>
      </c>
      <c r="O145" s="2">
        <v>225</v>
      </c>
      <c r="P145" s="2" t="s">
        <v>982</v>
      </c>
      <c r="Q145" s="2" t="s">
        <v>982</v>
      </c>
      <c r="R145" s="2" t="s">
        <v>982</v>
      </c>
      <c r="S145" s="2" t="s">
        <v>982</v>
      </c>
      <c r="T145" s="2" t="s">
        <v>982</v>
      </c>
      <c r="U145" s="2" t="s">
        <v>982</v>
      </c>
      <c r="V145" s="2" t="s">
        <v>982</v>
      </c>
    </row>
    <row r="146" spans="1:22" x14ac:dyDescent="0.25">
      <c r="A146" s="2">
        <v>10</v>
      </c>
      <c r="B146" s="2" t="s">
        <v>182</v>
      </c>
      <c r="C146" s="2" t="s">
        <v>981</v>
      </c>
      <c r="D146" s="2" t="s">
        <v>826</v>
      </c>
      <c r="E146" s="2" t="s">
        <v>885</v>
      </c>
      <c r="F146" s="2" t="s">
        <v>4</v>
      </c>
      <c r="G146" s="2" t="s">
        <v>6</v>
      </c>
      <c r="H146" s="2" t="s">
        <v>888</v>
      </c>
      <c r="I146" s="2">
        <v>1009</v>
      </c>
      <c r="J146" s="2" t="s">
        <v>719</v>
      </c>
      <c r="K146" s="2" t="s">
        <v>12</v>
      </c>
      <c r="L146" s="53">
        <v>120</v>
      </c>
      <c r="M146" s="55" t="s">
        <v>979</v>
      </c>
      <c r="N146" s="1" t="s">
        <v>814</v>
      </c>
      <c r="O146" s="2">
        <v>225</v>
      </c>
      <c r="P146" s="2" t="s">
        <v>982</v>
      </c>
      <c r="Q146" s="2" t="s">
        <v>982</v>
      </c>
      <c r="R146" s="2" t="s">
        <v>982</v>
      </c>
      <c r="S146" s="2" t="s">
        <v>982</v>
      </c>
      <c r="T146" s="2" t="s">
        <v>982</v>
      </c>
      <c r="U146" s="2" t="s">
        <v>982</v>
      </c>
      <c r="V146" s="2" t="s">
        <v>982</v>
      </c>
    </row>
    <row r="147" spans="1:22" x14ac:dyDescent="0.25">
      <c r="A147" s="2">
        <v>10</v>
      </c>
      <c r="B147" s="2" t="s">
        <v>182</v>
      </c>
      <c r="C147" s="2" t="s">
        <v>981</v>
      </c>
      <c r="D147" s="2" t="s">
        <v>826</v>
      </c>
      <c r="E147" s="2" t="s">
        <v>885</v>
      </c>
      <c r="F147" s="2" t="s">
        <v>4</v>
      </c>
      <c r="G147" s="2" t="s">
        <v>6</v>
      </c>
      <c r="H147" s="2" t="s">
        <v>888</v>
      </c>
      <c r="I147" s="2">
        <v>1009</v>
      </c>
      <c r="J147" s="2" t="s">
        <v>719</v>
      </c>
      <c r="K147" s="2" t="s">
        <v>12</v>
      </c>
      <c r="L147" s="53">
        <v>120</v>
      </c>
      <c r="M147" s="55" t="s">
        <v>979</v>
      </c>
      <c r="N147" s="1" t="s">
        <v>814</v>
      </c>
      <c r="O147" s="2">
        <v>225</v>
      </c>
      <c r="P147" s="2" t="s">
        <v>982</v>
      </c>
      <c r="Q147" s="2" t="s">
        <v>982</v>
      </c>
      <c r="R147" s="2" t="s">
        <v>982</v>
      </c>
      <c r="S147" s="2" t="s">
        <v>982</v>
      </c>
      <c r="T147" s="2" t="s">
        <v>982</v>
      </c>
      <c r="U147" s="2" t="s">
        <v>982</v>
      </c>
      <c r="V147" s="2" t="s">
        <v>982</v>
      </c>
    </row>
    <row r="148" spans="1:22" x14ac:dyDescent="0.25">
      <c r="A148" s="2">
        <v>10</v>
      </c>
      <c r="B148" s="2" t="s">
        <v>182</v>
      </c>
      <c r="C148" s="2" t="s">
        <v>981</v>
      </c>
      <c r="D148" s="2" t="s">
        <v>826</v>
      </c>
      <c r="E148" s="2" t="s">
        <v>885</v>
      </c>
      <c r="F148" s="2" t="s">
        <v>4</v>
      </c>
      <c r="G148" s="2" t="s">
        <v>6</v>
      </c>
      <c r="H148" s="2" t="s">
        <v>888</v>
      </c>
      <c r="I148" s="2">
        <v>1009</v>
      </c>
      <c r="J148" s="2" t="s">
        <v>719</v>
      </c>
      <c r="K148" s="2" t="s">
        <v>12</v>
      </c>
      <c r="L148" s="53">
        <v>120</v>
      </c>
      <c r="M148" s="55" t="s">
        <v>979</v>
      </c>
      <c r="N148" s="1" t="s">
        <v>814</v>
      </c>
      <c r="O148" s="2">
        <v>225</v>
      </c>
      <c r="P148" s="2" t="s">
        <v>982</v>
      </c>
      <c r="Q148" s="2" t="s">
        <v>982</v>
      </c>
      <c r="R148" s="2" t="s">
        <v>982</v>
      </c>
      <c r="S148" s="2" t="s">
        <v>982</v>
      </c>
      <c r="T148" s="2" t="s">
        <v>982</v>
      </c>
      <c r="U148" s="2" t="s">
        <v>982</v>
      </c>
      <c r="V148" s="2" t="s">
        <v>982</v>
      </c>
    </row>
    <row r="149" spans="1:22" x14ac:dyDescent="0.25">
      <c r="A149" s="2">
        <v>10</v>
      </c>
      <c r="B149" s="2" t="s">
        <v>182</v>
      </c>
      <c r="C149" s="2" t="s">
        <v>981</v>
      </c>
      <c r="D149" s="2" t="s">
        <v>826</v>
      </c>
      <c r="E149" s="2" t="s">
        <v>885</v>
      </c>
      <c r="F149" s="2" t="s">
        <v>4</v>
      </c>
      <c r="G149" s="2" t="s">
        <v>6</v>
      </c>
      <c r="H149" s="2" t="s">
        <v>888</v>
      </c>
      <c r="I149" s="2">
        <v>1009</v>
      </c>
      <c r="J149" s="2" t="s">
        <v>719</v>
      </c>
      <c r="K149" s="2" t="s">
        <v>12</v>
      </c>
      <c r="L149" s="53">
        <v>120</v>
      </c>
      <c r="M149" s="55" t="s">
        <v>979</v>
      </c>
      <c r="N149" s="1" t="s">
        <v>814</v>
      </c>
      <c r="O149" s="2">
        <v>225</v>
      </c>
      <c r="P149" s="2" t="s">
        <v>982</v>
      </c>
      <c r="Q149" s="2" t="s">
        <v>982</v>
      </c>
      <c r="R149" s="2" t="s">
        <v>982</v>
      </c>
      <c r="S149" s="2" t="s">
        <v>982</v>
      </c>
      <c r="T149" s="2" t="s">
        <v>982</v>
      </c>
      <c r="U149" s="2" t="s">
        <v>982</v>
      </c>
      <c r="V149" s="2" t="s">
        <v>982</v>
      </c>
    </row>
    <row r="150" spans="1:22" x14ac:dyDescent="0.25">
      <c r="A150" s="2">
        <v>10</v>
      </c>
      <c r="B150" s="2" t="s">
        <v>182</v>
      </c>
      <c r="C150" s="2" t="s">
        <v>981</v>
      </c>
      <c r="D150" s="2" t="s">
        <v>826</v>
      </c>
      <c r="E150" s="2" t="s">
        <v>885</v>
      </c>
      <c r="F150" s="2" t="s">
        <v>4</v>
      </c>
      <c r="G150" s="2" t="s">
        <v>6</v>
      </c>
      <c r="H150" s="2" t="s">
        <v>888</v>
      </c>
      <c r="I150" s="2">
        <v>1009</v>
      </c>
      <c r="J150" s="2" t="s">
        <v>719</v>
      </c>
      <c r="K150" s="2" t="s">
        <v>12</v>
      </c>
      <c r="L150" s="53">
        <v>120</v>
      </c>
      <c r="M150" s="55" t="s">
        <v>979</v>
      </c>
      <c r="N150" s="1" t="s">
        <v>814</v>
      </c>
      <c r="O150" s="2">
        <v>225</v>
      </c>
      <c r="P150" s="2" t="s">
        <v>982</v>
      </c>
      <c r="Q150" s="2" t="s">
        <v>982</v>
      </c>
      <c r="R150" s="2" t="s">
        <v>982</v>
      </c>
      <c r="S150" s="2" t="s">
        <v>982</v>
      </c>
      <c r="T150" s="2" t="s">
        <v>982</v>
      </c>
      <c r="U150" s="2" t="s">
        <v>982</v>
      </c>
      <c r="V150" s="2" t="s">
        <v>982</v>
      </c>
    </row>
    <row r="151" spans="1:22" x14ac:dyDescent="0.25">
      <c r="A151" s="2">
        <v>10</v>
      </c>
      <c r="B151" s="2" t="s">
        <v>182</v>
      </c>
      <c r="C151" s="2" t="s">
        <v>981</v>
      </c>
      <c r="D151" s="2" t="s">
        <v>826</v>
      </c>
      <c r="E151" s="2" t="s">
        <v>885</v>
      </c>
      <c r="F151" s="2" t="s">
        <v>4</v>
      </c>
      <c r="G151" s="2" t="s">
        <v>6</v>
      </c>
      <c r="H151" s="2" t="s">
        <v>888</v>
      </c>
      <c r="I151" s="2">
        <v>1009</v>
      </c>
      <c r="J151" s="2" t="s">
        <v>719</v>
      </c>
      <c r="K151" s="2" t="s">
        <v>12</v>
      </c>
      <c r="L151" s="53">
        <v>120</v>
      </c>
      <c r="M151" s="55" t="s">
        <v>979</v>
      </c>
      <c r="N151" s="1" t="s">
        <v>814</v>
      </c>
      <c r="O151" s="2">
        <v>225</v>
      </c>
      <c r="P151" s="2" t="s">
        <v>982</v>
      </c>
      <c r="Q151" s="2" t="s">
        <v>982</v>
      </c>
      <c r="R151" s="2" t="s">
        <v>982</v>
      </c>
      <c r="S151" s="2" t="s">
        <v>982</v>
      </c>
      <c r="T151" s="2" t="s">
        <v>982</v>
      </c>
      <c r="U151" s="2" t="s">
        <v>982</v>
      </c>
      <c r="V151" s="2" t="s">
        <v>982</v>
      </c>
    </row>
    <row r="152" spans="1:22" x14ac:dyDescent="0.25">
      <c r="A152" s="2">
        <v>10</v>
      </c>
      <c r="B152" s="2" t="s">
        <v>182</v>
      </c>
      <c r="C152" s="2" t="s">
        <v>981</v>
      </c>
      <c r="D152" s="2" t="s">
        <v>826</v>
      </c>
      <c r="E152" s="2" t="s">
        <v>885</v>
      </c>
      <c r="F152" s="2" t="s">
        <v>4</v>
      </c>
      <c r="G152" s="2" t="s">
        <v>6</v>
      </c>
      <c r="H152" s="2" t="s">
        <v>888</v>
      </c>
      <c r="I152" s="2">
        <v>1009</v>
      </c>
      <c r="J152" s="2" t="s">
        <v>719</v>
      </c>
      <c r="K152" s="2" t="s">
        <v>12</v>
      </c>
      <c r="L152" s="53">
        <v>120</v>
      </c>
      <c r="M152" s="55" t="s">
        <v>979</v>
      </c>
      <c r="N152" s="1" t="s">
        <v>814</v>
      </c>
      <c r="O152" s="2">
        <v>225</v>
      </c>
      <c r="P152" s="2" t="s">
        <v>982</v>
      </c>
      <c r="Q152" s="2" t="s">
        <v>982</v>
      </c>
      <c r="R152" s="2" t="s">
        <v>982</v>
      </c>
      <c r="S152" s="2" t="s">
        <v>982</v>
      </c>
      <c r="T152" s="2" t="s">
        <v>982</v>
      </c>
      <c r="U152" s="2" t="s">
        <v>982</v>
      </c>
      <c r="V152" s="2" t="s">
        <v>982</v>
      </c>
    </row>
    <row r="153" spans="1:2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53"/>
      <c r="M154" s="55"/>
      <c r="N154" s="1"/>
      <c r="O154" s="2"/>
      <c r="P154" s="2"/>
      <c r="Q154" s="2"/>
      <c r="R154" s="2"/>
      <c r="S154" s="2"/>
      <c r="T154" s="2"/>
      <c r="U154" s="2"/>
      <c r="V154" s="2"/>
    </row>
    <row r="155" spans="1:2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53"/>
      <c r="M155" s="55"/>
      <c r="N155" s="1"/>
      <c r="O155" s="2"/>
      <c r="P155" s="2"/>
      <c r="Q155" s="2"/>
      <c r="R155" s="2"/>
      <c r="S155" s="2"/>
      <c r="T155" s="2"/>
      <c r="U155" s="2"/>
      <c r="V155" s="2"/>
    </row>
    <row r="156" spans="1:2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53"/>
      <c r="M156" s="55"/>
      <c r="N156" s="1"/>
      <c r="O156" s="2"/>
      <c r="P156" s="2"/>
      <c r="Q156" s="2"/>
      <c r="R156" s="2"/>
      <c r="S156" s="2"/>
      <c r="T156" s="2"/>
      <c r="U156" s="2"/>
      <c r="V156" s="2"/>
    </row>
    <row r="157" spans="1:2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53"/>
      <c r="M157" s="55"/>
      <c r="N157" s="1"/>
      <c r="O157" s="2"/>
      <c r="P157" s="2"/>
      <c r="Q157" s="2"/>
      <c r="R157" s="2"/>
      <c r="S157" s="2"/>
      <c r="T157" s="2"/>
      <c r="U157" s="2"/>
      <c r="V157" s="2"/>
    </row>
    <row r="158" spans="1:2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53"/>
      <c r="M158" s="55"/>
      <c r="N158" s="1"/>
      <c r="O158" s="2"/>
      <c r="P158" s="2"/>
      <c r="Q158" s="2"/>
      <c r="R158" s="2"/>
      <c r="S158" s="2"/>
      <c r="T158" s="2"/>
      <c r="U158" s="2"/>
      <c r="V158" s="2"/>
    </row>
    <row r="159" spans="1:2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53"/>
      <c r="M159" s="55"/>
      <c r="N159" s="1"/>
      <c r="O159" s="2"/>
      <c r="P159" s="2"/>
      <c r="Q159" s="2"/>
      <c r="R159" s="2"/>
      <c r="S159" s="2"/>
      <c r="T159" s="2"/>
      <c r="U159" s="2"/>
      <c r="V159" s="2"/>
    </row>
    <row r="160" spans="1:2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53"/>
      <c r="M160" s="55"/>
      <c r="N160" s="1"/>
      <c r="O160" s="2"/>
      <c r="P160" s="2"/>
      <c r="Q160" s="2"/>
      <c r="R160" s="2"/>
      <c r="S160" s="2"/>
      <c r="T160" s="2"/>
      <c r="U160" s="2"/>
      <c r="V160" s="2"/>
    </row>
    <row r="161" spans="1:2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53"/>
      <c r="M161" s="55"/>
      <c r="N161" s="1"/>
      <c r="O161" s="2"/>
      <c r="P161" s="2"/>
      <c r="Q161" s="2"/>
      <c r="R161" s="2"/>
      <c r="S161" s="2"/>
      <c r="T161" s="2"/>
      <c r="U161" s="2"/>
      <c r="V161" s="2"/>
    </row>
    <row r="162" spans="1:2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53"/>
      <c r="M162" s="55"/>
      <c r="N162" s="1"/>
      <c r="O162" s="2"/>
      <c r="P162" s="2"/>
      <c r="Q162" s="2"/>
      <c r="R162" s="2"/>
      <c r="S162" s="2"/>
      <c r="T162" s="2"/>
      <c r="U162" s="2"/>
      <c r="V162" s="2"/>
    </row>
    <row r="163" spans="1:2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53"/>
      <c r="M163" s="55"/>
      <c r="N163" s="1"/>
      <c r="O163" s="2"/>
      <c r="P163" s="2"/>
      <c r="Q163" s="2"/>
      <c r="R163" s="2"/>
      <c r="S163" s="2"/>
      <c r="T163" s="2"/>
      <c r="U163" s="2"/>
      <c r="V163" s="2"/>
    </row>
    <row r="164" spans="1:2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53"/>
      <c r="M164" s="55"/>
      <c r="N164" s="1"/>
      <c r="O164" s="2"/>
      <c r="P164" s="2"/>
      <c r="Q164" s="2"/>
      <c r="R164" s="2"/>
      <c r="S164" s="2"/>
      <c r="T164" s="2"/>
      <c r="U164" s="2"/>
      <c r="V164" s="2"/>
    </row>
    <row r="165" spans="1:2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53"/>
      <c r="M165" s="55"/>
      <c r="N165" s="1"/>
      <c r="O165" s="2"/>
      <c r="P165" s="2"/>
      <c r="Q165" s="2"/>
      <c r="R165" s="2"/>
      <c r="S165" s="2"/>
      <c r="T165" s="2"/>
      <c r="U165" s="2"/>
      <c r="V165" s="2"/>
    </row>
    <row r="166" spans="1:2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53"/>
      <c r="M166" s="55"/>
      <c r="N166" s="1"/>
      <c r="O166" s="2"/>
      <c r="P166" s="2"/>
      <c r="Q166" s="2"/>
      <c r="R166" s="2"/>
      <c r="S166" s="2"/>
      <c r="T166" s="2"/>
      <c r="U166" s="2"/>
      <c r="V166" s="2"/>
    </row>
    <row r="167" spans="1:2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53"/>
      <c r="M167" s="55"/>
      <c r="N167" s="1"/>
      <c r="O167" s="2"/>
      <c r="P167" s="2"/>
      <c r="Q167" s="2"/>
      <c r="R167" s="2"/>
      <c r="S167" s="2"/>
      <c r="T167" s="2"/>
      <c r="U167" s="2"/>
      <c r="V167" s="2"/>
    </row>
    <row r="168" spans="1:2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53"/>
      <c r="M168" s="55"/>
      <c r="N168" s="1"/>
      <c r="O168" s="2"/>
      <c r="P168" s="2"/>
      <c r="Q168" s="2"/>
      <c r="R168" s="2"/>
      <c r="S168" s="2"/>
      <c r="T168" s="2"/>
      <c r="U168" s="2"/>
      <c r="V168" s="2"/>
    </row>
    <row r="169" spans="1:2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53"/>
      <c r="M169" s="55"/>
      <c r="N169" s="1"/>
      <c r="O169" s="2"/>
      <c r="P169" s="2"/>
      <c r="Q169" s="2"/>
      <c r="R169" s="2"/>
      <c r="S169" s="2"/>
      <c r="T169" s="2"/>
      <c r="U169" s="2"/>
      <c r="V169" s="2"/>
    </row>
    <row r="170" spans="1:2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53"/>
      <c r="M170" s="55"/>
      <c r="N170" s="1"/>
      <c r="O170" s="2"/>
      <c r="P170" s="2"/>
      <c r="Q170" s="2"/>
      <c r="R170" s="2"/>
      <c r="S170" s="2"/>
      <c r="T170" s="2"/>
      <c r="U170" s="2"/>
      <c r="V170" s="2"/>
    </row>
    <row r="171" spans="1:2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53"/>
      <c r="M171" s="55"/>
      <c r="N171" s="1"/>
      <c r="O171" s="2"/>
      <c r="P171" s="2"/>
      <c r="Q171" s="2"/>
      <c r="R171" s="2"/>
      <c r="S171" s="2"/>
      <c r="T171" s="2"/>
      <c r="U171" s="2"/>
      <c r="V171" s="2"/>
    </row>
    <row r="172" spans="1:2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53"/>
      <c r="M172" s="55"/>
      <c r="N172" s="1"/>
      <c r="O172" s="2"/>
      <c r="P172" s="2"/>
      <c r="Q172" s="2"/>
      <c r="R172" s="2"/>
      <c r="S172" s="2"/>
      <c r="T172" s="2"/>
      <c r="U172" s="2"/>
      <c r="V172" s="2"/>
    </row>
    <row r="173" spans="1:2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53"/>
      <c r="M173" s="55"/>
      <c r="N173" s="1"/>
      <c r="O173" s="2"/>
      <c r="P173" s="2"/>
      <c r="Q173" s="2"/>
      <c r="R173" s="2"/>
      <c r="S173" s="2"/>
      <c r="T173" s="2"/>
      <c r="U173" s="2"/>
      <c r="V173" s="2"/>
    </row>
    <row r="174" spans="1:2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53"/>
      <c r="M174" s="55"/>
      <c r="N174" s="1"/>
      <c r="O174" s="2"/>
      <c r="P174" s="2"/>
      <c r="Q174" s="2"/>
      <c r="R174" s="2"/>
      <c r="S174" s="2"/>
      <c r="T174" s="2"/>
      <c r="U174" s="2"/>
      <c r="V174" s="2"/>
    </row>
    <row r="175" spans="1:2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53"/>
      <c r="M176" s="55"/>
      <c r="N176" s="1"/>
      <c r="O176" s="2"/>
      <c r="P176" s="2"/>
      <c r="Q176" s="2"/>
      <c r="R176" s="2"/>
      <c r="S176" s="2"/>
      <c r="T176" s="2"/>
      <c r="U176" s="2"/>
      <c r="V176" s="2"/>
    </row>
    <row r="177" spans="1:2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53"/>
      <c r="M177" s="55"/>
      <c r="N177" s="1"/>
      <c r="O177" s="2"/>
      <c r="P177" s="2"/>
      <c r="Q177" s="2"/>
      <c r="R177" s="2"/>
      <c r="S177" s="2"/>
      <c r="T177" s="2"/>
      <c r="U177" s="2"/>
      <c r="V177" s="2"/>
    </row>
    <row r="178" spans="1:2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53"/>
      <c r="M178" s="55"/>
      <c r="N178" s="1"/>
      <c r="O178" s="2"/>
      <c r="P178" s="2"/>
      <c r="Q178" s="2"/>
      <c r="R178" s="2"/>
      <c r="S178" s="2"/>
      <c r="T178" s="2"/>
      <c r="U178" s="2"/>
      <c r="V178" s="2"/>
    </row>
    <row r="179" spans="1:2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53"/>
      <c r="M179" s="55"/>
      <c r="N179" s="1"/>
      <c r="O179" s="2"/>
      <c r="P179" s="2"/>
      <c r="Q179" s="2"/>
      <c r="R179" s="2"/>
      <c r="S179" s="2"/>
      <c r="T179" s="2"/>
      <c r="U179" s="2"/>
      <c r="V179" s="2"/>
    </row>
    <row r="180" spans="1:2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53"/>
      <c r="M180" s="55"/>
      <c r="N180" s="1"/>
      <c r="O180" s="2"/>
      <c r="P180" s="2"/>
      <c r="Q180" s="2"/>
      <c r="R180" s="2"/>
      <c r="S180" s="2"/>
      <c r="T180" s="2"/>
      <c r="U180" s="2"/>
      <c r="V180" s="2"/>
    </row>
    <row r="181" spans="1:2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53"/>
      <c r="M181" s="55"/>
      <c r="N181" s="1"/>
      <c r="O181" s="2"/>
      <c r="P181" s="2"/>
      <c r="Q181" s="2"/>
      <c r="R181" s="2"/>
      <c r="S181" s="2"/>
      <c r="T181" s="2"/>
      <c r="U181" s="2"/>
      <c r="V181" s="2"/>
    </row>
    <row r="182" spans="1:2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53"/>
      <c r="M182" s="55"/>
      <c r="N182" s="1"/>
      <c r="O182" s="2"/>
      <c r="P182" s="2"/>
      <c r="Q182" s="2"/>
      <c r="R182" s="2"/>
      <c r="S182" s="2"/>
      <c r="T182" s="2"/>
      <c r="U182" s="2"/>
      <c r="V182" s="2"/>
    </row>
    <row r="183" spans="1:2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53"/>
      <c r="M183" s="55"/>
      <c r="N183" s="1"/>
      <c r="O183" s="2"/>
      <c r="P183" s="2"/>
      <c r="Q183" s="2"/>
      <c r="R183" s="2"/>
      <c r="S183" s="2"/>
      <c r="T183" s="2"/>
      <c r="U183" s="2"/>
      <c r="V183" s="2"/>
    </row>
    <row r="184" spans="1:2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53"/>
      <c r="M184" s="55"/>
      <c r="N184" s="1"/>
      <c r="O184" s="2"/>
      <c r="P184" s="2"/>
      <c r="Q184" s="2"/>
      <c r="R184" s="2"/>
      <c r="S184" s="2"/>
      <c r="T184" s="2"/>
      <c r="U184" s="2"/>
      <c r="V184" s="2"/>
    </row>
    <row r="185" spans="1:2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53"/>
      <c r="M185" s="55"/>
      <c r="N185" s="1"/>
      <c r="O185" s="2"/>
      <c r="P185" s="2"/>
      <c r="Q185" s="2"/>
      <c r="R185" s="2"/>
      <c r="S185" s="2"/>
      <c r="T185" s="2"/>
      <c r="U185" s="2"/>
      <c r="V185" s="2"/>
    </row>
    <row r="186" spans="1:2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53"/>
      <c r="M186" s="55"/>
      <c r="N186" s="1"/>
      <c r="O186" s="2"/>
      <c r="P186" s="2"/>
      <c r="Q186" s="2"/>
      <c r="R186" s="2"/>
      <c r="S186" s="2"/>
      <c r="T186" s="2"/>
      <c r="U186" s="2"/>
      <c r="V186" s="2"/>
    </row>
    <row r="187" spans="1:2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53"/>
      <c r="M187" s="55"/>
      <c r="N187" s="1"/>
      <c r="O187" s="2"/>
      <c r="P187" s="2"/>
      <c r="Q187" s="2"/>
      <c r="R187" s="2"/>
      <c r="S187" s="2"/>
      <c r="T187" s="2"/>
      <c r="U187" s="2"/>
      <c r="V187" s="2"/>
    </row>
    <row r="188" spans="1:2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53"/>
      <c r="M188" s="55"/>
      <c r="N188" s="1"/>
      <c r="O188" s="2"/>
      <c r="P188" s="2"/>
      <c r="Q188" s="2"/>
      <c r="R188" s="2"/>
      <c r="S188" s="2"/>
      <c r="T188" s="2"/>
      <c r="U188" s="2"/>
      <c r="V188" s="2"/>
    </row>
    <row r="189" spans="1:2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53"/>
      <c r="M189" s="55"/>
      <c r="N189" s="1"/>
      <c r="O189" s="2"/>
      <c r="P189" s="2"/>
      <c r="Q189" s="2"/>
      <c r="R189" s="2"/>
      <c r="S189" s="2"/>
      <c r="T189" s="2"/>
      <c r="U189" s="2"/>
      <c r="V189" s="2"/>
    </row>
    <row r="190" spans="1:2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53"/>
      <c r="M190" s="55"/>
      <c r="N190" s="1"/>
      <c r="O190" s="2"/>
      <c r="P190" s="2"/>
      <c r="Q190" s="2"/>
      <c r="R190" s="2"/>
      <c r="S190" s="2"/>
      <c r="T190" s="2"/>
      <c r="U190" s="2"/>
      <c r="V190" s="2"/>
    </row>
    <row r="191" spans="1:2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53"/>
      <c r="M191" s="55"/>
      <c r="N191" s="1"/>
      <c r="O191" s="2"/>
      <c r="P191" s="2"/>
      <c r="Q191" s="2"/>
      <c r="R191" s="2"/>
      <c r="S191" s="2"/>
      <c r="T191" s="2"/>
      <c r="U191" s="2"/>
      <c r="V191" s="2"/>
    </row>
    <row r="192" spans="1:2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53"/>
      <c r="M192" s="55"/>
      <c r="N192" s="1"/>
      <c r="O192" s="2"/>
      <c r="P192" s="2"/>
      <c r="Q192" s="2"/>
      <c r="R192" s="2"/>
      <c r="S192" s="2"/>
      <c r="T192" s="2"/>
      <c r="U192" s="2"/>
      <c r="V192" s="2"/>
    </row>
    <row r="193" spans="1:2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53"/>
      <c r="M193" s="55"/>
      <c r="N193" s="1"/>
      <c r="O193" s="2"/>
      <c r="P193" s="2"/>
      <c r="Q193" s="2"/>
      <c r="R193" s="2"/>
      <c r="S193" s="2"/>
      <c r="T193" s="2"/>
      <c r="U193" s="2"/>
      <c r="V193" s="2"/>
    </row>
    <row r="194" spans="1:2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53"/>
      <c r="M194" s="55"/>
      <c r="N194" s="1"/>
      <c r="O194" s="2"/>
      <c r="P194" s="2"/>
      <c r="Q194" s="2"/>
      <c r="R194" s="2"/>
      <c r="S194" s="2"/>
      <c r="T194" s="2"/>
      <c r="U194" s="2"/>
      <c r="V194" s="2"/>
    </row>
    <row r="195" spans="1:2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53"/>
      <c r="M195" s="55"/>
      <c r="N195" s="1"/>
      <c r="O195" s="2"/>
      <c r="P195" s="2"/>
      <c r="Q195" s="2"/>
      <c r="R195" s="2"/>
      <c r="S195" s="2"/>
      <c r="T195" s="2"/>
      <c r="U195" s="2"/>
      <c r="V195" s="2"/>
    </row>
    <row r="196" spans="1:2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53"/>
      <c r="M196" s="55"/>
      <c r="N196" s="1"/>
      <c r="O196" s="2"/>
      <c r="P196" s="2"/>
      <c r="Q196" s="2"/>
      <c r="R196" s="2"/>
      <c r="S196" s="2"/>
      <c r="T196" s="2"/>
      <c r="U196" s="2"/>
      <c r="V196" s="2"/>
    </row>
    <row r="197" spans="1:2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53"/>
      <c r="M198" s="55"/>
      <c r="N198" s="1"/>
      <c r="O198" s="2"/>
      <c r="P198" s="2"/>
      <c r="Q198" s="2"/>
      <c r="R198" s="2"/>
      <c r="S198" s="2"/>
      <c r="T198" s="2"/>
      <c r="U198" s="2"/>
      <c r="V198" s="2"/>
    </row>
    <row r="199" spans="1:2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53"/>
      <c r="M199" s="55"/>
      <c r="N199" s="1"/>
      <c r="O199" s="2"/>
      <c r="P199" s="2"/>
      <c r="Q199" s="2"/>
      <c r="R199" s="2"/>
      <c r="S199" s="2"/>
      <c r="T199" s="2"/>
      <c r="U199" s="2"/>
      <c r="V199" s="2"/>
    </row>
    <row r="200" spans="1:2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53"/>
      <c r="M200" s="55"/>
      <c r="N200" s="1"/>
      <c r="O200" s="2"/>
      <c r="P200" s="2"/>
      <c r="Q200" s="2"/>
      <c r="R200" s="2"/>
      <c r="S200" s="2"/>
      <c r="T200" s="2"/>
      <c r="U200" s="2"/>
      <c r="V200" s="2"/>
    </row>
    <row r="201" spans="1:2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53"/>
      <c r="M201" s="55"/>
      <c r="N201" s="1"/>
      <c r="O201" s="2"/>
      <c r="P201" s="2"/>
      <c r="Q201" s="2"/>
      <c r="R201" s="2"/>
      <c r="S201" s="2"/>
      <c r="T201" s="2"/>
      <c r="U201" s="2"/>
      <c r="V201" s="2"/>
    </row>
    <row r="202" spans="1:2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53"/>
      <c r="M202" s="55"/>
      <c r="N202" s="1"/>
      <c r="O202" s="2"/>
      <c r="P202" s="2"/>
      <c r="Q202" s="2"/>
      <c r="R202" s="2"/>
      <c r="S202" s="2"/>
      <c r="T202" s="2"/>
      <c r="U202" s="2"/>
      <c r="V202" s="2"/>
    </row>
    <row r="203" spans="1:2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53"/>
      <c r="M203" s="55"/>
      <c r="N203" s="1"/>
      <c r="O203" s="2"/>
      <c r="P203" s="2"/>
      <c r="Q203" s="2"/>
      <c r="R203" s="2"/>
      <c r="S203" s="2"/>
      <c r="T203" s="2"/>
      <c r="U203" s="2"/>
      <c r="V203" s="2"/>
    </row>
    <row r="204" spans="1:2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53"/>
      <c r="M204" s="55"/>
      <c r="N204" s="1"/>
      <c r="O204" s="2"/>
      <c r="P204" s="2"/>
      <c r="Q204" s="2"/>
      <c r="R204" s="2"/>
      <c r="S204" s="2"/>
      <c r="T204" s="2"/>
      <c r="U204" s="2"/>
      <c r="V204" s="2"/>
    </row>
    <row r="205" spans="1:2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53"/>
      <c r="M205" s="55"/>
      <c r="N205" s="1"/>
      <c r="O205" s="2"/>
      <c r="P205" s="2"/>
      <c r="Q205" s="2"/>
      <c r="R205" s="2"/>
      <c r="S205" s="2"/>
      <c r="T205" s="2"/>
      <c r="U205" s="2"/>
      <c r="V205" s="2"/>
    </row>
    <row r="206" spans="1:2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53"/>
      <c r="M206" s="55"/>
      <c r="N206" s="1"/>
      <c r="O206" s="2"/>
      <c r="P206" s="2"/>
      <c r="Q206" s="2"/>
      <c r="R206" s="2"/>
      <c r="S206" s="2"/>
      <c r="T206" s="2"/>
      <c r="U206" s="2"/>
      <c r="V206" s="2"/>
    </row>
    <row r="207" spans="1:2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53"/>
      <c r="M207" s="55"/>
      <c r="N207" s="1"/>
      <c r="O207" s="2"/>
      <c r="P207" s="2"/>
      <c r="Q207" s="2"/>
      <c r="R207" s="2"/>
      <c r="S207" s="2"/>
      <c r="T207" s="2"/>
      <c r="U207" s="2"/>
      <c r="V207" s="2"/>
    </row>
    <row r="208" spans="1:2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53"/>
      <c r="M208" s="55"/>
      <c r="N208" s="1"/>
      <c r="O208" s="2"/>
      <c r="P208" s="2"/>
      <c r="Q208" s="2"/>
      <c r="R208" s="2"/>
      <c r="S208" s="2"/>
      <c r="T208" s="2"/>
      <c r="U208" s="2"/>
      <c r="V208" s="2"/>
    </row>
    <row r="209" spans="1:2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53"/>
      <c r="M209" s="55"/>
      <c r="N209" s="1"/>
      <c r="O209" s="2"/>
      <c r="P209" s="2"/>
      <c r="Q209" s="2"/>
      <c r="R209" s="2"/>
      <c r="S209" s="2"/>
      <c r="T209" s="2"/>
      <c r="U209" s="2"/>
      <c r="V209" s="2"/>
    </row>
    <row r="210" spans="1:2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53"/>
      <c r="M210" s="55"/>
      <c r="N210" s="1"/>
      <c r="O210" s="2"/>
      <c r="P210" s="2"/>
      <c r="Q210" s="2"/>
      <c r="R210" s="2"/>
      <c r="S210" s="2"/>
      <c r="T210" s="2"/>
      <c r="U210" s="2"/>
      <c r="V210" s="2"/>
    </row>
    <row r="211" spans="1:2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53"/>
      <c r="M211" s="55"/>
      <c r="N211" s="1"/>
      <c r="O211" s="2"/>
      <c r="P211" s="2"/>
      <c r="Q211" s="2"/>
      <c r="R211" s="2"/>
      <c r="S211" s="2"/>
      <c r="T211" s="2"/>
      <c r="U211" s="2"/>
      <c r="V211" s="2"/>
    </row>
    <row r="212" spans="1:2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53"/>
      <c r="M212" s="55"/>
      <c r="N212" s="1"/>
      <c r="O212" s="2"/>
      <c r="P212" s="2"/>
      <c r="Q212" s="2"/>
      <c r="R212" s="2"/>
      <c r="S212" s="2"/>
      <c r="T212" s="2"/>
      <c r="U212" s="2"/>
      <c r="V212" s="2"/>
    </row>
    <row r="213" spans="1:2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53"/>
      <c r="M213" s="55"/>
      <c r="N213" s="1"/>
      <c r="O213" s="2"/>
      <c r="P213" s="2"/>
      <c r="Q213" s="2"/>
      <c r="R213" s="2"/>
      <c r="S213" s="2"/>
      <c r="T213" s="2"/>
      <c r="U213" s="2"/>
      <c r="V213" s="2"/>
    </row>
    <row r="214" spans="1:2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53"/>
      <c r="M214" s="55"/>
      <c r="N214" s="1"/>
      <c r="O214" s="2"/>
      <c r="P214" s="2"/>
      <c r="Q214" s="2"/>
      <c r="R214" s="2"/>
      <c r="S214" s="2"/>
      <c r="T214" s="2"/>
      <c r="U214" s="2"/>
      <c r="V214" s="2"/>
    </row>
    <row r="215" spans="1:2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53"/>
      <c r="M215" s="55"/>
      <c r="N215" s="1"/>
      <c r="O215" s="2"/>
      <c r="P215" s="2"/>
      <c r="Q215" s="2"/>
      <c r="R215" s="2"/>
      <c r="S215" s="2"/>
      <c r="T215" s="2"/>
      <c r="U215" s="2"/>
      <c r="V215" s="2"/>
    </row>
    <row r="216" spans="1:2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53"/>
      <c r="M216" s="55"/>
      <c r="N216" s="1"/>
      <c r="O216" s="2"/>
      <c r="P216" s="2"/>
      <c r="Q216" s="2"/>
      <c r="R216" s="2"/>
      <c r="S216" s="2"/>
      <c r="T216" s="2"/>
      <c r="U216" s="2"/>
      <c r="V216" s="2"/>
    </row>
    <row r="217" spans="1:2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53"/>
      <c r="M217" s="55"/>
      <c r="N217" s="1"/>
      <c r="O217" s="2"/>
      <c r="P217" s="2"/>
      <c r="Q217" s="2"/>
      <c r="R217" s="2"/>
      <c r="S217" s="2"/>
      <c r="T217" s="2"/>
      <c r="U217" s="2"/>
      <c r="V217" s="2"/>
    </row>
    <row r="218" spans="1:2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53"/>
      <c r="M218" s="55"/>
      <c r="N218" s="1"/>
      <c r="O218" s="2"/>
      <c r="P218" s="2"/>
      <c r="Q218" s="2"/>
      <c r="R218" s="2"/>
      <c r="S218" s="2"/>
      <c r="T218" s="2"/>
      <c r="U218" s="2"/>
      <c r="V218" s="2"/>
    </row>
    <row r="219" spans="1:2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53"/>
      <c r="M220" s="55"/>
      <c r="N220" s="1"/>
      <c r="O220" s="2"/>
      <c r="P220" s="2"/>
      <c r="Q220" s="2"/>
      <c r="R220" s="2"/>
      <c r="S220" s="2"/>
      <c r="T220" s="2"/>
      <c r="U220" s="2"/>
      <c r="V220" s="2"/>
    </row>
    <row r="221" spans="1:2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53"/>
      <c r="M221" s="55"/>
      <c r="N221" s="1"/>
      <c r="O221" s="2"/>
      <c r="P221" s="2"/>
      <c r="Q221" s="2"/>
      <c r="R221" s="2"/>
      <c r="S221" s="2"/>
      <c r="T221" s="2"/>
      <c r="U221" s="2"/>
      <c r="V221" s="2"/>
    </row>
    <row r="222" spans="1:2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53"/>
      <c r="M222" s="55"/>
      <c r="N222" s="1"/>
      <c r="O222" s="2"/>
      <c r="P222" s="2"/>
      <c r="Q222" s="2"/>
      <c r="R222" s="2"/>
      <c r="S222" s="2"/>
      <c r="T222" s="2"/>
      <c r="U222" s="2"/>
      <c r="V222" s="2"/>
    </row>
    <row r="223" spans="1:2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53"/>
      <c r="M223" s="55"/>
      <c r="N223" s="1"/>
      <c r="O223" s="2"/>
      <c r="P223" s="2"/>
      <c r="Q223" s="2"/>
      <c r="R223" s="2"/>
      <c r="S223" s="2"/>
      <c r="T223" s="2"/>
      <c r="U223" s="2"/>
      <c r="V223" s="2"/>
    </row>
    <row r="224" spans="1:2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53"/>
      <c r="M224" s="55"/>
      <c r="N224" s="1"/>
      <c r="O224" s="2"/>
      <c r="P224" s="2"/>
      <c r="Q224" s="2"/>
      <c r="R224" s="2"/>
      <c r="S224" s="2"/>
      <c r="T224" s="2"/>
      <c r="U224" s="2"/>
      <c r="V224" s="2"/>
    </row>
    <row r="225" spans="1:2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53"/>
      <c r="M225" s="55"/>
      <c r="N225" s="1"/>
      <c r="O225" s="2"/>
      <c r="P225" s="2"/>
      <c r="Q225" s="2"/>
      <c r="R225" s="2"/>
      <c r="S225" s="2"/>
      <c r="T225" s="2"/>
      <c r="U225" s="2"/>
      <c r="V225" s="2"/>
    </row>
    <row r="226" spans="1:2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53"/>
      <c r="M226" s="55"/>
      <c r="N226" s="1"/>
      <c r="O226" s="2"/>
      <c r="P226" s="2"/>
      <c r="Q226" s="2"/>
      <c r="R226" s="2"/>
      <c r="S226" s="2"/>
      <c r="T226" s="2"/>
      <c r="U226" s="2"/>
      <c r="V226" s="2"/>
    </row>
    <row r="227" spans="1:2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53"/>
      <c r="M227" s="55"/>
      <c r="N227" s="1"/>
      <c r="O227" s="2"/>
      <c r="P227" s="2"/>
      <c r="Q227" s="2"/>
      <c r="R227" s="2"/>
      <c r="S227" s="2"/>
      <c r="T227" s="2"/>
      <c r="U227" s="2"/>
      <c r="V227" s="2"/>
    </row>
    <row r="228" spans="1:2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53"/>
      <c r="M228" s="55"/>
      <c r="N228" s="1"/>
      <c r="O228" s="2"/>
      <c r="P228" s="2"/>
      <c r="Q228" s="2"/>
      <c r="R228" s="2"/>
      <c r="S228" s="2"/>
      <c r="T228" s="2"/>
      <c r="U228" s="2"/>
      <c r="V228" s="2"/>
    </row>
    <row r="229" spans="1:2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53"/>
      <c r="M229" s="55"/>
      <c r="N229" s="1"/>
      <c r="O229" s="2"/>
      <c r="P229" s="2"/>
      <c r="Q229" s="2"/>
      <c r="R229" s="2"/>
      <c r="S229" s="2"/>
      <c r="T229" s="2"/>
      <c r="U229" s="2"/>
      <c r="V229" s="2"/>
    </row>
    <row r="230" spans="1:2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53"/>
      <c r="M230" s="55"/>
      <c r="N230" s="1"/>
      <c r="O230" s="2"/>
      <c r="P230" s="2"/>
      <c r="Q230" s="2"/>
      <c r="R230" s="2"/>
      <c r="S230" s="2"/>
      <c r="T230" s="2"/>
      <c r="U230" s="2"/>
      <c r="V230" s="2"/>
    </row>
    <row r="231" spans="1:2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53"/>
      <c r="M231" s="55"/>
      <c r="N231" s="1"/>
      <c r="O231" s="2"/>
      <c r="P231" s="2"/>
      <c r="Q231" s="2"/>
      <c r="R231" s="2"/>
      <c r="S231" s="2"/>
      <c r="T231" s="2"/>
      <c r="U231" s="2"/>
      <c r="V231" s="2"/>
    </row>
    <row r="232" spans="1:2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53"/>
      <c r="M232" s="55"/>
      <c r="N232" s="1"/>
      <c r="O232" s="2"/>
      <c r="P232" s="2"/>
      <c r="Q232" s="2"/>
      <c r="R232" s="2"/>
      <c r="S232" s="2"/>
      <c r="T232" s="2"/>
      <c r="U232" s="2"/>
      <c r="V232" s="2"/>
    </row>
    <row r="233" spans="1:2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53"/>
      <c r="M233" s="55"/>
      <c r="N233" s="1"/>
      <c r="O233" s="2"/>
      <c r="P233" s="2"/>
      <c r="Q233" s="2"/>
      <c r="R233" s="2"/>
      <c r="S233" s="2"/>
      <c r="T233" s="2"/>
      <c r="U233" s="2"/>
      <c r="V233" s="2"/>
    </row>
    <row r="234" spans="1:2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53"/>
      <c r="M234" s="55"/>
      <c r="N234" s="1"/>
      <c r="O234" s="2"/>
      <c r="P234" s="2"/>
      <c r="Q234" s="2"/>
      <c r="R234" s="2"/>
      <c r="S234" s="2"/>
      <c r="T234" s="2"/>
      <c r="U234" s="2"/>
      <c r="V234" s="2"/>
    </row>
    <row r="235" spans="1:2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53"/>
      <c r="M235" s="55"/>
      <c r="N235" s="1"/>
      <c r="O235" s="2"/>
      <c r="P235" s="2"/>
      <c r="Q235" s="2"/>
      <c r="R235" s="2"/>
      <c r="S235" s="2"/>
      <c r="T235" s="2"/>
      <c r="U235" s="2"/>
      <c r="V235" s="2"/>
    </row>
    <row r="236" spans="1:2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53"/>
      <c r="M236" s="55"/>
      <c r="N236" s="1"/>
      <c r="O236" s="2"/>
      <c r="P236" s="2"/>
      <c r="Q236" s="2"/>
      <c r="R236" s="2"/>
      <c r="S236" s="2"/>
      <c r="T236" s="2"/>
      <c r="U236" s="2"/>
      <c r="V236" s="2"/>
    </row>
    <row r="237" spans="1:2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53"/>
      <c r="M237" s="55"/>
      <c r="N237" s="1"/>
      <c r="O237" s="2"/>
      <c r="P237" s="2"/>
      <c r="Q237" s="2"/>
      <c r="R237" s="2"/>
      <c r="S237" s="2"/>
      <c r="T237" s="2"/>
      <c r="U237" s="2"/>
      <c r="V237" s="2"/>
    </row>
    <row r="238" spans="1:2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53"/>
      <c r="M238" s="55"/>
      <c r="N238" s="1"/>
      <c r="O238" s="2"/>
      <c r="P238" s="2"/>
      <c r="Q238" s="2"/>
      <c r="R238" s="2"/>
      <c r="S238" s="2"/>
      <c r="T238" s="2"/>
      <c r="U238" s="2"/>
      <c r="V238" s="2"/>
    </row>
    <row r="239" spans="1:2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53"/>
      <c r="M239" s="55"/>
      <c r="N239" s="1"/>
      <c r="O239" s="2"/>
      <c r="P239" s="2"/>
      <c r="Q239" s="2"/>
      <c r="R239" s="2"/>
      <c r="S239" s="2"/>
      <c r="T239" s="2"/>
      <c r="U239" s="2"/>
      <c r="V239" s="2"/>
    </row>
    <row r="240" spans="1:2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53"/>
      <c r="M240" s="55"/>
      <c r="N240" s="1"/>
      <c r="O240" s="2"/>
      <c r="P240" s="2"/>
      <c r="Q240" s="2"/>
      <c r="R240" s="2"/>
      <c r="S240" s="2"/>
      <c r="T240" s="2"/>
      <c r="U240" s="2"/>
      <c r="V240" s="2"/>
    </row>
    <row r="241" spans="1:2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53"/>
      <c r="M242" s="55"/>
      <c r="N242" s="1"/>
      <c r="O242" s="2"/>
      <c r="P242" s="2"/>
      <c r="Q242" s="2"/>
      <c r="R242" s="2"/>
      <c r="S242" s="2"/>
      <c r="T242" s="2"/>
      <c r="U242" s="2"/>
      <c r="V242" s="2"/>
    </row>
    <row r="243" spans="1:2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53"/>
      <c r="M243" s="55"/>
      <c r="N243" s="1"/>
      <c r="O243" s="2"/>
      <c r="P243" s="2"/>
      <c r="Q243" s="2"/>
      <c r="R243" s="2"/>
      <c r="S243" s="2"/>
      <c r="T243" s="2"/>
      <c r="U243" s="2"/>
      <c r="V243" s="2"/>
    </row>
    <row r="244" spans="1:2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53"/>
      <c r="M244" s="55"/>
      <c r="N244" s="1"/>
      <c r="O244" s="2"/>
      <c r="P244" s="2"/>
      <c r="Q244" s="2"/>
      <c r="R244" s="2"/>
      <c r="S244" s="2"/>
      <c r="T244" s="2"/>
      <c r="U244" s="2"/>
      <c r="V244" s="2"/>
    </row>
    <row r="245" spans="1:2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53"/>
      <c r="M245" s="55"/>
      <c r="N245" s="1"/>
      <c r="O245" s="2"/>
      <c r="P245" s="2"/>
      <c r="Q245" s="2"/>
      <c r="R245" s="2"/>
      <c r="S245" s="2"/>
      <c r="T245" s="2"/>
      <c r="U245" s="2"/>
      <c r="V245" s="2"/>
    </row>
    <row r="246" spans="1:2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53"/>
      <c r="M246" s="55"/>
      <c r="N246" s="1"/>
      <c r="O246" s="2"/>
      <c r="P246" s="2"/>
      <c r="Q246" s="2"/>
      <c r="R246" s="2"/>
      <c r="S246" s="2"/>
      <c r="T246" s="2"/>
      <c r="U246" s="2"/>
      <c r="V246" s="2"/>
    </row>
    <row r="247" spans="1:2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53"/>
      <c r="M247" s="55"/>
      <c r="N247" s="1"/>
      <c r="O247" s="2"/>
      <c r="P247" s="2"/>
      <c r="Q247" s="2"/>
      <c r="R247" s="2"/>
      <c r="S247" s="2"/>
      <c r="T247" s="2"/>
      <c r="U247" s="2"/>
      <c r="V247" s="2"/>
    </row>
    <row r="248" spans="1:2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53"/>
      <c r="M248" s="55"/>
      <c r="N248" s="1"/>
      <c r="O248" s="2"/>
      <c r="P248" s="2"/>
      <c r="Q248" s="2"/>
      <c r="R248" s="2"/>
      <c r="S248" s="2"/>
      <c r="T248" s="2"/>
      <c r="U248" s="2"/>
      <c r="V248" s="2"/>
    </row>
    <row r="249" spans="1:2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53"/>
      <c r="M249" s="55"/>
      <c r="N249" s="1"/>
      <c r="O249" s="2"/>
      <c r="P249" s="2"/>
      <c r="Q249" s="2"/>
      <c r="R249" s="2"/>
      <c r="S249" s="2"/>
      <c r="T249" s="2"/>
      <c r="U249" s="2"/>
      <c r="V249" s="2"/>
    </row>
    <row r="250" spans="1:2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53"/>
      <c r="M250" s="55"/>
      <c r="N250" s="1"/>
      <c r="O250" s="2"/>
      <c r="P250" s="2"/>
      <c r="Q250" s="2"/>
      <c r="R250" s="2"/>
      <c r="S250" s="2"/>
      <c r="T250" s="2"/>
      <c r="U250" s="2"/>
      <c r="V250" s="2"/>
    </row>
    <row r="251" spans="1:2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53"/>
      <c r="M251" s="55"/>
      <c r="N251" s="1"/>
      <c r="O251" s="2"/>
      <c r="P251" s="2"/>
      <c r="Q251" s="2"/>
      <c r="R251" s="2"/>
      <c r="S251" s="2"/>
      <c r="T251" s="2"/>
      <c r="U251" s="2"/>
      <c r="V251" s="2"/>
    </row>
    <row r="252" spans="1:2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53"/>
      <c r="M252" s="55"/>
      <c r="N252" s="1"/>
      <c r="O252" s="2"/>
      <c r="P252" s="2"/>
      <c r="Q252" s="2"/>
      <c r="R252" s="2"/>
      <c r="S252" s="2"/>
      <c r="T252" s="2"/>
      <c r="U252" s="2"/>
      <c r="V252" s="2"/>
    </row>
    <row r="253" spans="1:2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53"/>
      <c r="M253" s="55"/>
      <c r="N253" s="1"/>
      <c r="O253" s="2"/>
      <c r="P253" s="2"/>
      <c r="Q253" s="2"/>
      <c r="R253" s="2"/>
      <c r="S253" s="2"/>
      <c r="T253" s="2"/>
      <c r="U253" s="2"/>
      <c r="V253" s="2"/>
    </row>
    <row r="254" spans="1:2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53"/>
      <c r="M254" s="55"/>
      <c r="N254" s="1"/>
      <c r="O254" s="2"/>
      <c r="P254" s="2"/>
      <c r="Q254" s="2"/>
      <c r="R254" s="2"/>
      <c r="S254" s="2"/>
      <c r="T254" s="2"/>
      <c r="U254" s="2"/>
      <c r="V254" s="2"/>
    </row>
    <row r="255" spans="1:2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53"/>
      <c r="M255" s="55"/>
      <c r="N255" s="1"/>
      <c r="O255" s="2"/>
      <c r="P255" s="2"/>
      <c r="Q255" s="2"/>
      <c r="R255" s="2"/>
      <c r="S255" s="2"/>
      <c r="T255" s="2"/>
      <c r="U255" s="2"/>
      <c r="V255" s="2"/>
    </row>
    <row r="256" spans="1:2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53"/>
      <c r="M256" s="55"/>
      <c r="N256" s="1"/>
      <c r="O256" s="2"/>
      <c r="P256" s="2"/>
      <c r="Q256" s="2"/>
      <c r="R256" s="2"/>
      <c r="S256" s="2"/>
      <c r="T256" s="2"/>
      <c r="U256" s="2"/>
      <c r="V256" s="2"/>
    </row>
    <row r="257" spans="1:2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53"/>
      <c r="M257" s="55"/>
      <c r="N257" s="1"/>
      <c r="O257" s="2"/>
      <c r="P257" s="2"/>
      <c r="Q257" s="2"/>
      <c r="R257" s="2"/>
      <c r="S257" s="2"/>
      <c r="T257" s="2"/>
      <c r="U257" s="2"/>
      <c r="V257" s="2"/>
    </row>
    <row r="258" spans="1:2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53"/>
      <c r="M258" s="55"/>
      <c r="N258" s="1"/>
      <c r="O258" s="2"/>
      <c r="P258" s="2"/>
      <c r="Q258" s="2"/>
      <c r="R258" s="2"/>
      <c r="S258" s="2"/>
      <c r="T258" s="2"/>
      <c r="U258" s="2"/>
      <c r="V258" s="2"/>
    </row>
    <row r="259" spans="1:2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53"/>
      <c r="M259" s="55"/>
      <c r="N259" s="1"/>
      <c r="O259" s="2"/>
      <c r="P259" s="2"/>
      <c r="Q259" s="2"/>
      <c r="R259" s="2"/>
      <c r="S259" s="2"/>
      <c r="T259" s="2"/>
      <c r="U259" s="2"/>
      <c r="V259" s="2"/>
    </row>
    <row r="260" spans="1:2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53"/>
      <c r="M260" s="55"/>
      <c r="N260" s="1"/>
      <c r="O260" s="2"/>
      <c r="P260" s="2"/>
      <c r="Q260" s="2"/>
      <c r="R260" s="2"/>
      <c r="S260" s="2"/>
      <c r="T260" s="2"/>
      <c r="U260" s="2"/>
      <c r="V260" s="2"/>
    </row>
    <row r="261" spans="1:2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53"/>
      <c r="M261" s="55"/>
      <c r="N261" s="1"/>
      <c r="O261" s="2"/>
      <c r="P261" s="2"/>
      <c r="Q261" s="2"/>
      <c r="R261" s="2"/>
      <c r="S261" s="2"/>
      <c r="T261" s="2"/>
      <c r="U261" s="2"/>
      <c r="V261" s="2"/>
    </row>
    <row r="262" spans="1:2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53"/>
      <c r="M262" s="55"/>
      <c r="N262" s="1"/>
      <c r="O262" s="2"/>
      <c r="P262" s="2"/>
      <c r="Q262" s="2"/>
      <c r="R262" s="2"/>
      <c r="S262" s="2"/>
      <c r="T262" s="2"/>
      <c r="U262" s="2"/>
      <c r="V262" s="2"/>
    </row>
    <row r="263" spans="1:2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53"/>
      <c r="M263" s="55"/>
      <c r="N263" s="1"/>
      <c r="O263" s="2"/>
      <c r="P263" s="2"/>
      <c r="Q263" s="2"/>
      <c r="R263" s="2"/>
      <c r="S263" s="2"/>
      <c r="T263" s="2"/>
      <c r="U263" s="2"/>
      <c r="V263" s="2"/>
    </row>
    <row r="264" spans="1:2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53"/>
      <c r="M264" s="55"/>
      <c r="N264" s="1"/>
      <c r="O264" s="2"/>
      <c r="P264" s="2"/>
      <c r="Q264" s="2"/>
      <c r="R264" s="2"/>
      <c r="S264" s="2"/>
      <c r="T264" s="2"/>
      <c r="U264" s="2"/>
      <c r="V264" s="2"/>
    </row>
    <row r="265" spans="1:2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53"/>
      <c r="M265" s="55"/>
      <c r="N265" s="1"/>
      <c r="O265" s="2"/>
      <c r="P265" s="2"/>
      <c r="Q265" s="2"/>
      <c r="R265" s="2"/>
      <c r="S265" s="2"/>
      <c r="T265" s="2"/>
      <c r="U265" s="2"/>
      <c r="V265" s="2"/>
    </row>
    <row r="266" spans="1:2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53"/>
      <c r="M266" s="55"/>
      <c r="N266" s="1"/>
      <c r="O266" s="2"/>
      <c r="P266" s="2"/>
      <c r="Q266" s="2"/>
      <c r="R266" s="2"/>
      <c r="S266" s="2"/>
      <c r="T266" s="2"/>
      <c r="U266" s="2"/>
      <c r="V266" s="2"/>
    </row>
    <row r="267" spans="1:2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53"/>
      <c r="M267" s="55"/>
      <c r="N267" s="1"/>
      <c r="O267" s="2"/>
      <c r="P267" s="2"/>
      <c r="Q267" s="2"/>
      <c r="R267" s="2"/>
      <c r="S267" s="2"/>
      <c r="T267" s="2"/>
      <c r="U267" s="2"/>
      <c r="V267" s="2"/>
    </row>
    <row r="268" spans="1:2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53"/>
      <c r="M268" s="55"/>
      <c r="N268" s="1"/>
      <c r="O268" s="2"/>
      <c r="P268" s="2"/>
      <c r="Q268" s="2"/>
      <c r="R268" s="2"/>
      <c r="S268" s="2"/>
      <c r="T268" s="2"/>
      <c r="U268" s="2"/>
      <c r="V268" s="2"/>
    </row>
    <row r="269" spans="1:2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53"/>
      <c r="M269" s="55"/>
      <c r="N269" s="1"/>
      <c r="O269" s="2"/>
      <c r="P269" s="2"/>
      <c r="Q269" s="2"/>
      <c r="R269" s="2"/>
      <c r="S269" s="2"/>
      <c r="T269" s="2"/>
      <c r="U269" s="2"/>
      <c r="V269" s="2"/>
    </row>
    <row r="270" spans="1:2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53"/>
      <c r="M270" s="55"/>
      <c r="N270" s="1"/>
      <c r="O270" s="2"/>
      <c r="P270" s="2"/>
      <c r="Q270" s="2"/>
      <c r="R270" s="2"/>
      <c r="S270" s="2"/>
      <c r="T270" s="2"/>
      <c r="U270" s="2"/>
      <c r="V270" s="2"/>
    </row>
    <row r="271" spans="1:2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53"/>
      <c r="M271" s="55"/>
      <c r="N271" s="1"/>
      <c r="O271" s="2"/>
      <c r="P271" s="2"/>
      <c r="Q271" s="2"/>
      <c r="R271" s="2"/>
      <c r="S271" s="2"/>
      <c r="T271" s="2"/>
      <c r="U271" s="2"/>
      <c r="V271" s="2"/>
    </row>
    <row r="272" spans="1:2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53"/>
      <c r="M272" s="55"/>
      <c r="N272" s="1"/>
      <c r="O272" s="2"/>
      <c r="P272" s="2"/>
      <c r="Q272" s="2"/>
      <c r="R272" s="2"/>
      <c r="S272" s="2"/>
      <c r="T272" s="2"/>
      <c r="U272" s="2"/>
      <c r="V272" s="2"/>
    </row>
    <row r="273" spans="1:2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53"/>
      <c r="M273" s="55"/>
      <c r="N273" s="1"/>
      <c r="O273" s="2"/>
      <c r="P273" s="2"/>
      <c r="Q273" s="2"/>
      <c r="R273" s="2"/>
      <c r="S273" s="2"/>
      <c r="T273" s="2"/>
      <c r="U273" s="2"/>
      <c r="V273" s="2"/>
    </row>
    <row r="274" spans="1:2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53"/>
      <c r="M274" s="55"/>
      <c r="N274" s="1"/>
      <c r="O274" s="2"/>
      <c r="P274" s="2"/>
      <c r="Q274" s="2"/>
      <c r="R274" s="2"/>
      <c r="S274" s="2"/>
      <c r="T274" s="2"/>
      <c r="U274" s="2"/>
      <c r="V274" s="2"/>
    </row>
    <row r="275" spans="1:2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53"/>
      <c r="M275" s="55"/>
      <c r="N275" s="1"/>
      <c r="O275" s="2"/>
      <c r="P275" s="2"/>
      <c r="Q275" s="2"/>
      <c r="R275" s="2"/>
      <c r="S275" s="2"/>
      <c r="T275" s="2"/>
      <c r="U275" s="2"/>
      <c r="V275" s="2"/>
    </row>
  </sheetData>
  <autoFilter ref="A1:V152" xr:uid="{00000000-0009-0000-0000-000006000000}"/>
  <customSheetViews>
    <customSheetView guid="{B1221BD8-8E00-46E8-8D60-4A56740AF862}" scale="80" showAutoFilter="1" state="hidden" topLeftCell="A124">
      <selection activeCell="D155" sqref="D155"/>
      <pageMargins left="0.7" right="0.7" top="0.75" bottom="0.75" header="0.3" footer="0.3"/>
      <autoFilter ref="A1:V152" xr:uid="{ACF9F932-13E5-4F8E-BE28-6F552E57C326}"/>
    </customSheetView>
  </customSheetViews>
  <dataValidations count="1">
    <dataValidation type="list" allowBlank="1" showInputMessage="1" showErrorMessage="1" sqref="M2:M22 M24:M44 M46:M66 M68:M88 M90:M110 M112:M131 M133:M152" xr:uid="{00000000-0002-0000-0600-000000000000}">
      <formula1>"Y, 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CONTENTS</vt:lpstr>
      <vt:lpstr>Sheet2</vt:lpstr>
      <vt:lpstr>Sheet3</vt:lpstr>
      <vt:lpstr>Sheet1</vt:lpstr>
      <vt:lpstr>Master File</vt:lpstr>
      <vt:lpstr>Changes</vt:lpstr>
      <vt:lpstr>Mater Recipe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Admin</dc:creator>
  <cp:lastModifiedBy>Bhargav - Gazebo Cuisine</cp:lastModifiedBy>
  <cp:lastPrinted>2019-01-24T11:52:08Z</cp:lastPrinted>
  <dcterms:created xsi:type="dcterms:W3CDTF">2015-08-14T10:14:13Z</dcterms:created>
  <dcterms:modified xsi:type="dcterms:W3CDTF">2026-07-29T16:31:27Z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759fca6d-68b1-4e33-89a4-fa8068065b24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WorkbookGuid">
    <vt:lpwstr>ada34706-b492-48a3-aa0c-e87a70692485</vt:lpwstr>
  </property>
</Properties>
</file>